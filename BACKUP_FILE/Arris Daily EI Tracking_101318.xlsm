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Scripting\DIST\DIST_ARRIS\"/>
    </mc:Choice>
  </mc:AlternateContent>
  <bookViews>
    <workbookView xWindow="0" yWindow="0" windowWidth="28800" windowHeight="12435" tabRatio="772" activeTab="2"/>
  </bookViews>
  <sheets>
    <sheet name="Summary" sheetId="18" r:id="rId1"/>
    <sheet name="Workflow" sheetId="28" r:id="rId2"/>
    <sheet name="Tracker" sheetId="1" r:id="rId3"/>
    <sheet name="Order_Detail_View" sheetId="30" r:id="rId4"/>
    <sheet name="Tracker DO NOT TOUCH" sheetId="5" r:id="rId5"/>
    <sheet name="Open Order" sheetId="4" r:id="rId6"/>
    <sheet name="Pick Lines" sheetId="6" r:id="rId7"/>
    <sheet name="Receiving" sheetId="10" r:id="rId8"/>
    <sheet name="Pending to Receive" sheetId="11" r:id="rId9"/>
    <sheet name="RMA" sheetId="12" r:id="rId10"/>
    <sheet name="Open PO Report" sheetId="9" r:id="rId11"/>
    <sheet name="Expected Receipts" sheetId="13" r:id="rId12"/>
    <sheet name="Inventory - Receipts" sheetId="14" r:id="rId13"/>
    <sheet name="Sales Orders POD" sheetId="8" r:id="rId14"/>
    <sheet name="Data Validation" sheetId="21" r:id="rId15"/>
    <sheet name="Open_Order_DN_LineCt" sheetId="22" state="hidden" r:id="rId16"/>
    <sheet name="Temp_Library" sheetId="25" state="hidden" r:id="rId17"/>
  </sheets>
  <definedNames>
    <definedName name="_xlnm._FilterDatabase" localSheetId="12" hidden="1">'Inventory - Receipts'!$A$1:$K$304</definedName>
    <definedName name="_xlnm._FilterDatabase" localSheetId="5" hidden="1">'Open Order'!#REF!</definedName>
    <definedName name="_xlnm._FilterDatabase" localSheetId="6" hidden="1">'Pick Lines'!#REF!</definedName>
    <definedName name="_xlnm._FilterDatabase" localSheetId="2" hidden="1">Tracker!$A$5:$R$5</definedName>
    <definedName name="_xlnm._FilterDatabase" localSheetId="4" hidden="1">'Tracker DO NOT TOUCH'!$A$2:$X$2</definedName>
    <definedName name="OrderDetailComments">Order_Detail_View!$J$15</definedName>
    <definedName name="OrderDetailShippingInstruction">Order_Detail_View!$C$21</definedName>
  </definedNames>
  <calcPr calcId="152511"/>
  <pivotCaches>
    <pivotCache cacheId="0" r:id="rId18"/>
    <pivotCache cacheId="1" r:id="rId19"/>
    <pivotCache cacheId="2" r:id="rId20"/>
    <pivotCache cacheId="3" r:id="rId21"/>
  </pivotCaches>
</workbook>
</file>

<file path=xl/calcChain.xml><?xml version="1.0" encoding="utf-8"?>
<calcChain xmlns="http://schemas.openxmlformats.org/spreadsheetml/2006/main">
  <c r="L4" i="5" l="1"/>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A4" i="5"/>
  <c r="B4" i="5"/>
  <c r="C4" i="5"/>
  <c r="D4" i="5"/>
  <c r="E4" i="5"/>
  <c r="F4" i="5"/>
  <c r="A5" i="5"/>
  <c r="B5" i="5"/>
  <c r="C5" i="5"/>
  <c r="D5" i="5"/>
  <c r="E5" i="5"/>
  <c r="F5" i="5"/>
  <c r="A6" i="5"/>
  <c r="B6" i="5"/>
  <c r="C6" i="5"/>
  <c r="D6" i="5"/>
  <c r="E6" i="5"/>
  <c r="F6" i="5"/>
  <c r="A7" i="5"/>
  <c r="B7" i="5"/>
  <c r="C7" i="5"/>
  <c r="D7" i="5"/>
  <c r="E7" i="5"/>
  <c r="F7" i="5"/>
  <c r="A8" i="5"/>
  <c r="B8" i="5"/>
  <c r="C8" i="5"/>
  <c r="D8" i="5"/>
  <c r="E8" i="5"/>
  <c r="F8" i="5"/>
  <c r="A9" i="5"/>
  <c r="B9" i="5"/>
  <c r="C9" i="5"/>
  <c r="D9" i="5"/>
  <c r="E9" i="5"/>
  <c r="F9" i="5"/>
  <c r="A10" i="5"/>
  <c r="B10" i="5"/>
  <c r="C10" i="5"/>
  <c r="D10" i="5"/>
  <c r="E10" i="5"/>
  <c r="F10" i="5"/>
  <c r="A11" i="5"/>
  <c r="B11" i="5"/>
  <c r="C11" i="5"/>
  <c r="D11" i="5"/>
  <c r="E11" i="5"/>
  <c r="F11" i="5"/>
  <c r="A12" i="5"/>
  <c r="B12" i="5"/>
  <c r="C12" i="5"/>
  <c r="D12" i="5"/>
  <c r="E12" i="5"/>
  <c r="F12" i="5"/>
  <c r="A13" i="5"/>
  <c r="B13" i="5"/>
  <c r="C13" i="5"/>
  <c r="D13" i="5"/>
  <c r="E13" i="5"/>
  <c r="F13" i="5"/>
  <c r="A14" i="5"/>
  <c r="B14" i="5"/>
  <c r="C14" i="5"/>
  <c r="D14" i="5"/>
  <c r="E14" i="5"/>
  <c r="F14" i="5"/>
  <c r="A15" i="5"/>
  <c r="B15" i="5"/>
  <c r="C15" i="5"/>
  <c r="D15" i="5"/>
  <c r="E15" i="5"/>
  <c r="F15" i="5"/>
  <c r="A16" i="5"/>
  <c r="B16" i="5"/>
  <c r="C16" i="5"/>
  <c r="D16" i="5"/>
  <c r="E16" i="5"/>
  <c r="F16" i="5"/>
  <c r="A17" i="5"/>
  <c r="B17" i="5"/>
  <c r="C17" i="5"/>
  <c r="D17" i="5"/>
  <c r="E17" i="5"/>
  <c r="F17" i="5"/>
  <c r="A18" i="5"/>
  <c r="B18" i="5"/>
  <c r="C18" i="5"/>
  <c r="D18" i="5"/>
  <c r="E18" i="5"/>
  <c r="F18" i="5"/>
  <c r="A19" i="5"/>
  <c r="B19" i="5"/>
  <c r="C19" i="5"/>
  <c r="D19" i="5"/>
  <c r="E19" i="5"/>
  <c r="F19" i="5"/>
  <c r="A20" i="5"/>
  <c r="B20" i="5"/>
  <c r="C20" i="5"/>
  <c r="D20" i="5"/>
  <c r="E20" i="5"/>
  <c r="F20" i="5"/>
  <c r="A21" i="5"/>
  <c r="B21" i="5"/>
  <c r="C21" i="5"/>
  <c r="D21" i="5"/>
  <c r="E21" i="5"/>
  <c r="F21" i="5"/>
  <c r="A22" i="5"/>
  <c r="B22" i="5"/>
  <c r="C22" i="5"/>
  <c r="D22" i="5"/>
  <c r="E22" i="5"/>
  <c r="F22" i="5"/>
  <c r="A23" i="5"/>
  <c r="B23" i="5"/>
  <c r="C23" i="5"/>
  <c r="D23" i="5"/>
  <c r="E23" i="5"/>
  <c r="F23" i="5"/>
  <c r="A24" i="5"/>
  <c r="B24" i="5"/>
  <c r="C24" i="5"/>
  <c r="D24" i="5"/>
  <c r="E24" i="5"/>
  <c r="F24" i="5"/>
  <c r="A25" i="5"/>
  <c r="B25" i="5"/>
  <c r="C25" i="5"/>
  <c r="D25" i="5"/>
  <c r="E25" i="5"/>
  <c r="F25" i="5"/>
  <c r="A26" i="5"/>
  <c r="B26" i="5"/>
  <c r="C26" i="5"/>
  <c r="D26" i="5"/>
  <c r="E26" i="5"/>
  <c r="F26" i="5"/>
  <c r="A27" i="5"/>
  <c r="B27" i="5"/>
  <c r="C27" i="5"/>
  <c r="D27" i="5"/>
  <c r="E27" i="5"/>
  <c r="F27" i="5"/>
  <c r="A28" i="5"/>
  <c r="B28" i="5"/>
  <c r="C28" i="5"/>
  <c r="D28" i="5"/>
  <c r="E28" i="5"/>
  <c r="F28" i="5"/>
  <c r="A29" i="5"/>
  <c r="B29" i="5"/>
  <c r="C29" i="5"/>
  <c r="D29" i="5"/>
  <c r="E29" i="5"/>
  <c r="F29" i="5"/>
  <c r="A30" i="5"/>
  <c r="B30" i="5"/>
  <c r="C30" i="5"/>
  <c r="D30" i="5"/>
  <c r="E30" i="5"/>
  <c r="F30" i="5"/>
  <c r="A31" i="5"/>
  <c r="B31" i="5"/>
  <c r="C31" i="5"/>
  <c r="D31" i="5"/>
  <c r="E31" i="5"/>
  <c r="F31" i="5"/>
  <c r="A32" i="5"/>
  <c r="B32" i="5"/>
  <c r="C32" i="5"/>
  <c r="D32" i="5"/>
  <c r="E32" i="5"/>
  <c r="F32" i="5"/>
  <c r="A33" i="5"/>
  <c r="B33" i="5"/>
  <c r="C33" i="5"/>
  <c r="D33" i="5"/>
  <c r="E33" i="5"/>
  <c r="F33" i="5"/>
  <c r="A34" i="5"/>
  <c r="B34" i="5"/>
  <c r="C34" i="5"/>
  <c r="D34" i="5"/>
  <c r="E34" i="5"/>
  <c r="F34" i="5"/>
  <c r="A35" i="5"/>
  <c r="B35" i="5"/>
  <c r="C35" i="5"/>
  <c r="D35" i="5"/>
  <c r="E35" i="5"/>
  <c r="F35" i="5"/>
  <c r="A36" i="5"/>
  <c r="B36" i="5"/>
  <c r="C36" i="5"/>
  <c r="D36" i="5"/>
  <c r="E36" i="5"/>
  <c r="F36" i="5"/>
  <c r="A37" i="5"/>
  <c r="B37" i="5"/>
  <c r="C37" i="5"/>
  <c r="D37" i="5"/>
  <c r="E37" i="5"/>
  <c r="F37" i="5"/>
  <c r="A38" i="5"/>
  <c r="B38" i="5"/>
  <c r="C38" i="5"/>
  <c r="D38" i="5"/>
  <c r="E38" i="5"/>
  <c r="F38" i="5"/>
  <c r="A39" i="5"/>
  <c r="B39" i="5"/>
  <c r="C39" i="5"/>
  <c r="D39" i="5"/>
  <c r="E39" i="5"/>
  <c r="F39" i="5"/>
  <c r="A40" i="5"/>
  <c r="B40" i="5"/>
  <c r="C40" i="5"/>
  <c r="D40" i="5"/>
  <c r="E40" i="5"/>
  <c r="F40" i="5"/>
  <c r="A41" i="5"/>
  <c r="B41" i="5"/>
  <c r="C41" i="5"/>
  <c r="D41" i="5"/>
  <c r="E41" i="5"/>
  <c r="F41" i="5"/>
  <c r="A42" i="5"/>
  <c r="B42" i="5"/>
  <c r="C42" i="5"/>
  <c r="D42" i="5"/>
  <c r="E42" i="5"/>
  <c r="F42" i="5"/>
  <c r="A43" i="5"/>
  <c r="B43" i="5"/>
  <c r="C43" i="5"/>
  <c r="D43" i="5"/>
  <c r="E43" i="5"/>
  <c r="F43" i="5"/>
  <c r="A44" i="5"/>
  <c r="B44" i="5"/>
  <c r="C44" i="5"/>
  <c r="D44" i="5"/>
  <c r="E44" i="5"/>
  <c r="F44" i="5"/>
  <c r="A45" i="5"/>
  <c r="B45" i="5"/>
  <c r="C45" i="5"/>
  <c r="D45" i="5"/>
  <c r="E45" i="5"/>
  <c r="F45" i="5"/>
  <c r="A46" i="5"/>
  <c r="B46" i="5"/>
  <c r="C46" i="5"/>
  <c r="D46" i="5"/>
  <c r="E46" i="5"/>
  <c r="F46" i="5"/>
  <c r="A47" i="5"/>
  <c r="B47" i="5"/>
  <c r="C47" i="5"/>
  <c r="D47" i="5"/>
  <c r="E47" i="5"/>
  <c r="F47" i="5"/>
  <c r="A48" i="5"/>
  <c r="B48" i="5"/>
  <c r="C48" i="5"/>
  <c r="D48" i="5"/>
  <c r="E48" i="5"/>
  <c r="F48" i="5"/>
  <c r="A49" i="5"/>
  <c r="B49" i="5"/>
  <c r="C49" i="5"/>
  <c r="D49" i="5"/>
  <c r="E49" i="5"/>
  <c r="F49" i="5"/>
  <c r="A50" i="5"/>
  <c r="B50" i="5"/>
  <c r="C50" i="5"/>
  <c r="D50" i="5"/>
  <c r="E50" i="5"/>
  <c r="F50" i="5"/>
  <c r="A51" i="5"/>
  <c r="B51" i="5"/>
  <c r="C51" i="5"/>
  <c r="D51" i="5"/>
  <c r="E51" i="5"/>
  <c r="F51" i="5"/>
  <c r="A52" i="5"/>
  <c r="B52" i="5"/>
  <c r="C52" i="5"/>
  <c r="D52" i="5"/>
  <c r="E52" i="5"/>
  <c r="F52" i="5"/>
  <c r="A53" i="5"/>
  <c r="B53" i="5"/>
  <c r="C53" i="5"/>
  <c r="D53" i="5"/>
  <c r="E53" i="5"/>
  <c r="F53" i="5"/>
  <c r="A54" i="5"/>
  <c r="B54" i="5"/>
  <c r="C54" i="5"/>
  <c r="D54" i="5"/>
  <c r="E54" i="5"/>
  <c r="F54" i="5"/>
  <c r="A55" i="5"/>
  <c r="B55" i="5"/>
  <c r="C55" i="5"/>
  <c r="D55" i="5"/>
  <c r="E55" i="5"/>
  <c r="F55" i="5"/>
  <c r="A56" i="5"/>
  <c r="B56" i="5"/>
  <c r="C56" i="5"/>
  <c r="D56" i="5"/>
  <c r="E56" i="5"/>
  <c r="F56" i="5"/>
  <c r="A57" i="5"/>
  <c r="B57" i="5"/>
  <c r="C57" i="5"/>
  <c r="D57" i="5"/>
  <c r="E57" i="5"/>
  <c r="F57" i="5"/>
  <c r="A58" i="5"/>
  <c r="B58" i="5"/>
  <c r="C58" i="5"/>
  <c r="D58" i="5"/>
  <c r="E58" i="5"/>
  <c r="F58" i="5"/>
  <c r="A59" i="5"/>
  <c r="B59" i="5"/>
  <c r="C59" i="5"/>
  <c r="D59" i="5"/>
  <c r="E59" i="5"/>
  <c r="F59" i="5"/>
  <c r="A60" i="5"/>
  <c r="B60" i="5"/>
  <c r="C60" i="5"/>
  <c r="D60" i="5"/>
  <c r="E60" i="5"/>
  <c r="F60" i="5"/>
  <c r="A61" i="5"/>
  <c r="B61" i="5"/>
  <c r="C61" i="5"/>
  <c r="D61" i="5"/>
  <c r="E61" i="5"/>
  <c r="F61" i="5"/>
  <c r="A62" i="5"/>
  <c r="B62" i="5"/>
  <c r="C62" i="5"/>
  <c r="D62" i="5"/>
  <c r="E62" i="5"/>
  <c r="F62" i="5"/>
  <c r="A63" i="5"/>
  <c r="B63" i="5"/>
  <c r="C63" i="5"/>
  <c r="D63" i="5"/>
  <c r="E63" i="5"/>
  <c r="F63" i="5"/>
  <c r="A64" i="5"/>
  <c r="B64" i="5"/>
  <c r="C64" i="5"/>
  <c r="D64" i="5"/>
  <c r="E64" i="5"/>
  <c r="F64" i="5"/>
  <c r="A65" i="5"/>
  <c r="B65" i="5"/>
  <c r="C65" i="5"/>
  <c r="D65" i="5"/>
  <c r="E65" i="5"/>
  <c r="F65" i="5"/>
  <c r="A66" i="5"/>
  <c r="B66" i="5"/>
  <c r="C66" i="5"/>
  <c r="D66" i="5"/>
  <c r="E66" i="5"/>
  <c r="F66" i="5"/>
  <c r="A67" i="5"/>
  <c r="B67" i="5"/>
  <c r="C67" i="5"/>
  <c r="D67" i="5"/>
  <c r="E67" i="5"/>
  <c r="F67" i="5"/>
  <c r="A68" i="5"/>
  <c r="B68" i="5"/>
  <c r="C68" i="5"/>
  <c r="D68" i="5"/>
  <c r="E68" i="5"/>
  <c r="F68" i="5"/>
  <c r="A69" i="5"/>
  <c r="B69" i="5"/>
  <c r="C69" i="5"/>
  <c r="D69" i="5"/>
  <c r="E69" i="5"/>
  <c r="F69" i="5"/>
  <c r="A70" i="5"/>
  <c r="B70" i="5"/>
  <c r="C70" i="5"/>
  <c r="D70" i="5"/>
  <c r="E70" i="5"/>
  <c r="F70" i="5"/>
  <c r="A71" i="5"/>
  <c r="B71" i="5"/>
  <c r="C71" i="5"/>
  <c r="D71" i="5"/>
  <c r="E71" i="5"/>
  <c r="F71" i="5"/>
  <c r="A72" i="5"/>
  <c r="B72" i="5"/>
  <c r="C72" i="5"/>
  <c r="D72" i="5"/>
  <c r="E72" i="5"/>
  <c r="F72" i="5"/>
  <c r="A73" i="5"/>
  <c r="B73" i="5"/>
  <c r="C73" i="5"/>
  <c r="D73" i="5"/>
  <c r="E73" i="5"/>
  <c r="F73" i="5"/>
  <c r="A74" i="5"/>
  <c r="B74" i="5"/>
  <c r="C74" i="5"/>
  <c r="D74" i="5"/>
  <c r="E74" i="5"/>
  <c r="F74" i="5"/>
  <c r="A75" i="5"/>
  <c r="B75" i="5"/>
  <c r="C75" i="5"/>
  <c r="D75" i="5"/>
  <c r="E75" i="5"/>
  <c r="F75" i="5"/>
  <c r="A76" i="5"/>
  <c r="B76" i="5"/>
  <c r="C76" i="5"/>
  <c r="D76" i="5"/>
  <c r="E76" i="5"/>
  <c r="F76" i="5"/>
  <c r="A77" i="5"/>
  <c r="B77" i="5"/>
  <c r="C77" i="5"/>
  <c r="D77" i="5"/>
  <c r="E77" i="5"/>
  <c r="F77" i="5"/>
  <c r="A78" i="5"/>
  <c r="B78" i="5"/>
  <c r="C78" i="5"/>
  <c r="D78" i="5"/>
  <c r="E78" i="5"/>
  <c r="F78" i="5"/>
  <c r="A79" i="5"/>
  <c r="B79" i="5"/>
  <c r="C79" i="5"/>
  <c r="D79" i="5"/>
  <c r="E79" i="5"/>
  <c r="F79" i="5"/>
  <c r="A80" i="5"/>
  <c r="B80" i="5"/>
  <c r="C80" i="5"/>
  <c r="D80" i="5"/>
  <c r="E80" i="5"/>
  <c r="F80" i="5"/>
  <c r="A81" i="5"/>
  <c r="B81" i="5"/>
  <c r="C81" i="5"/>
  <c r="D81" i="5"/>
  <c r="E81" i="5"/>
  <c r="F81" i="5"/>
  <c r="A82" i="5"/>
  <c r="B82" i="5"/>
  <c r="C82" i="5"/>
  <c r="D82" i="5"/>
  <c r="E82" i="5"/>
  <c r="F82" i="5"/>
  <c r="A83" i="5"/>
  <c r="B83" i="5"/>
  <c r="C83" i="5"/>
  <c r="D83" i="5"/>
  <c r="E83" i="5"/>
  <c r="F83" i="5"/>
  <c r="A84" i="5"/>
  <c r="B84" i="5"/>
  <c r="C84" i="5"/>
  <c r="D84" i="5"/>
  <c r="E84" i="5"/>
  <c r="F84" i="5"/>
  <c r="A85" i="5"/>
  <c r="B85" i="5"/>
  <c r="C85" i="5"/>
  <c r="D85" i="5"/>
  <c r="E85" i="5"/>
  <c r="F85" i="5"/>
  <c r="A86" i="5"/>
  <c r="B86" i="5"/>
  <c r="C86" i="5"/>
  <c r="D86" i="5"/>
  <c r="E86" i="5"/>
  <c r="F86" i="5"/>
  <c r="A87" i="5"/>
  <c r="B87" i="5"/>
  <c r="C87" i="5"/>
  <c r="D87" i="5"/>
  <c r="E87" i="5"/>
  <c r="F87" i="5"/>
  <c r="A88" i="5"/>
  <c r="B88" i="5"/>
  <c r="C88" i="5"/>
  <c r="D88" i="5"/>
  <c r="E88" i="5"/>
  <c r="F88" i="5"/>
  <c r="A89" i="5"/>
  <c r="B89" i="5"/>
  <c r="C89" i="5"/>
  <c r="D89" i="5"/>
  <c r="E89" i="5"/>
  <c r="F89" i="5"/>
  <c r="A90" i="5"/>
  <c r="B90" i="5"/>
  <c r="C90" i="5"/>
  <c r="D90" i="5"/>
  <c r="E90" i="5"/>
  <c r="F90" i="5"/>
  <c r="A91" i="5"/>
  <c r="B91" i="5"/>
  <c r="C91" i="5"/>
  <c r="D91" i="5"/>
  <c r="E91" i="5"/>
  <c r="F91" i="5"/>
  <c r="A92" i="5"/>
  <c r="B92" i="5"/>
  <c r="C92" i="5"/>
  <c r="D92" i="5"/>
  <c r="E92" i="5"/>
  <c r="F92" i="5"/>
  <c r="A93" i="5"/>
  <c r="B93" i="5"/>
  <c r="C93" i="5"/>
  <c r="D93" i="5"/>
  <c r="E93" i="5"/>
  <c r="F93" i="5"/>
  <c r="A94" i="5"/>
  <c r="B94" i="5"/>
  <c r="C94" i="5"/>
  <c r="D94" i="5"/>
  <c r="E94" i="5"/>
  <c r="F94" i="5"/>
  <c r="A95" i="5"/>
  <c r="B95" i="5"/>
  <c r="C95" i="5"/>
  <c r="D95" i="5"/>
  <c r="E95" i="5"/>
  <c r="F95" i="5"/>
  <c r="A96" i="5"/>
  <c r="B96" i="5"/>
  <c r="C96" i="5"/>
  <c r="D96" i="5"/>
  <c r="E96" i="5"/>
  <c r="F96" i="5"/>
  <c r="A97" i="5"/>
  <c r="B97" i="5"/>
  <c r="C97" i="5"/>
  <c r="D97" i="5"/>
  <c r="E97" i="5"/>
  <c r="F97" i="5"/>
  <c r="A98" i="5"/>
  <c r="B98" i="5"/>
  <c r="C98" i="5"/>
  <c r="D98" i="5"/>
  <c r="E98" i="5"/>
  <c r="F98" i="5"/>
  <c r="A99" i="5"/>
  <c r="B99" i="5"/>
  <c r="C99" i="5"/>
  <c r="D99" i="5"/>
  <c r="E99" i="5"/>
  <c r="F99" i="5"/>
  <c r="A100" i="5"/>
  <c r="B100" i="5"/>
  <c r="C100" i="5"/>
  <c r="D100" i="5"/>
  <c r="E100" i="5"/>
  <c r="F100" i="5"/>
  <c r="A101" i="5"/>
  <c r="B101" i="5"/>
  <c r="C101" i="5"/>
  <c r="D101" i="5"/>
  <c r="E101" i="5"/>
  <c r="F101" i="5"/>
  <c r="A102" i="5"/>
  <c r="B102" i="5"/>
  <c r="C102" i="5"/>
  <c r="D102" i="5"/>
  <c r="E102" i="5"/>
  <c r="F102" i="5"/>
  <c r="A103" i="5"/>
  <c r="B103" i="5"/>
  <c r="C103" i="5"/>
  <c r="D103" i="5"/>
  <c r="E103" i="5"/>
  <c r="F103" i="5"/>
  <c r="A104" i="5"/>
  <c r="B104" i="5"/>
  <c r="C104" i="5"/>
  <c r="D104" i="5"/>
  <c r="E104" i="5"/>
  <c r="F104" i="5"/>
  <c r="A105" i="5"/>
  <c r="B105" i="5"/>
  <c r="C105" i="5"/>
  <c r="D105" i="5"/>
  <c r="E105" i="5"/>
  <c r="F105" i="5"/>
  <c r="A106" i="5"/>
  <c r="B106" i="5"/>
  <c r="C106" i="5"/>
  <c r="D106" i="5"/>
  <c r="E106" i="5"/>
  <c r="F106" i="5"/>
  <c r="A107" i="5"/>
  <c r="B107" i="5"/>
  <c r="C107" i="5"/>
  <c r="D107" i="5"/>
  <c r="E107" i="5"/>
  <c r="F107" i="5"/>
  <c r="A108" i="5"/>
  <c r="B108" i="5"/>
  <c r="C108" i="5"/>
  <c r="D108" i="5"/>
  <c r="E108" i="5"/>
  <c r="F108" i="5"/>
  <c r="A109" i="5"/>
  <c r="B109" i="5"/>
  <c r="C109" i="5"/>
  <c r="D109" i="5"/>
  <c r="E109" i="5"/>
  <c r="F109" i="5"/>
  <c r="A110" i="5"/>
  <c r="B110" i="5"/>
  <c r="C110" i="5"/>
  <c r="D110" i="5"/>
  <c r="E110" i="5"/>
  <c r="F110" i="5"/>
  <c r="A111" i="5"/>
  <c r="B111" i="5"/>
  <c r="C111" i="5"/>
  <c r="D111" i="5"/>
  <c r="E111" i="5"/>
  <c r="F111" i="5"/>
  <c r="A112" i="5"/>
  <c r="B112" i="5"/>
  <c r="C112" i="5"/>
  <c r="D112" i="5"/>
  <c r="E112" i="5"/>
  <c r="F112" i="5"/>
  <c r="A113" i="5"/>
  <c r="B113" i="5"/>
  <c r="C113" i="5"/>
  <c r="D113" i="5"/>
  <c r="E113" i="5"/>
  <c r="F113" i="5"/>
  <c r="A114" i="5"/>
  <c r="B114" i="5"/>
  <c r="C114" i="5"/>
  <c r="D114" i="5"/>
  <c r="E114" i="5"/>
  <c r="F114" i="5"/>
  <c r="A115" i="5"/>
  <c r="B115" i="5"/>
  <c r="C115" i="5"/>
  <c r="D115" i="5"/>
  <c r="E115" i="5"/>
  <c r="F115" i="5"/>
  <c r="A116" i="5"/>
  <c r="B116" i="5"/>
  <c r="C116" i="5"/>
  <c r="D116" i="5"/>
  <c r="E116" i="5"/>
  <c r="F116" i="5"/>
  <c r="A117" i="5"/>
  <c r="B117" i="5"/>
  <c r="C117" i="5"/>
  <c r="D117" i="5"/>
  <c r="E117" i="5"/>
  <c r="F117" i="5"/>
  <c r="A118" i="5"/>
  <c r="B118" i="5"/>
  <c r="C118" i="5"/>
  <c r="D118" i="5"/>
  <c r="E118" i="5"/>
  <c r="F118" i="5"/>
  <c r="A119" i="5"/>
  <c r="B119" i="5"/>
  <c r="C119" i="5"/>
  <c r="D119" i="5"/>
  <c r="E119" i="5"/>
  <c r="F119" i="5"/>
  <c r="A120" i="5"/>
  <c r="B120" i="5"/>
  <c r="C120" i="5"/>
  <c r="D120" i="5"/>
  <c r="E120" i="5"/>
  <c r="F120" i="5"/>
  <c r="A121" i="5"/>
  <c r="B121" i="5"/>
  <c r="C121" i="5"/>
  <c r="D121" i="5"/>
  <c r="E121" i="5"/>
  <c r="F121" i="5"/>
  <c r="A122" i="5"/>
  <c r="B122" i="5"/>
  <c r="C122" i="5"/>
  <c r="D122" i="5"/>
  <c r="E122" i="5"/>
  <c r="F122" i="5"/>
  <c r="A123" i="5"/>
  <c r="B123" i="5"/>
  <c r="C123" i="5"/>
  <c r="D123" i="5"/>
  <c r="E123" i="5"/>
  <c r="F123" i="5"/>
  <c r="A124" i="5"/>
  <c r="B124" i="5"/>
  <c r="C124" i="5"/>
  <c r="D124" i="5"/>
  <c r="E124" i="5"/>
  <c r="F124" i="5"/>
  <c r="A125" i="5"/>
  <c r="B125" i="5"/>
  <c r="C125" i="5"/>
  <c r="D125" i="5"/>
  <c r="E125" i="5"/>
  <c r="F125" i="5"/>
  <c r="A126" i="5"/>
  <c r="B126" i="5"/>
  <c r="C126" i="5"/>
  <c r="D126" i="5"/>
  <c r="E126" i="5"/>
  <c r="F126" i="5"/>
  <c r="A127" i="5"/>
  <c r="B127" i="5"/>
  <c r="C127" i="5"/>
  <c r="D127" i="5"/>
  <c r="E127" i="5"/>
  <c r="F127" i="5"/>
  <c r="A128" i="5"/>
  <c r="B128" i="5"/>
  <c r="C128" i="5"/>
  <c r="D128" i="5"/>
  <c r="E128" i="5"/>
  <c r="F128" i="5"/>
  <c r="A129" i="5"/>
  <c r="B129" i="5"/>
  <c r="C129" i="5"/>
  <c r="D129" i="5"/>
  <c r="E129" i="5"/>
  <c r="F129" i="5"/>
  <c r="A130" i="5"/>
  <c r="B130" i="5"/>
  <c r="C130" i="5"/>
  <c r="D130" i="5"/>
  <c r="E130" i="5"/>
  <c r="F130" i="5"/>
  <c r="A131" i="5"/>
  <c r="B131" i="5"/>
  <c r="C131" i="5"/>
  <c r="D131" i="5"/>
  <c r="E131" i="5"/>
  <c r="F131" i="5"/>
  <c r="A132" i="5"/>
  <c r="B132" i="5"/>
  <c r="C132" i="5"/>
  <c r="D132" i="5"/>
  <c r="E132" i="5"/>
  <c r="F132" i="5"/>
  <c r="A133" i="5"/>
  <c r="B133" i="5"/>
  <c r="C133" i="5"/>
  <c r="D133" i="5"/>
  <c r="E133" i="5"/>
  <c r="F133" i="5"/>
  <c r="A134" i="5"/>
  <c r="B134" i="5"/>
  <c r="C134" i="5"/>
  <c r="D134" i="5"/>
  <c r="E134" i="5"/>
  <c r="F134" i="5"/>
  <c r="A135" i="5"/>
  <c r="B135" i="5"/>
  <c r="C135" i="5"/>
  <c r="D135" i="5"/>
  <c r="E135" i="5"/>
  <c r="F135" i="5"/>
  <c r="A136" i="5"/>
  <c r="B136" i="5"/>
  <c r="C136" i="5"/>
  <c r="D136" i="5"/>
  <c r="E136" i="5"/>
  <c r="F136" i="5"/>
  <c r="A137" i="5"/>
  <c r="B137" i="5"/>
  <c r="C137" i="5"/>
  <c r="D137" i="5"/>
  <c r="E137" i="5"/>
  <c r="F137" i="5"/>
  <c r="A138" i="5"/>
  <c r="B138" i="5"/>
  <c r="C138" i="5"/>
  <c r="D138" i="5"/>
  <c r="E138" i="5"/>
  <c r="F138" i="5"/>
  <c r="A139" i="5"/>
  <c r="B139" i="5"/>
  <c r="C139" i="5"/>
  <c r="D139" i="5"/>
  <c r="E139" i="5"/>
  <c r="F139" i="5"/>
  <c r="A140" i="5"/>
  <c r="B140" i="5"/>
  <c r="C140" i="5"/>
  <c r="D140" i="5"/>
  <c r="E140" i="5"/>
  <c r="F140" i="5"/>
  <c r="A141" i="5"/>
  <c r="B141" i="5"/>
  <c r="C141" i="5"/>
  <c r="D141" i="5"/>
  <c r="E141" i="5"/>
  <c r="F141" i="5"/>
  <c r="A142" i="5"/>
  <c r="B142" i="5"/>
  <c r="C142" i="5"/>
  <c r="D142" i="5"/>
  <c r="E142" i="5"/>
  <c r="F142" i="5"/>
  <c r="A143" i="5"/>
  <c r="B143" i="5"/>
  <c r="C143" i="5"/>
  <c r="D143" i="5"/>
  <c r="E143" i="5"/>
  <c r="F143" i="5"/>
  <c r="A144" i="5"/>
  <c r="B144" i="5"/>
  <c r="C144" i="5"/>
  <c r="D144" i="5"/>
  <c r="E144" i="5"/>
  <c r="F144" i="5"/>
  <c r="A145" i="5"/>
  <c r="B145" i="5"/>
  <c r="C145" i="5"/>
  <c r="D145" i="5"/>
  <c r="E145" i="5"/>
  <c r="F145" i="5"/>
  <c r="A146" i="5"/>
  <c r="B146" i="5"/>
  <c r="C146" i="5"/>
  <c r="D146" i="5"/>
  <c r="E146" i="5"/>
  <c r="F146" i="5"/>
  <c r="A147" i="5"/>
  <c r="B147" i="5"/>
  <c r="C147" i="5"/>
  <c r="D147" i="5"/>
  <c r="E147" i="5"/>
  <c r="F147" i="5"/>
  <c r="A148" i="5"/>
  <c r="B148" i="5"/>
  <c r="C148" i="5"/>
  <c r="D148" i="5"/>
  <c r="E148" i="5"/>
  <c r="F148" i="5"/>
  <c r="A149" i="5"/>
  <c r="B149" i="5"/>
  <c r="C149" i="5"/>
  <c r="D149" i="5"/>
  <c r="E149" i="5"/>
  <c r="F149" i="5"/>
  <c r="A150" i="5"/>
  <c r="B150" i="5"/>
  <c r="C150" i="5"/>
  <c r="D150" i="5"/>
  <c r="E150" i="5"/>
  <c r="F150" i="5"/>
  <c r="A151" i="5"/>
  <c r="B151" i="5"/>
  <c r="C151" i="5"/>
  <c r="D151" i="5"/>
  <c r="E151" i="5"/>
  <c r="F151" i="5"/>
  <c r="A152" i="5"/>
  <c r="B152" i="5"/>
  <c r="C152" i="5"/>
  <c r="D152" i="5"/>
  <c r="E152" i="5"/>
  <c r="F152" i="5"/>
  <c r="A153" i="5"/>
  <c r="B153" i="5"/>
  <c r="C153" i="5"/>
  <c r="D153" i="5"/>
  <c r="E153" i="5"/>
  <c r="F153" i="5"/>
  <c r="A154" i="5"/>
  <c r="B154" i="5"/>
  <c r="C154" i="5"/>
  <c r="D154" i="5"/>
  <c r="E154" i="5"/>
  <c r="F154" i="5"/>
  <c r="A155" i="5"/>
  <c r="B155" i="5"/>
  <c r="C155" i="5"/>
  <c r="D155" i="5"/>
  <c r="E155" i="5"/>
  <c r="F155" i="5"/>
  <c r="A156" i="5"/>
  <c r="B156" i="5"/>
  <c r="C156" i="5"/>
  <c r="D156" i="5"/>
  <c r="E156" i="5"/>
  <c r="F156" i="5"/>
  <c r="A157" i="5"/>
  <c r="B157" i="5"/>
  <c r="C157" i="5"/>
  <c r="D157" i="5"/>
  <c r="E157" i="5"/>
  <c r="F157" i="5"/>
  <c r="A158" i="5"/>
  <c r="B158" i="5"/>
  <c r="C158" i="5"/>
  <c r="D158" i="5"/>
  <c r="E158" i="5"/>
  <c r="F158" i="5"/>
  <c r="A159" i="5"/>
  <c r="B159" i="5"/>
  <c r="C159" i="5"/>
  <c r="D159" i="5"/>
  <c r="E159" i="5"/>
  <c r="F159" i="5"/>
  <c r="A160" i="5"/>
  <c r="B160" i="5"/>
  <c r="C160" i="5"/>
  <c r="D160" i="5"/>
  <c r="E160" i="5"/>
  <c r="F160" i="5"/>
  <c r="A161" i="5"/>
  <c r="B161" i="5"/>
  <c r="C161" i="5"/>
  <c r="D161" i="5"/>
  <c r="E161" i="5"/>
  <c r="F161" i="5"/>
  <c r="A162" i="5"/>
  <c r="B162" i="5"/>
  <c r="C162" i="5"/>
  <c r="D162" i="5"/>
  <c r="E162" i="5"/>
  <c r="F162" i="5"/>
  <c r="A163" i="5"/>
  <c r="B163" i="5"/>
  <c r="C163" i="5"/>
  <c r="D163" i="5"/>
  <c r="E163" i="5"/>
  <c r="F163" i="5"/>
  <c r="A164" i="5"/>
  <c r="B164" i="5"/>
  <c r="C164" i="5"/>
  <c r="D164" i="5"/>
  <c r="E164" i="5"/>
  <c r="F164" i="5"/>
  <c r="A165" i="5"/>
  <c r="B165" i="5"/>
  <c r="C165" i="5"/>
  <c r="D165" i="5"/>
  <c r="E165" i="5"/>
  <c r="F165" i="5"/>
  <c r="A166" i="5"/>
  <c r="B166" i="5"/>
  <c r="C166" i="5"/>
  <c r="D166" i="5"/>
  <c r="E166" i="5"/>
  <c r="F166" i="5"/>
  <c r="A167" i="5"/>
  <c r="B167" i="5"/>
  <c r="C167" i="5"/>
  <c r="D167" i="5"/>
  <c r="E167" i="5"/>
  <c r="F167" i="5"/>
  <c r="A168" i="5"/>
  <c r="B168" i="5"/>
  <c r="C168" i="5"/>
  <c r="D168" i="5"/>
  <c r="E168" i="5"/>
  <c r="F168" i="5"/>
  <c r="A169" i="5"/>
  <c r="B169" i="5"/>
  <c r="C169" i="5"/>
  <c r="D169" i="5"/>
  <c r="E169" i="5"/>
  <c r="F169" i="5"/>
  <c r="A170" i="5"/>
  <c r="B170" i="5"/>
  <c r="C170" i="5"/>
  <c r="D170" i="5"/>
  <c r="E170" i="5"/>
  <c r="F170" i="5"/>
  <c r="A171" i="5"/>
  <c r="B171" i="5"/>
  <c r="C171" i="5"/>
  <c r="D171" i="5"/>
  <c r="E171" i="5"/>
  <c r="F171" i="5"/>
  <c r="A172" i="5"/>
  <c r="B172" i="5"/>
  <c r="C172" i="5"/>
  <c r="D172" i="5"/>
  <c r="E172" i="5"/>
  <c r="F172" i="5"/>
  <c r="A173" i="5"/>
  <c r="B173" i="5"/>
  <c r="C173" i="5"/>
  <c r="D173" i="5"/>
  <c r="E173" i="5"/>
  <c r="F173" i="5"/>
  <c r="A174" i="5"/>
  <c r="B174" i="5"/>
  <c r="C174" i="5"/>
  <c r="D174" i="5"/>
  <c r="E174" i="5"/>
  <c r="F174" i="5"/>
  <c r="A175" i="5"/>
  <c r="B175" i="5"/>
  <c r="C175" i="5"/>
  <c r="D175" i="5"/>
  <c r="E175" i="5"/>
  <c r="F175" i="5"/>
  <c r="A176" i="5"/>
  <c r="B176" i="5"/>
  <c r="C176" i="5"/>
  <c r="D176" i="5"/>
  <c r="E176" i="5"/>
  <c r="F176" i="5"/>
  <c r="A177" i="5"/>
  <c r="B177" i="5"/>
  <c r="C177" i="5"/>
  <c r="D177" i="5"/>
  <c r="E177" i="5"/>
  <c r="F177" i="5"/>
  <c r="A178" i="5"/>
  <c r="B178" i="5"/>
  <c r="C178" i="5"/>
  <c r="D178" i="5"/>
  <c r="E178" i="5"/>
  <c r="F178" i="5"/>
  <c r="A179" i="5"/>
  <c r="B179" i="5"/>
  <c r="C179" i="5"/>
  <c r="D179" i="5"/>
  <c r="E179" i="5"/>
  <c r="F179" i="5"/>
  <c r="A180" i="5"/>
  <c r="B180" i="5"/>
  <c r="C180" i="5"/>
  <c r="D180" i="5"/>
  <c r="E180" i="5"/>
  <c r="F180" i="5"/>
  <c r="A181" i="5"/>
  <c r="B181" i="5"/>
  <c r="C181" i="5"/>
  <c r="D181" i="5"/>
  <c r="E181" i="5"/>
  <c r="F181" i="5"/>
  <c r="A182" i="5"/>
  <c r="B182" i="5"/>
  <c r="C182" i="5"/>
  <c r="D182" i="5"/>
  <c r="E182" i="5"/>
  <c r="F182" i="5"/>
  <c r="A183" i="5"/>
  <c r="B183" i="5"/>
  <c r="C183" i="5"/>
  <c r="D183" i="5"/>
  <c r="E183" i="5"/>
  <c r="F183" i="5"/>
  <c r="A184" i="5"/>
  <c r="B184" i="5"/>
  <c r="C184" i="5"/>
  <c r="D184" i="5"/>
  <c r="E184" i="5"/>
  <c r="F184" i="5"/>
  <c r="A185" i="5"/>
  <c r="B185" i="5"/>
  <c r="C185" i="5"/>
  <c r="D185" i="5"/>
  <c r="E185" i="5"/>
  <c r="F185" i="5"/>
  <c r="A186" i="5"/>
  <c r="B186" i="5"/>
  <c r="C186" i="5"/>
  <c r="D186" i="5"/>
  <c r="E186" i="5"/>
  <c r="F186" i="5"/>
  <c r="A187" i="5"/>
  <c r="B187" i="5"/>
  <c r="C187" i="5"/>
  <c r="D187" i="5"/>
  <c r="E187" i="5"/>
  <c r="F187" i="5"/>
  <c r="A188" i="5"/>
  <c r="B188" i="5"/>
  <c r="C188" i="5"/>
  <c r="D188" i="5"/>
  <c r="E188" i="5"/>
  <c r="F188" i="5"/>
  <c r="A189" i="5"/>
  <c r="B189" i="5"/>
  <c r="C189" i="5"/>
  <c r="D189" i="5"/>
  <c r="E189" i="5"/>
  <c r="F189" i="5"/>
  <c r="A190" i="5"/>
  <c r="B190" i="5"/>
  <c r="C190" i="5"/>
  <c r="D190" i="5"/>
  <c r="E190" i="5"/>
  <c r="F190" i="5"/>
  <c r="A191" i="5"/>
  <c r="B191" i="5"/>
  <c r="C191" i="5"/>
  <c r="D191" i="5"/>
  <c r="E191" i="5"/>
  <c r="F191" i="5"/>
  <c r="A192" i="5"/>
  <c r="B192" i="5"/>
  <c r="C192" i="5"/>
  <c r="D192" i="5"/>
  <c r="E192" i="5"/>
  <c r="F192" i="5"/>
  <c r="A193" i="5"/>
  <c r="B193" i="5"/>
  <c r="C193" i="5"/>
  <c r="D193" i="5"/>
  <c r="E193" i="5"/>
  <c r="F193" i="5"/>
  <c r="A194" i="5"/>
  <c r="B194" i="5"/>
  <c r="C194" i="5"/>
  <c r="D194" i="5"/>
  <c r="E194" i="5"/>
  <c r="F194" i="5"/>
  <c r="A195" i="5"/>
  <c r="B195" i="5"/>
  <c r="C195" i="5"/>
  <c r="D195" i="5"/>
  <c r="E195" i="5"/>
  <c r="F195" i="5"/>
  <c r="A196" i="5"/>
  <c r="B196" i="5"/>
  <c r="C196" i="5"/>
  <c r="D196" i="5"/>
  <c r="E196" i="5"/>
  <c r="F196" i="5"/>
  <c r="A197" i="5"/>
  <c r="B197" i="5"/>
  <c r="C197" i="5"/>
  <c r="D197" i="5"/>
  <c r="E197" i="5"/>
  <c r="F197" i="5"/>
  <c r="A198" i="5"/>
  <c r="B198" i="5"/>
  <c r="C198" i="5"/>
  <c r="D198" i="5"/>
  <c r="E198" i="5"/>
  <c r="F198" i="5"/>
  <c r="A199" i="5"/>
  <c r="B199" i="5"/>
  <c r="C199" i="5"/>
  <c r="D199" i="5"/>
  <c r="E199" i="5"/>
  <c r="F199" i="5"/>
  <c r="A200" i="5"/>
  <c r="B200" i="5"/>
  <c r="C200" i="5"/>
  <c r="D200" i="5"/>
  <c r="E200" i="5"/>
  <c r="F200" i="5"/>
  <c r="A201" i="5"/>
  <c r="B201" i="5"/>
  <c r="C201" i="5"/>
  <c r="D201" i="5"/>
  <c r="E201" i="5"/>
  <c r="F201" i="5"/>
  <c r="A202" i="5"/>
  <c r="B202" i="5"/>
  <c r="C202" i="5"/>
  <c r="D202" i="5"/>
  <c r="E202" i="5"/>
  <c r="F202" i="5"/>
  <c r="A203" i="5"/>
  <c r="B203" i="5"/>
  <c r="C203" i="5"/>
  <c r="D203" i="5"/>
  <c r="E203" i="5"/>
  <c r="F203" i="5"/>
  <c r="A204" i="5"/>
  <c r="B204" i="5"/>
  <c r="C204" i="5"/>
  <c r="D204" i="5"/>
  <c r="E204" i="5"/>
  <c r="F204" i="5"/>
  <c r="A205" i="5"/>
  <c r="B205" i="5"/>
  <c r="C205" i="5"/>
  <c r="D205" i="5"/>
  <c r="E205" i="5"/>
  <c r="F205" i="5"/>
  <c r="A206" i="5"/>
  <c r="B206" i="5"/>
  <c r="C206" i="5"/>
  <c r="D206" i="5"/>
  <c r="E206" i="5"/>
  <c r="F206" i="5"/>
  <c r="A207" i="5"/>
  <c r="B207" i="5"/>
  <c r="C207" i="5"/>
  <c r="D207" i="5"/>
  <c r="E207" i="5"/>
  <c r="F207" i="5"/>
  <c r="A208" i="5"/>
  <c r="B208" i="5"/>
  <c r="C208" i="5"/>
  <c r="D208" i="5"/>
  <c r="E208" i="5"/>
  <c r="F208" i="5"/>
  <c r="A209" i="5"/>
  <c r="B209" i="5"/>
  <c r="C209" i="5"/>
  <c r="D209" i="5"/>
  <c r="E209" i="5"/>
  <c r="F209" i="5"/>
  <c r="A210" i="5"/>
  <c r="B210" i="5"/>
  <c r="C210" i="5"/>
  <c r="D210" i="5"/>
  <c r="E210" i="5"/>
  <c r="F210" i="5"/>
  <c r="A211" i="5"/>
  <c r="B211" i="5"/>
  <c r="C211" i="5"/>
  <c r="D211" i="5"/>
  <c r="E211" i="5"/>
  <c r="F211" i="5"/>
  <c r="A212" i="5"/>
  <c r="B212" i="5"/>
  <c r="C212" i="5"/>
  <c r="D212" i="5"/>
  <c r="E212" i="5"/>
  <c r="F212" i="5"/>
  <c r="A213" i="5"/>
  <c r="B213" i="5"/>
  <c r="C213" i="5"/>
  <c r="D213" i="5"/>
  <c r="E213" i="5"/>
  <c r="F213" i="5"/>
  <c r="A214" i="5"/>
  <c r="B214" i="5"/>
  <c r="C214" i="5"/>
  <c r="D214" i="5"/>
  <c r="E214" i="5"/>
  <c r="F214" i="5"/>
  <c r="A215" i="5"/>
  <c r="B215" i="5"/>
  <c r="C215" i="5"/>
  <c r="D215" i="5"/>
  <c r="E215" i="5"/>
  <c r="F215" i="5"/>
  <c r="A216" i="5"/>
  <c r="B216" i="5"/>
  <c r="C216" i="5"/>
  <c r="D216" i="5"/>
  <c r="E216" i="5"/>
  <c r="F216" i="5"/>
  <c r="A217" i="5"/>
  <c r="B217" i="5"/>
  <c r="C217" i="5"/>
  <c r="D217" i="5"/>
  <c r="E217" i="5"/>
  <c r="F217" i="5"/>
  <c r="A218" i="5"/>
  <c r="B218" i="5"/>
  <c r="C218" i="5"/>
  <c r="D218" i="5"/>
  <c r="E218" i="5"/>
  <c r="F218" i="5"/>
  <c r="A219" i="5"/>
  <c r="B219" i="5"/>
  <c r="C219" i="5"/>
  <c r="D219" i="5"/>
  <c r="E219" i="5"/>
  <c r="F219" i="5"/>
  <c r="A220" i="5"/>
  <c r="B220" i="5"/>
  <c r="C220" i="5"/>
  <c r="D220" i="5"/>
  <c r="E220" i="5"/>
  <c r="F220" i="5"/>
  <c r="A221" i="5"/>
  <c r="B221" i="5"/>
  <c r="C221" i="5"/>
  <c r="D221" i="5"/>
  <c r="E221" i="5"/>
  <c r="F221" i="5"/>
  <c r="A222" i="5"/>
  <c r="B222" i="5"/>
  <c r="C222" i="5"/>
  <c r="D222" i="5"/>
  <c r="E222" i="5"/>
  <c r="F222" i="5"/>
  <c r="A223" i="5"/>
  <c r="B223" i="5"/>
  <c r="C223" i="5"/>
  <c r="D223" i="5"/>
  <c r="E223" i="5"/>
  <c r="F223" i="5"/>
  <c r="A224" i="5"/>
  <c r="B224" i="5"/>
  <c r="C224" i="5"/>
  <c r="D224" i="5"/>
  <c r="E224" i="5"/>
  <c r="F224" i="5"/>
  <c r="A225" i="5"/>
  <c r="B225" i="5"/>
  <c r="C225" i="5"/>
  <c r="D225" i="5"/>
  <c r="E225" i="5"/>
  <c r="F225" i="5"/>
  <c r="A226" i="5"/>
  <c r="B226" i="5"/>
  <c r="C226" i="5"/>
  <c r="D226" i="5"/>
  <c r="E226" i="5"/>
  <c r="F226" i="5"/>
  <c r="A227" i="5"/>
  <c r="B227" i="5"/>
  <c r="C227" i="5"/>
  <c r="D227" i="5"/>
  <c r="E227" i="5"/>
  <c r="F227" i="5"/>
  <c r="A228" i="5"/>
  <c r="B228" i="5"/>
  <c r="C228" i="5"/>
  <c r="D228" i="5"/>
  <c r="E228" i="5"/>
  <c r="F228" i="5"/>
  <c r="A229" i="5"/>
  <c r="B229" i="5"/>
  <c r="C229" i="5"/>
  <c r="D229" i="5"/>
  <c r="E229" i="5"/>
  <c r="F229" i="5"/>
  <c r="A230" i="5"/>
  <c r="B230" i="5"/>
  <c r="C230" i="5"/>
  <c r="D230" i="5"/>
  <c r="E230" i="5"/>
  <c r="F230" i="5"/>
  <c r="A231" i="5"/>
  <c r="B231" i="5"/>
  <c r="C231" i="5"/>
  <c r="D231" i="5"/>
  <c r="E231" i="5"/>
  <c r="F231" i="5"/>
  <c r="A232" i="5"/>
  <c r="B232" i="5"/>
  <c r="C232" i="5"/>
  <c r="D232" i="5"/>
  <c r="E232" i="5"/>
  <c r="F232" i="5"/>
  <c r="A233" i="5"/>
  <c r="B233" i="5"/>
  <c r="C233" i="5"/>
  <c r="D233" i="5"/>
  <c r="E233" i="5"/>
  <c r="F233" i="5"/>
  <c r="A234" i="5"/>
  <c r="B234" i="5"/>
  <c r="C234" i="5"/>
  <c r="D234" i="5"/>
  <c r="E234" i="5"/>
  <c r="F234" i="5"/>
  <c r="A235" i="5"/>
  <c r="B235" i="5"/>
  <c r="C235" i="5"/>
  <c r="D235" i="5"/>
  <c r="E235" i="5"/>
  <c r="F235" i="5"/>
  <c r="A236" i="5"/>
  <c r="B236" i="5"/>
  <c r="C236" i="5"/>
  <c r="D236" i="5"/>
  <c r="E236" i="5"/>
  <c r="F236" i="5"/>
  <c r="A237" i="5"/>
  <c r="B237" i="5"/>
  <c r="C237" i="5"/>
  <c r="D237" i="5"/>
  <c r="E237" i="5"/>
  <c r="F237" i="5"/>
  <c r="A238" i="5"/>
  <c r="B238" i="5"/>
  <c r="C238" i="5"/>
  <c r="D238" i="5"/>
  <c r="E238" i="5"/>
  <c r="F238" i="5"/>
  <c r="A239" i="5"/>
  <c r="B239" i="5"/>
  <c r="C239" i="5"/>
  <c r="D239" i="5"/>
  <c r="E239" i="5"/>
  <c r="F239" i="5"/>
  <c r="A240" i="5"/>
  <c r="B240" i="5"/>
  <c r="C240" i="5"/>
  <c r="D240" i="5"/>
  <c r="E240" i="5"/>
  <c r="F240" i="5"/>
  <c r="A241" i="5"/>
  <c r="B241" i="5"/>
  <c r="C241" i="5"/>
  <c r="D241" i="5"/>
  <c r="E241" i="5"/>
  <c r="F241" i="5"/>
  <c r="A242" i="5"/>
  <c r="B242" i="5"/>
  <c r="C242" i="5"/>
  <c r="D242" i="5"/>
  <c r="E242" i="5"/>
  <c r="F242" i="5"/>
  <c r="A243" i="5"/>
  <c r="B243" i="5"/>
  <c r="C243" i="5"/>
  <c r="D243" i="5"/>
  <c r="E243" i="5"/>
  <c r="F243" i="5"/>
  <c r="A244" i="5"/>
  <c r="B244" i="5"/>
  <c r="C244" i="5"/>
  <c r="D244" i="5"/>
  <c r="E244" i="5"/>
  <c r="F244" i="5"/>
  <c r="A245" i="5"/>
  <c r="B245" i="5"/>
  <c r="C245" i="5"/>
  <c r="D245" i="5"/>
  <c r="E245" i="5"/>
  <c r="F245" i="5"/>
  <c r="A246" i="5"/>
  <c r="B246" i="5"/>
  <c r="C246" i="5"/>
  <c r="D246" i="5"/>
  <c r="E246" i="5"/>
  <c r="F246" i="5"/>
  <c r="A247" i="5"/>
  <c r="B247" i="5"/>
  <c r="C247" i="5"/>
  <c r="D247" i="5"/>
  <c r="E247" i="5"/>
  <c r="F247" i="5"/>
  <c r="A248" i="5"/>
  <c r="B248" i="5"/>
  <c r="C248" i="5"/>
  <c r="D248" i="5"/>
  <c r="E248" i="5"/>
  <c r="F248" i="5"/>
  <c r="A249" i="5"/>
  <c r="B249" i="5"/>
  <c r="C249" i="5"/>
  <c r="D249" i="5"/>
  <c r="E249" i="5"/>
  <c r="F249" i="5"/>
  <c r="A250" i="5"/>
  <c r="B250" i="5"/>
  <c r="C250" i="5"/>
  <c r="D250" i="5"/>
  <c r="E250" i="5"/>
  <c r="F250" i="5"/>
  <c r="A251" i="5"/>
  <c r="B251" i="5"/>
  <c r="C251" i="5"/>
  <c r="D251" i="5"/>
  <c r="E251" i="5"/>
  <c r="F251" i="5"/>
  <c r="A252" i="5"/>
  <c r="B252" i="5"/>
  <c r="C252" i="5"/>
  <c r="D252" i="5"/>
  <c r="E252" i="5"/>
  <c r="F252" i="5"/>
  <c r="A253" i="5"/>
  <c r="B253" i="5"/>
  <c r="C253" i="5"/>
  <c r="D253" i="5"/>
  <c r="E253" i="5"/>
  <c r="F253" i="5"/>
  <c r="A254" i="5"/>
  <c r="B254" i="5"/>
  <c r="C254" i="5"/>
  <c r="D254" i="5"/>
  <c r="E254" i="5"/>
  <c r="F254" i="5"/>
  <c r="A255" i="5"/>
  <c r="B255" i="5"/>
  <c r="C255" i="5"/>
  <c r="D255" i="5"/>
  <c r="E255" i="5"/>
  <c r="F255" i="5"/>
  <c r="A256" i="5"/>
  <c r="B256" i="5"/>
  <c r="C256" i="5"/>
  <c r="D256" i="5"/>
  <c r="E256" i="5"/>
  <c r="F256" i="5"/>
  <c r="A257" i="5"/>
  <c r="B257" i="5"/>
  <c r="C257" i="5"/>
  <c r="D257" i="5"/>
  <c r="E257" i="5"/>
  <c r="F257" i="5"/>
  <c r="A258" i="5"/>
  <c r="B258" i="5"/>
  <c r="C258" i="5"/>
  <c r="D258" i="5"/>
  <c r="E258" i="5"/>
  <c r="F258" i="5"/>
  <c r="A259" i="5"/>
  <c r="B259" i="5"/>
  <c r="C259" i="5"/>
  <c r="D259" i="5"/>
  <c r="E259" i="5"/>
  <c r="F259" i="5"/>
  <c r="A260" i="5"/>
  <c r="B260" i="5"/>
  <c r="C260" i="5"/>
  <c r="D260" i="5"/>
  <c r="E260" i="5"/>
  <c r="F260" i="5"/>
  <c r="A261" i="5"/>
  <c r="B261" i="5"/>
  <c r="C261" i="5"/>
  <c r="D261" i="5"/>
  <c r="E261" i="5"/>
  <c r="F261" i="5"/>
  <c r="A262" i="5"/>
  <c r="B262" i="5"/>
  <c r="C262" i="5"/>
  <c r="D262" i="5"/>
  <c r="E262" i="5"/>
  <c r="F262" i="5"/>
  <c r="A263" i="5"/>
  <c r="B263" i="5"/>
  <c r="C263" i="5"/>
  <c r="D263" i="5"/>
  <c r="E263" i="5"/>
  <c r="F263" i="5"/>
  <c r="A264" i="5"/>
  <c r="B264" i="5"/>
  <c r="C264" i="5"/>
  <c r="D264" i="5"/>
  <c r="E264" i="5"/>
  <c r="F264" i="5"/>
  <c r="A265" i="5"/>
  <c r="B265" i="5"/>
  <c r="C265" i="5"/>
  <c r="D265" i="5"/>
  <c r="E265" i="5"/>
  <c r="F265" i="5"/>
  <c r="A266" i="5"/>
  <c r="B266" i="5"/>
  <c r="C266" i="5"/>
  <c r="D266" i="5"/>
  <c r="E266" i="5"/>
  <c r="F266" i="5"/>
  <c r="A267" i="5"/>
  <c r="B267" i="5"/>
  <c r="C267" i="5"/>
  <c r="D267" i="5"/>
  <c r="E267" i="5"/>
  <c r="F267" i="5"/>
  <c r="A268" i="5"/>
  <c r="B268" i="5"/>
  <c r="C268" i="5"/>
  <c r="D268" i="5"/>
  <c r="E268" i="5"/>
  <c r="F268" i="5"/>
  <c r="A269" i="5"/>
  <c r="B269" i="5"/>
  <c r="C269" i="5"/>
  <c r="D269" i="5"/>
  <c r="E269" i="5"/>
  <c r="F269" i="5"/>
  <c r="A270" i="5"/>
  <c r="B270" i="5"/>
  <c r="C270" i="5"/>
  <c r="D270" i="5"/>
  <c r="E270" i="5"/>
  <c r="F270" i="5"/>
  <c r="A271" i="5"/>
  <c r="B271" i="5"/>
  <c r="C271" i="5"/>
  <c r="D271" i="5"/>
  <c r="E271" i="5"/>
  <c r="F271" i="5"/>
  <c r="A272" i="5"/>
  <c r="B272" i="5"/>
  <c r="C272" i="5"/>
  <c r="D272" i="5"/>
  <c r="E272" i="5"/>
  <c r="F272" i="5"/>
  <c r="A273" i="5"/>
  <c r="B273" i="5"/>
  <c r="C273" i="5"/>
  <c r="D273" i="5"/>
  <c r="E273" i="5"/>
  <c r="F273" i="5"/>
  <c r="A274" i="5"/>
  <c r="B274" i="5"/>
  <c r="C274" i="5"/>
  <c r="D274" i="5"/>
  <c r="E274" i="5"/>
  <c r="F274" i="5"/>
  <c r="A275" i="5"/>
  <c r="B275" i="5"/>
  <c r="C275" i="5"/>
  <c r="D275" i="5"/>
  <c r="E275" i="5"/>
  <c r="F275" i="5"/>
  <c r="A276" i="5"/>
  <c r="B276" i="5"/>
  <c r="C276" i="5"/>
  <c r="D276" i="5"/>
  <c r="E276" i="5"/>
  <c r="F276" i="5"/>
  <c r="A277" i="5"/>
  <c r="B277" i="5"/>
  <c r="C277" i="5"/>
  <c r="D277" i="5"/>
  <c r="E277" i="5"/>
  <c r="F277" i="5"/>
  <c r="A278" i="5"/>
  <c r="B278" i="5"/>
  <c r="C278" i="5"/>
  <c r="D278" i="5"/>
  <c r="E278" i="5"/>
  <c r="F278" i="5"/>
  <c r="A279" i="5"/>
  <c r="B279" i="5"/>
  <c r="C279" i="5"/>
  <c r="D279" i="5"/>
  <c r="E279" i="5"/>
  <c r="F279" i="5"/>
  <c r="A280" i="5"/>
  <c r="B280" i="5"/>
  <c r="C280" i="5"/>
  <c r="D280" i="5"/>
  <c r="E280" i="5"/>
  <c r="F280" i="5"/>
  <c r="A281" i="5"/>
  <c r="B281" i="5"/>
  <c r="C281" i="5"/>
  <c r="D281" i="5"/>
  <c r="E281" i="5"/>
  <c r="F281" i="5"/>
  <c r="A282" i="5"/>
  <c r="B282" i="5"/>
  <c r="C282" i="5"/>
  <c r="D282" i="5"/>
  <c r="E282" i="5"/>
  <c r="F282" i="5"/>
  <c r="A283" i="5"/>
  <c r="B283" i="5"/>
  <c r="C283" i="5"/>
  <c r="D283" i="5"/>
  <c r="E283" i="5"/>
  <c r="F283" i="5"/>
  <c r="A284" i="5"/>
  <c r="B284" i="5"/>
  <c r="C284" i="5"/>
  <c r="D284" i="5"/>
  <c r="E284" i="5"/>
  <c r="F284" i="5"/>
  <c r="A285" i="5"/>
  <c r="B285" i="5"/>
  <c r="C285" i="5"/>
  <c r="D285" i="5"/>
  <c r="E285" i="5"/>
  <c r="F285" i="5"/>
  <c r="A286" i="5"/>
  <c r="B286" i="5"/>
  <c r="C286" i="5"/>
  <c r="D286" i="5"/>
  <c r="E286" i="5"/>
  <c r="F286" i="5"/>
  <c r="A287" i="5"/>
  <c r="B287" i="5"/>
  <c r="C287" i="5"/>
  <c r="D287" i="5"/>
  <c r="E287" i="5"/>
  <c r="F287" i="5"/>
  <c r="A288" i="5"/>
  <c r="B288" i="5"/>
  <c r="C288" i="5"/>
  <c r="D288" i="5"/>
  <c r="E288" i="5"/>
  <c r="F288" i="5"/>
  <c r="A289" i="5"/>
  <c r="B289" i="5"/>
  <c r="C289" i="5"/>
  <c r="D289" i="5"/>
  <c r="E289" i="5"/>
  <c r="F289" i="5"/>
  <c r="L3" i="5"/>
  <c r="F3" i="5"/>
  <c r="E3" i="5"/>
  <c r="D3" i="5"/>
  <c r="C3" i="5"/>
  <c r="B3" i="5"/>
  <c r="A3" i="5"/>
  <c r="G3" i="18" l="1"/>
  <c r="G2" i="18"/>
</calcChain>
</file>

<file path=xl/sharedStrings.xml><?xml version="1.0" encoding="utf-8"?>
<sst xmlns="http://schemas.openxmlformats.org/spreadsheetml/2006/main" count="1352" uniqueCount="433">
  <si>
    <t>Delivery #</t>
  </si>
  <si>
    <t>SO#</t>
  </si>
  <si>
    <t>Customer</t>
  </si>
  <si>
    <t>Time Received</t>
  </si>
  <si>
    <t>Customer Routed Yes/No</t>
  </si>
  <si>
    <t>Date Physically Closed</t>
  </si>
  <si>
    <t>Date Ship Confirmed in EBS</t>
  </si>
  <si>
    <t>Comments</t>
  </si>
  <si>
    <t>Company Name &amp; Owner of Actions</t>
  </si>
  <si>
    <t>SSD Date</t>
  </si>
  <si>
    <t>ARRIS TECHNOLOGY, INC.</t>
  </si>
  <si>
    <t>MEDIACOM</t>
  </si>
  <si>
    <t>CABLE ONE</t>
  </si>
  <si>
    <t>LIBERTY CABLEVISION OF PUERTO RICO, INC.</t>
  </si>
  <si>
    <t>MIDCONTINENT COMMUNICATIONS</t>
  </si>
  <si>
    <t>According to Cox pickup will be scheduled Wed or Fridays with a minimum of 4 plts</t>
  </si>
  <si>
    <t>CABLEMAS, S.A. DE C.V.</t>
  </si>
  <si>
    <t>Date Order Received at EI</t>
  </si>
  <si>
    <t>EI Performance</t>
  </si>
  <si>
    <t>EI TRACKING LOG</t>
  </si>
  <si>
    <t>COMCAST</t>
  </si>
  <si>
    <t>UNDER 200LBS UNPALLETIZED OR SINGLE BOX UNDER 150LBS USE FEDEX #128153870 OVER 200LBS USE OMNI LOGISTICS ACCT COMCASTLSS-COMCASTLSS@OMNILOGISTICS.COM 866-247-6664</t>
  </si>
  <si>
    <t>Shipments under 200 lbs. FedEx 128153870 over 200# Omni Acct# Comcast212 Comcast@omnilogistics.com 866-247-6664, cc omnisfoops@omnilogistics.com on all OMNI pickup requests</t>
  </si>
  <si>
    <t>Parcel ships &lt;150 lbs use UPS #2E2866. LTL ships EM ECHO at mediacom@echo.com or call 312-488-2753</t>
  </si>
  <si>
    <t>ship per Mediacom Routing Guide dated 21-Sep-2015, Contact Echo 800-354-7993 x2753 or mediacom@echo.com 'ECO for LTL shipments over 100 lbs Ship PPD&amp;ADD on orders 100 lbs or less'</t>
  </si>
  <si>
    <t>Ship Hankyu, if critical shipment and missed pick up time, email orders@scsusa.com for approval to ship FedEx</t>
  </si>
  <si>
    <t>Contact gabriel.villeneuve@derytelecom.ca Ph:418-544-3358 Ext 5506 with pieces/wt-Skid: CK Logistics team1@cklogistics.ca Appasone Samonekeo asamonekeo@cklogistics.ca 877-856-7580 ext 3391-Ph: 514-856-7580 ext 3422-Parcel:UPS Acct #5R0W90</t>
  </si>
  <si>
    <t>SCSK USA Inc.</t>
  </si>
  <si>
    <t>Product Line</t>
  </si>
  <si>
    <t>Product Family</t>
  </si>
  <si>
    <t>Product Class</t>
  </si>
  <si>
    <t>NWK ACCESS TECH</t>
  </si>
  <si>
    <t>DT4250N-50-00</t>
  </si>
  <si>
    <t>N065</t>
  </si>
  <si>
    <t>NODE MISC AURORA</t>
  </si>
  <si>
    <t>NODE</t>
  </si>
  <si>
    <t>20106387</t>
  </si>
  <si>
    <t>20106720</t>
  </si>
  <si>
    <t>NSG TECHNOLOGY INC</t>
  </si>
  <si>
    <t>SCSK CORPORATION</t>
  </si>
  <si>
    <t>SCSK Corporation C/O NEC Networks &amp; System Integration</t>
  </si>
  <si>
    <t>HNSH</t>
  </si>
  <si>
    <t>6901039</t>
  </si>
  <si>
    <t>6901384</t>
  </si>
  <si>
    <t>DERY TELECOM</t>
  </si>
  <si>
    <t>92001322</t>
  </si>
  <si>
    <t>92001326</t>
  </si>
  <si>
    <t>100lbs Or Less Use Fedex 2ndDay Account 1388-5352-7.Shipments for 100 lbs TO 300LBS CONTACT DHL Economy .For pick up sju.domestic@dhl.com;armando.ocasio@dhl.com 310LBS OR MORE CONTACT YELLYANN.VELEZ@ARRIS.COM AND CC PURCHASING@LIBERTYPR.COM</t>
  </si>
  <si>
    <t>6900739</t>
  </si>
  <si>
    <t>6900865</t>
  </si>
  <si>
    <t>6900931</t>
  </si>
  <si>
    <t>6901393</t>
  </si>
  <si>
    <t>20109817</t>
  </si>
  <si>
    <t>20110666</t>
  </si>
  <si>
    <t>Release Date</t>
  </si>
  <si>
    <t>CABLEVISION RED, S.A. DE C.V.</t>
  </si>
  <si>
    <t>6900377</t>
  </si>
  <si>
    <t>6900517</t>
  </si>
  <si>
    <t>6900936</t>
  </si>
  <si>
    <t>AUSTIN</t>
  </si>
  <si>
    <t>Row Labels</t>
  </si>
  <si>
    <t>Grand Total</t>
  </si>
  <si>
    <t>FOR EXW SEND W&amp;D TO CSR. MARITA.FERNANDEZ@ARRIS.COM. FOR FCA CONTACT FF.</t>
  </si>
  <si>
    <t>Shipped Qty</t>
  </si>
  <si>
    <t>Order Type</t>
  </si>
  <si>
    <t>Delivery Instructions-RECEIVING HOURS 7a-3:30p M-F</t>
  </si>
  <si>
    <t>90710542</t>
  </si>
  <si>
    <t>VTR</t>
  </si>
  <si>
    <t xml:space="preserve">SHIP CIF PPD OCEAN TO (PORT) PUERTO CHILE VALPARAISO. CUSTOMERS BROKER IN CHILE-Agencia de aduanas Patricio Larranaga y Cia Limitada-Matias Cousino 150 Of 540 Santiago.Email-ccaqueo@plk.cl and jponce@plk.cl. PH:01156226766251 </t>
  </si>
  <si>
    <t>Arris provides transportation to NSG</t>
  </si>
  <si>
    <t>CABLE LINK INC</t>
  </si>
  <si>
    <t>6900585</t>
  </si>
  <si>
    <t>Contact freight forwarder for pick-up ; ACSI Transport; c/o Mr. Tom Gonzales ; 650-225-9040; ; F 650.225.9042 ; C 415.335.0759; T 650.225.9040 F 650.225.9042 ; C 415.335.0759 Email: acsi-sfo@acsitrans.com; Alt. Email: acsitrans@gmail.com;</t>
  </si>
  <si>
    <t>1000065</t>
  </si>
  <si>
    <t/>
  </si>
  <si>
    <t>Physically Shipped</t>
  </si>
  <si>
    <t>Pick Lines</t>
  </si>
  <si>
    <t>Open Orders</t>
  </si>
  <si>
    <t>Rececipts</t>
  </si>
  <si>
    <t>20112588</t>
  </si>
  <si>
    <t>6900890</t>
  </si>
  <si>
    <t>Ready to ship</t>
  </si>
  <si>
    <t>Pick in progress</t>
  </si>
  <si>
    <t xml:space="preserve">Zero Pick </t>
  </si>
  <si>
    <t>6901101</t>
  </si>
  <si>
    <t>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t>
  </si>
  <si>
    <t>Lines</t>
  </si>
  <si>
    <t>Orders</t>
  </si>
  <si>
    <t>6900799</t>
  </si>
  <si>
    <t>AUR-STANDARD ORDER MIXED</t>
  </si>
  <si>
    <t>OP</t>
  </si>
  <si>
    <t>ROGERS CABLE</t>
  </si>
  <si>
    <t>DGTL XCVR ENH MULTI-MODES OF O</t>
  </si>
  <si>
    <t>20113079</t>
  </si>
  <si>
    <t>APC</t>
  </si>
  <si>
    <t>Count of DELIVERY_ID</t>
  </si>
  <si>
    <t>Pending Return</t>
  </si>
  <si>
    <t>Delivery Instructions-RECEIVING HOURS: 0700-1300</t>
  </si>
  <si>
    <t>20112586</t>
  </si>
  <si>
    <t>1000188</t>
  </si>
  <si>
    <t>1000169</t>
  </si>
  <si>
    <t>1000168</t>
  </si>
  <si>
    <t>1000186</t>
  </si>
  <si>
    <t>1000171</t>
  </si>
  <si>
    <t>1000185</t>
  </si>
  <si>
    <t>1000187</t>
  </si>
  <si>
    <t>1000177</t>
  </si>
  <si>
    <t>1000174</t>
  </si>
  <si>
    <t>1000175</t>
  </si>
  <si>
    <t>1000179</t>
  </si>
  <si>
    <t>1000180</t>
  </si>
  <si>
    <t>1000189</t>
  </si>
  <si>
    <t>1000172</t>
  </si>
  <si>
    <t>1000173</t>
  </si>
  <si>
    <t>1000176</t>
  </si>
  <si>
    <t>1000182</t>
  </si>
  <si>
    <t>1000184</t>
  </si>
  <si>
    <t>1000170</t>
  </si>
  <si>
    <t>1000183</t>
  </si>
  <si>
    <t>1000178</t>
  </si>
  <si>
    <t>1000181</t>
  </si>
  <si>
    <t>1000197</t>
  </si>
  <si>
    <t>1000199</t>
  </si>
  <si>
    <t>1000201</t>
  </si>
  <si>
    <t>1000209</t>
  </si>
  <si>
    <t>1000234</t>
  </si>
  <si>
    <t>1000246</t>
  </si>
  <si>
    <t>1000259</t>
  </si>
  <si>
    <t>1000266</t>
  </si>
  <si>
    <t>1000267</t>
  </si>
  <si>
    <t>1000268</t>
  </si>
  <si>
    <t>1000269</t>
  </si>
  <si>
    <t>1000270</t>
  </si>
  <si>
    <t>1000271</t>
  </si>
  <si>
    <t>1000272</t>
  </si>
  <si>
    <t>1000273</t>
  </si>
  <si>
    <t>1000207</t>
  </si>
  <si>
    <t>1000256</t>
  </si>
  <si>
    <t>1000191</t>
  </si>
  <si>
    <t>1000260</t>
  </si>
  <si>
    <t>1000204</t>
  </si>
  <si>
    <t>1000202</t>
  </si>
  <si>
    <t>1000205</t>
  </si>
  <si>
    <t>1000214</t>
  </si>
  <si>
    <t>1000215</t>
  </si>
  <si>
    <t>1000250</t>
  </si>
  <si>
    <t>1000263</t>
  </si>
  <si>
    <t>1000254</t>
  </si>
  <si>
    <t>1000261</t>
  </si>
  <si>
    <t>1000210</t>
  </si>
  <si>
    <t>1000226</t>
  </si>
  <si>
    <t>1000225</t>
  </si>
  <si>
    <t>1000190</t>
  </si>
  <si>
    <t>1000245</t>
  </si>
  <si>
    <t>1000251</t>
  </si>
  <si>
    <t>1000253</t>
  </si>
  <si>
    <t>1000257</t>
  </si>
  <si>
    <t>1000264</t>
  </si>
  <si>
    <t>1000265</t>
  </si>
  <si>
    <t>1000208</t>
  </si>
  <si>
    <t>1000213</t>
  </si>
  <si>
    <t>1000262</t>
  </si>
  <si>
    <t>1000258</t>
  </si>
  <si>
    <t>1000223</t>
  </si>
  <si>
    <t>1000222</t>
  </si>
  <si>
    <t>1000216</t>
  </si>
  <si>
    <t>1000220</t>
  </si>
  <si>
    <t>1000221</t>
  </si>
  <si>
    <t>1000227</t>
  </si>
  <si>
    <t>1000229</t>
  </si>
  <si>
    <t>1000231</t>
  </si>
  <si>
    <t>1000240</t>
  </si>
  <si>
    <t>1000242</t>
  </si>
  <si>
    <t>1000243</t>
  </si>
  <si>
    <t>1000255</t>
  </si>
  <si>
    <t>1000230</t>
  </si>
  <si>
    <t>1000217</t>
  </si>
  <si>
    <t>1000218</t>
  </si>
  <si>
    <t>1000224</t>
  </si>
  <si>
    <t>1000232</t>
  </si>
  <si>
    <t>1000233</t>
  </si>
  <si>
    <t>1000244</t>
  </si>
  <si>
    <t>1000228</t>
  </si>
  <si>
    <t>1000235</t>
  </si>
  <si>
    <t>1000236</t>
  </si>
  <si>
    <t>1000237</t>
  </si>
  <si>
    <t>1000238</t>
  </si>
  <si>
    <t>1000192</t>
  </si>
  <si>
    <t>1000193</t>
  </si>
  <si>
    <t>1000194</t>
  </si>
  <si>
    <t>1000195</t>
  </si>
  <si>
    <t>1000196</t>
  </si>
  <si>
    <t>1000198</t>
  </si>
  <si>
    <t>1000200</t>
  </si>
  <si>
    <t>1000203</t>
  </si>
  <si>
    <t>1000206</t>
  </si>
  <si>
    <t>1000212</t>
  </si>
  <si>
    <t>1000247</t>
  </si>
  <si>
    <t>1000249</t>
  </si>
  <si>
    <t>1000248</t>
  </si>
  <si>
    <t>1000252</t>
  </si>
  <si>
    <t>1000211</t>
  </si>
  <si>
    <t>1000241</t>
  </si>
  <si>
    <t>1000239</t>
  </si>
  <si>
    <t>1000219</t>
  </si>
  <si>
    <t>EXPD Status</t>
  </si>
  <si>
    <t>(blank)</t>
  </si>
  <si>
    <t>Count of ORG_CODE</t>
  </si>
  <si>
    <t>Line Ct</t>
  </si>
  <si>
    <t>Order Received at EI</t>
  </si>
  <si>
    <t>CHARTER</t>
  </si>
  <si>
    <t>20106840</t>
  </si>
  <si>
    <t>6900800</t>
  </si>
  <si>
    <t>6900900</t>
  </si>
  <si>
    <t>6900902</t>
  </si>
  <si>
    <t>6900882</t>
  </si>
  <si>
    <t>HNSH-Air</t>
  </si>
  <si>
    <t>Future SSD</t>
  </si>
  <si>
    <t>Delivery ID</t>
  </si>
  <si>
    <t>Pickslip No</t>
  </si>
  <si>
    <t>Order Date</t>
  </si>
  <si>
    <t>Cust Req Del Date</t>
  </si>
  <si>
    <t>Customer Information</t>
  </si>
  <si>
    <t>Cust No</t>
  </si>
  <si>
    <t>Name</t>
  </si>
  <si>
    <t>Location</t>
  </si>
  <si>
    <t>Address1</t>
  </si>
  <si>
    <t>Address2</t>
  </si>
  <si>
    <t>City, ST, ZIP</t>
  </si>
  <si>
    <t>Shipping Instruction</t>
  </si>
  <si>
    <t>Item Information</t>
  </si>
  <si>
    <t>Ship Method Code</t>
  </si>
  <si>
    <t>Status Code</t>
  </si>
  <si>
    <t>Batch ID</t>
  </si>
  <si>
    <t>Freight Carrier Code</t>
  </si>
  <si>
    <t>Request Date Type Code</t>
  </si>
  <si>
    <t>Pick Slip Date</t>
  </si>
  <si>
    <t>Item Number</t>
  </si>
  <si>
    <t>Item Description</t>
  </si>
  <si>
    <t>Line No</t>
  </si>
  <si>
    <t>Picked Qty</t>
  </si>
  <si>
    <t>Picked Amt USD</t>
  </si>
  <si>
    <t>Shipped Amt USD</t>
  </si>
  <si>
    <t>Technology</t>
  </si>
  <si>
    <t>Line Count</t>
  </si>
  <si>
    <t>Sales Order No</t>
  </si>
  <si>
    <t>B</t>
  </si>
  <si>
    <t>D</t>
  </si>
  <si>
    <t>G</t>
  </si>
  <si>
    <t>H</t>
  </si>
  <si>
    <t>J,I,K</t>
  </si>
  <si>
    <t>Wait Confirm Maria</t>
  </si>
  <si>
    <t>ORDER DETAIL VIEW</t>
  </si>
  <si>
    <t>20114536</t>
  </si>
  <si>
    <t>20111098</t>
  </si>
  <si>
    <t>NATIONAL CABLE TELEVISION COOP</t>
  </si>
  <si>
    <t>20113474</t>
  </si>
  <si>
    <t>20111078</t>
  </si>
  <si>
    <t>BUCKEYE CABLE</t>
  </si>
  <si>
    <t>Picker Name</t>
  </si>
  <si>
    <t>20115327</t>
  </si>
  <si>
    <t>DAVID</t>
  </si>
  <si>
    <t>JULIO</t>
  </si>
  <si>
    <t>Picking Notes</t>
  </si>
  <si>
    <t>PIR</t>
  </si>
  <si>
    <t>9/5 PIR</t>
  </si>
  <si>
    <t>New</t>
  </si>
  <si>
    <t>Pick In Progress</t>
  </si>
  <si>
    <t>Ready to Ship - CSR Instruction</t>
  </si>
  <si>
    <t>Zero Pick</t>
  </si>
  <si>
    <t>Ready to Ship - Arris</t>
  </si>
  <si>
    <t>Pending to Return</t>
  </si>
  <si>
    <t>Comments / CSR Notes</t>
  </si>
  <si>
    <t>TELMEX COLOMBIA S.A.</t>
  </si>
  <si>
    <t>20106954</t>
  </si>
  <si>
    <t>PROVIDE PHOTOS OF EACH CONTAINER IF APPLICABLE TO CSR.PHOTOS ARE NEEDED FOR EACH EMPTY CONTAINER AND CONTAINER LOADED. PHOTOS NEED TO SHOW CONTAINER #.ANY CONTAINER DAMAGED OR IN BAD CONDITIONS DO NOT ACCEPT IT AND CONTACT CSR IMMEDIATELY</t>
  </si>
  <si>
    <t>20112750</t>
  </si>
  <si>
    <t>6901455</t>
  </si>
  <si>
    <t>20106358</t>
  </si>
  <si>
    <t>FOR EXW SEND W&amp;D TO CSR marita.fernandez@arris.com and hmarquez@izzi.mx .FOR FCA CONTACT FF.</t>
  </si>
  <si>
    <t>6901169</t>
  </si>
  <si>
    <t>6901227</t>
  </si>
  <si>
    <t>KYLE</t>
  </si>
  <si>
    <t>20115606</t>
  </si>
  <si>
    <t>Picklist sent to WH</t>
  </si>
  <si>
    <t>20111522</t>
  </si>
  <si>
    <t>20115563</t>
  </si>
  <si>
    <t>6900482</t>
  </si>
  <si>
    <t>6900250</t>
  </si>
  <si>
    <t>20115702</t>
  </si>
  <si>
    <t>20116096</t>
  </si>
  <si>
    <t>20114935</t>
  </si>
  <si>
    <t>20114938</t>
  </si>
  <si>
    <t>90710900</t>
  </si>
  <si>
    <t>6901385</t>
  </si>
  <si>
    <t>6900575</t>
  </si>
  <si>
    <t>austin</t>
  </si>
  <si>
    <t>10/07/2016 Given to Riza at 8AM</t>
  </si>
  <si>
    <t>10/10 given to Riza 7:40 am</t>
  </si>
  <si>
    <t>10/10 given to Riza 10:10 am</t>
  </si>
  <si>
    <t>10/10 given to Riza 11:40 am</t>
  </si>
  <si>
    <t>10/10 given to Austin 1:32 pm</t>
  </si>
  <si>
    <t>Ready to Ship</t>
  </si>
  <si>
    <t>Picklist Sent to WH</t>
  </si>
  <si>
    <t>Fully Shipped</t>
  </si>
  <si>
    <t>20112894</t>
  </si>
  <si>
    <t>6900851</t>
  </si>
  <si>
    <t>Call for Pick Up: Herlinda Marquez Cedillo - hmarquez@izzi.mx - Andres Del Rosario Perez - adelrosario@cablemas.com.mx - Tel#: 011 52 55 4122 8870 - WOOD PALLETS ONLY</t>
  </si>
  <si>
    <t>6901031</t>
  </si>
  <si>
    <t>CURTIS</t>
  </si>
  <si>
    <t>10/11 given to william 7:50 am</t>
  </si>
  <si>
    <t>10/07/2016 Given to Riza at 10AM</t>
  </si>
  <si>
    <t>10/10 Pick has not been located and units are not staged. We are currently waiting to get approval from Dave to reprint pick.</t>
  </si>
  <si>
    <t>future date of 10/12</t>
  </si>
  <si>
    <t>future date 10/14</t>
  </si>
  <si>
    <t>ARRIS SOLUTIONS, INC.</t>
  </si>
  <si>
    <t>90710912</t>
  </si>
  <si>
    <t>**Less than 10 pallets Use UPS freight line, on Consolidate shipment over than 10 pallets use KSC freight FTL truckload**</t>
  </si>
  <si>
    <t>Pick in Progress</t>
  </si>
  <si>
    <t>10/04 order has been picked, packed and ready to ship, need to be scheduled with the carrier
10/05 email has been sent to the CSR Marita, currently waiting for routing instructions.
10/06 email has sent to email for an update and we have not received a response.
10/07 We have not received a response from the CSR 
10/11  CSR sent and email  to arrange pick u
10/10 We have not received a reponse from the CSR an update email has been sent. Dave has been added to the email.</t>
  </si>
  <si>
    <t>90710916</t>
  </si>
  <si>
    <t>Delivery Instructions-NANCY YOUNT 314-565-7964;HOURS:0900-1400</t>
  </si>
  <si>
    <t>20116211</t>
  </si>
  <si>
    <t>This is DOA replacement order. Please ship the order via FEDEX Economy Service using ARRIS Account#.</t>
  </si>
  <si>
    <t>20116217</t>
  </si>
  <si>
    <t>This is DOA replacement order. Pleaser ship via FEDEX Economy usin ARRIS Account#</t>
  </si>
  <si>
    <t>10/11 Pick was re-printed and given to the warehouse to pick.</t>
  </si>
  <si>
    <t>SCHEDULE WITH V OMNI</t>
  </si>
  <si>
    <t>10/12 given to Riza 08:15 am</t>
  </si>
  <si>
    <t>10/11 given to Riza 2:00 PM</t>
  </si>
  <si>
    <t>Tracking #</t>
  </si>
  <si>
    <t>Supervisor Comment</t>
  </si>
  <si>
    <t>Open Order Tab</t>
  </si>
  <si>
    <t>JIT 1269100</t>
  </si>
  <si>
    <t>Source: Open Order Tab</t>
  </si>
  <si>
    <t>Source: work_order_picking.xlsx</t>
  </si>
  <si>
    <t>Source: VBA</t>
  </si>
  <si>
    <t>Source: WORK_ORDER_CSR.xlsx</t>
  </si>
  <si>
    <t>Source:  Manual. Saved to DB</t>
  </si>
  <si>
    <t>fully shipped</t>
  </si>
  <si>
    <t>Count of Line Ct</t>
  </si>
  <si>
    <t>20116478</t>
  </si>
  <si>
    <t>schedule with v omni</t>
  </si>
  <si>
    <t>20116471</t>
  </si>
  <si>
    <t>DN</t>
  </si>
  <si>
    <t>Update_Date</t>
  </si>
  <si>
    <t>TOKYO,  3-8-10</t>
  </si>
  <si>
    <t>20116327</t>
  </si>
  <si>
    <t>20116418</t>
  </si>
  <si>
    <t>20116473</t>
  </si>
  <si>
    <t>20116482</t>
  </si>
  <si>
    <t>20116616</t>
  </si>
  <si>
    <t>20116604</t>
  </si>
  <si>
    <t>JERRY SCULLAWL 480-895-8010</t>
  </si>
  <si>
    <t>20116700</t>
  </si>
  <si>
    <t>MICHAEL HERBERT C/O JAN GOAD 907-868-7165</t>
  </si>
  <si>
    <t>6901044</t>
  </si>
  <si>
    <t>90710927</t>
  </si>
  <si>
    <t>90710937</t>
  </si>
  <si>
    <t>SHENZHEN DONYAN TECHNOLOGY CO LTD</t>
  </si>
  <si>
    <t>20109259</t>
  </si>
  <si>
    <t>Please contact EXPEDITORS /Agnieszka Tarchala/ Agnieszka.Tarchala@expeditors.com/Tel: 630-616-2338 /cyrus.li@expeditors.com/nicki.zhang@expeditors.com/ any question, please contact Joanna.li@arris.com</t>
  </si>
  <si>
    <t>20116613</t>
  </si>
  <si>
    <t>6901055</t>
  </si>
  <si>
    <t>given to v to schedule</t>
  </si>
  <si>
    <t>given to v to schedule SCSK</t>
  </si>
  <si>
    <t>10/06 Order has not been processed, pick slip might need to be reprinted
10/11 Pick was re-printed and given to the warehouse to pick.
10/12 Freight is ready to ship, SCSK orders only ship Tuesdays and Fridays.</t>
  </si>
  <si>
    <t>x</t>
  </si>
  <si>
    <t xml:space="preserve">9/4 PIR, 9/5 Reaching out to SJO for parts, PIR (Updated 10/11/2016) part number FT4005-c (last updated 10/12/2016) </t>
  </si>
  <si>
    <t>9/4 PIR, 9/5 Reaching out to SJO for parts, last updated 10/12/16 part number op95d4-cf3-100-rw-as qt 1pc</t>
  </si>
  <si>
    <t>9/4 PIR, 9/5 Reaching out to SJO for parts, last updated 10/12/16 part number op95f1s-45-no-00 qty 2pc</t>
  </si>
  <si>
    <t>X</t>
  </si>
  <si>
    <t>9/4 PIR, 9/5 Reaching out to SJO for parts, last updated 10/12/16 PART NUMBER OP95F1S-35-R2-AS QTY QPC</t>
  </si>
  <si>
    <t>9/4 PIR, 9/5 Reaching out to SJO for parts MISSING UNIT FA45245-01- QTY 14, last updated 10/12/16</t>
  </si>
  <si>
    <t>missing 1 unit / FA45245-01-AS
10/12 email was sent to Bud to tranfer 1 unit to our warehouse</t>
  </si>
  <si>
    <t>MEDIA COM / PART NUMBER AT3535G-20-1-AS / QTY 2PC / PENDING RESEARCH / MIGHT NEED A REPRINT OF  PICK TICKET. LAST UPDATED 10/12/2016</t>
  </si>
  <si>
    <t>PIR last updated 10/12/2016 PART NUMBER NC412A1SGA1-U000000 QTY 15PC</t>
  </si>
  <si>
    <t>10/06 email has been sent to the CSR Marita, waiting for routing instructions.
10/07 we have not received an update from the CSR
10/10 We have not received a response from the CSR an update email has been sent.
10/11  CSR sent and email  to arrange pick up with carrier.
10/12 Currently waitng for an update from the CSR and carrier</t>
  </si>
  <si>
    <t xml:space="preserve">PIR - part number (NC412A1SGA1-U0000000 / QTY 1) all previous locations checked and no parts found in inventory (last update 10/12/2016) </t>
  </si>
  <si>
    <t>10/10 Pick has not been located and units are not staged. We are currently waiting to get approval from Dave to reprint pick.
10/11 Pick was re-printed and is currently being worked on 
10/12 We are not able to locate item NC412A1SGA1-U0000000 / QTY 1</t>
  </si>
  <si>
    <t>pick in progress - PART NUMBER - OP95F1S-36-NO-00 QTY 1PC *NEEDS REPRINT / NO LABELS CREATED</t>
  </si>
  <si>
    <t>10/10 pick in progress</t>
  </si>
  <si>
    <t>10/12 freight is ready for pick up Scsk, they only ship out Tuesday's and Friday's</t>
  </si>
  <si>
    <t>10/06 freight is ready to ship, email has been to CSR to advise carrier.
10/07 order was scheduled with Expeditors via Ocean waiting for pick up confirmation
10/10 currently still waiting for Expeditors to provide pick up date. They are waiting to receive approval from overseas 
10/11 still waiting for approval from overseas
 10/12 shipment has been approved to ship via ocean to CL, will be shipping tomorrow 10/13</t>
  </si>
  <si>
    <t>10/06 email has been sent to the CSR Marita, waiting for routing instructions.
10/07 we have not received an update from the CSR
10/10 We have not received a response from the CSR an update email has been sent.
10/11  CSR sent and email  to arrange pick up
10/12Currently waiting for an update from CSR and carrier</t>
  </si>
  <si>
    <t>10/07- email has been sent to the CSR ( Mildaliza) to provide routing information, waiting for a  response 
10/10- We have not received a response from the CSR an update email has been sent.
10/11 CSR requested  COO, information was provided, currently waiting for an update.
10/12 We have not received a response from the CSR</t>
  </si>
  <si>
    <t xml:space="preserve">PIR - part number FA3521H-00-AS QTY 2. One piece found in inventory, need one more piece for completion of order. (last updated 10/12/2016) </t>
  </si>
  <si>
    <t>given to v to schedule DHL</t>
  </si>
  <si>
    <t>10/11  order is ready to ship will ship via  DHL tomorrow
10/12 email has been sent to the carrier and the csr to arrange pick up</t>
  </si>
  <si>
    <t>10/12 email has been sent to the carrier and the csr to arrange pick up</t>
  </si>
  <si>
    <t>PIR - Part number (OP95F1S-42-R2-AS / QTY 1) last update 10/12/2016</t>
  </si>
  <si>
    <t>PIR / missing part # (DP35M04D0NB2S-0LB-UL). QTY 1pc needed to complete order. Last known location R23P13L3 (last updated 10/12/2016)</t>
  </si>
  <si>
    <t>PIR - PART NUMBER OP9401-0-RW-AS QTY 1PC NO LOCATION FOUND (LAST UPDATED 10/12/2016)</t>
  </si>
  <si>
    <t>PIR - PART NUMBER B031A4-100-H12F-0-AS / QTY 1. No inventory found last updated 10/12/2016</t>
  </si>
  <si>
    <t>PIR - PART NUMBER OP15D40U-0-99-AS QTY 2PC. No inventory found (last updated 10/12/2016)</t>
  </si>
  <si>
    <t xml:space="preserve">INVALID SERIAL 2/3 SN NOT FOUND IN DATA BASE meaning was not fully received in correctly. Awaiting instructions on how to proceed. Last updated 10/12/2016 </t>
  </si>
  <si>
    <t>PIR - Part number (NC219A1HGE1-0000000 / QTY 10) 9 pieces were found in inventory, missing 1 pc to complete order. (last update 10/12/2016)</t>
  </si>
  <si>
    <t>PIR - part number (AR40003G-AS / QTY 1) zero inventory found (last update 10/12/2016)</t>
  </si>
  <si>
    <t>pick ticket has no locations listed for any of the parts. This happens when an order is zero picked and resubmitted in oracle. A new pick ticket with proper location(s) needs to be resubmitted in for order completion. Viviana to request service from Arris rep on this task. last update 10/12/2016</t>
  </si>
  <si>
    <t>Serial numbers show not found in database. Receiving error as they were not scanned into high jump when they were received in. Awaiting instructions on how to proceed Last updated 10/12/2016</t>
  </si>
  <si>
    <t>10/11 freight is ready to ship will be scheduled for pick up tomorrow. Received at 6:31 pm 10/11
10/12 email has been sent to the carrier and the csr Marita to arrange pick up</t>
  </si>
  <si>
    <t>10/11 Ready to ship  freight will be scheduled with Expeditors.
10/12 shipment has been approved to ship via ocean to CL, will be shipping tomorrow 10/13</t>
  </si>
  <si>
    <t>PIR - Part number BP3001 / QTY 150PC. Zero parts found in  inventory and all previous locations checked (last updated 10/12/2016)</t>
  </si>
  <si>
    <t>10/12 email has been sent to the carrier and the csr  Marita to arrange pick up</t>
  </si>
  <si>
    <t>10/12 order is in pick in progress</t>
  </si>
  <si>
    <t>10/12 given to Riza 12:00 pm</t>
  </si>
  <si>
    <t>10/12 given to Austin 2:30 pm</t>
  </si>
  <si>
    <t>10/12 pick printed after 12 pm, will be processed tomorrow 10/13 given to Will</t>
  </si>
  <si>
    <t>10/13 given to Will 07:20 am</t>
  </si>
  <si>
    <t xml:space="preserve">10/13/2016 given to Riza 11AM </t>
  </si>
  <si>
    <t>20116656</t>
  </si>
  <si>
    <t>20116659</t>
  </si>
  <si>
    <t>20116672</t>
  </si>
  <si>
    <t>20116742</t>
  </si>
  <si>
    <t>DONALD STONE 240-420-3654 (REAR DOCK AREA)</t>
  </si>
  <si>
    <t>20114932</t>
  </si>
  <si>
    <t>20107315</t>
  </si>
  <si>
    <t>20109014</t>
  </si>
  <si>
    <t>20109923</t>
  </si>
  <si>
    <t>20110937</t>
  </si>
  <si>
    <t>FEDEX FREIGHT-4039460806</t>
  </si>
  <si>
    <t>UPS FREIGHT-999637951</t>
  </si>
  <si>
    <t>SCHEDULE WITH V SCSK</t>
  </si>
  <si>
    <t>Supervisor_Comments</t>
  </si>
  <si>
    <t xml:space="preserve">Company_Name_Owner_of_Action </t>
  </si>
  <si>
    <t>20109924</t>
  </si>
  <si>
    <t>20110169</t>
  </si>
  <si>
    <t>Delivery Instructions-HOURS: 0700-1200;(678)226-3692</t>
  </si>
  <si>
    <t>20110932</t>
  </si>
  <si>
    <t>20110939</t>
  </si>
  <si>
    <t>20110943</t>
  </si>
  <si>
    <t>Please double click the cell in table above to see details.</t>
  </si>
  <si>
    <t>10/13/2016 Peter Test 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</si>
</sst>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400]h:mm:ss\ AM/PM"/>
  </numFmts>
  <fonts count="20" x14ac:knownFonts="1">
    <font>
      <sz val="11"/>
      <color theme="1"/>
      <name val="Calibri"/>
      <family val="2"/>
      <scheme val="minor"/>
    </font>
    <font>
      <sz val="28"/>
      <color rgb="FF000000"/>
      <name val="Times New Roman"/>
      <family val="1"/>
    </font>
    <font>
      <sz val="11"/>
      <color theme="1"/>
      <name val="Calibri"/>
      <family val="2"/>
    </font>
    <font>
      <sz val="10"/>
      <color rgb="FF000000"/>
      <name val="Times New Roman"/>
      <family val="1"/>
    </font>
    <font>
      <sz val="10"/>
      <color theme="1"/>
      <name val="Times New Roman"/>
      <family val="1"/>
    </font>
    <font>
      <b/>
      <sz val="11"/>
      <color theme="1"/>
      <name val="Calibri"/>
      <family val="2"/>
      <scheme val="minor"/>
    </font>
    <font>
      <b/>
      <sz val="24"/>
      <color theme="1"/>
      <name val="Calibri"/>
      <family val="2"/>
      <scheme val="minor"/>
    </font>
    <font>
      <sz val="10"/>
      <name val="Times New Roman"/>
      <family val="1"/>
    </font>
    <font>
      <sz val="12"/>
      <color theme="1"/>
      <name val="Calibri"/>
      <family val="2"/>
      <scheme val="minor"/>
    </font>
    <font>
      <sz val="12"/>
      <color theme="1"/>
      <name val="Calibri"/>
      <family val="2"/>
    </font>
    <font>
      <sz val="12"/>
      <color theme="0" tint="-0.249977111117893"/>
      <name val="Calibri"/>
      <family val="2"/>
      <scheme val="minor"/>
    </font>
    <font>
      <b/>
      <sz val="16"/>
      <color theme="1"/>
      <name val="Calibri"/>
      <family val="2"/>
      <scheme val="minor"/>
    </font>
    <font>
      <sz val="12"/>
      <color theme="8" tint="-0.499984740745262"/>
      <name val="Calibri"/>
      <family val="2"/>
      <scheme val="minor"/>
    </font>
    <font>
      <sz val="16"/>
      <color theme="1"/>
      <name val="Calibri"/>
      <family val="2"/>
      <scheme val="minor"/>
    </font>
    <font>
      <b/>
      <sz val="16"/>
      <color theme="1"/>
      <name val="Calibri"/>
      <family val="2"/>
    </font>
    <font>
      <sz val="12"/>
      <color theme="8" tint="-0.499984740745262"/>
      <name val="Calibri"/>
      <family val="2"/>
    </font>
    <font>
      <b/>
      <i/>
      <sz val="28"/>
      <color theme="1"/>
      <name val="Calibri"/>
      <family val="2"/>
      <scheme val="minor"/>
    </font>
    <font>
      <sz val="12"/>
      <color theme="0"/>
      <name val="Calibri"/>
      <family val="2"/>
    </font>
    <font>
      <sz val="12"/>
      <color theme="0"/>
      <name val="Calibri"/>
      <family val="2"/>
      <scheme val="minor"/>
    </font>
    <font>
      <sz val="12"/>
      <color rgb="FF000000"/>
      <name val="Times New Roman"/>
      <family val="1"/>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99"/>
        <bgColor indexed="64" tint="1"/>
      </patternFill>
    </fill>
  </fills>
  <borders count="1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s>
  <cellStyleXfs count="2">
    <xf numFmtId="0" fontId="0" fillId="0" borderId="0"/>
    <xf numFmtId="0" fontId="2" fillId="0" borderId="0"/>
  </cellStyleXfs>
  <cellXfs count="127">
    <xf numFmtId="0" fontId="0" fillId="0" borderId="0" xfId="0"/>
    <xf numFmtId="0" fontId="0" fillId="0" borderId="0" xfId="0"/>
    <xf numFmtId="0" fontId="4" fillId="0" borderId="1" xfId="0" applyFont="1" applyFill="1" applyBorder="1" applyAlignment="1">
      <alignment horizontal="left" vertical="center"/>
    </xf>
    <xf numFmtId="14" fontId="4" fillId="0" borderId="1" xfId="0" applyNumberFormat="1" applyFont="1" applyFill="1" applyBorder="1" applyAlignment="1">
      <alignment horizontal="left" vertical="center"/>
    </xf>
    <xf numFmtId="14" fontId="3" fillId="0" borderId="1" xfId="0" applyNumberFormat="1" applyFont="1" applyFill="1" applyBorder="1" applyAlignment="1">
      <alignment horizontal="left" vertical="center"/>
    </xf>
    <xf numFmtId="0" fontId="4" fillId="0" borderId="0" xfId="0" applyFont="1" applyFill="1" applyAlignment="1">
      <alignment horizontal="left"/>
    </xf>
    <xf numFmtId="0" fontId="4" fillId="0" borderId="1" xfId="0" applyFont="1" applyFill="1" applyBorder="1" applyAlignment="1">
      <alignment horizontal="left" vertical="center" wrapText="1"/>
    </xf>
    <xf numFmtId="0" fontId="4" fillId="0" borderId="0" xfId="0" applyFont="1" applyFill="1" applyAlignment="1">
      <alignment horizontal="left" wrapText="1"/>
    </xf>
    <xf numFmtId="14" fontId="4" fillId="0" borderId="1" xfId="0" applyNumberFormat="1" applyFont="1" applyFill="1" applyBorder="1" applyAlignment="1">
      <alignment horizontal="left" vertical="center" wrapText="1"/>
    </xf>
    <xf numFmtId="164" fontId="4" fillId="0" borderId="1" xfId="0" applyNumberFormat="1"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14" fontId="3" fillId="3" borderId="1" xfId="0" applyNumberFormat="1" applyFont="1" applyFill="1" applyBorder="1" applyAlignment="1">
      <alignment horizontal="left" vertical="center"/>
    </xf>
    <xf numFmtId="1" fontId="3" fillId="3" borderId="1" xfId="0" applyNumberFormat="1" applyFont="1" applyFill="1" applyBorder="1" applyAlignment="1">
      <alignment horizontal="left" vertical="center"/>
    </xf>
    <xf numFmtId="0" fontId="4" fillId="3" borderId="1" xfId="0" applyFont="1" applyFill="1" applyBorder="1" applyAlignment="1">
      <alignment horizontal="left" vertical="center"/>
    </xf>
    <xf numFmtId="0" fontId="4" fillId="0" borderId="1" xfId="0" applyFont="1" applyFill="1" applyBorder="1" applyAlignment="1">
      <alignment horizontal="left" vertical="top" wrapText="1"/>
    </xf>
    <xf numFmtId="0" fontId="0" fillId="0" borderId="0" xfId="0" applyAlignment="1">
      <alignment horizontal="left"/>
    </xf>
    <xf numFmtId="0" fontId="0" fillId="0" borderId="0" xfId="0" applyAlignment="1">
      <alignment horizontal="left" indent="1"/>
    </xf>
    <xf numFmtId="14" fontId="0" fillId="0" borderId="0" xfId="0" applyNumberFormat="1" applyAlignment="1">
      <alignment horizontal="left"/>
    </xf>
    <xf numFmtId="0" fontId="0" fillId="0" borderId="0" xfId="0" applyNumberFormat="1" applyAlignment="1">
      <alignment horizontal="left"/>
    </xf>
    <xf numFmtId="0" fontId="6" fillId="0" borderId="0" xfId="0" applyFont="1" applyAlignment="1">
      <alignment horizontal="left"/>
    </xf>
    <xf numFmtId="0" fontId="0" fillId="0" borderId="0" xfId="0" pivotButton="1" applyAlignment="1">
      <alignment horizontal="left"/>
    </xf>
    <xf numFmtId="0" fontId="5" fillId="5" borderId="2" xfId="0" applyFont="1" applyFill="1" applyBorder="1" applyAlignment="1">
      <alignment horizontal="left"/>
    </xf>
    <xf numFmtId="0" fontId="0" fillId="0" borderId="0" xfId="0" applyAlignment="1">
      <alignment horizontal="center"/>
    </xf>
    <xf numFmtId="0" fontId="0" fillId="0" borderId="2" xfId="0" applyBorder="1" applyAlignment="1">
      <alignment horizontal="center"/>
    </xf>
    <xf numFmtId="22" fontId="0" fillId="0" borderId="0" xfId="0" applyNumberFormat="1" applyAlignment="1">
      <alignment horizontal="left"/>
    </xf>
    <xf numFmtId="0" fontId="4" fillId="0" borderId="0" xfId="0" applyFont="1" applyFill="1" applyBorder="1" applyAlignment="1">
      <alignment horizontal="left" vertical="center" wrapText="1"/>
    </xf>
    <xf numFmtId="14" fontId="4" fillId="0" borderId="0" xfId="0" applyNumberFormat="1" applyFont="1" applyFill="1" applyBorder="1" applyAlignment="1">
      <alignment horizontal="left" vertical="center" wrapText="1"/>
    </xf>
    <xf numFmtId="0" fontId="0" fillId="0" borderId="0" xfId="0" pivotButton="1"/>
    <xf numFmtId="0" fontId="0" fillId="0" borderId="0" xfId="0" applyNumberFormat="1"/>
    <xf numFmtId="0" fontId="0" fillId="0" borderId="2" xfId="0" applyBorder="1"/>
    <xf numFmtId="0" fontId="0" fillId="0" borderId="2" xfId="0" applyBorder="1" applyAlignment="1">
      <alignment wrapText="1"/>
    </xf>
    <xf numFmtId="0" fontId="0" fillId="0" borderId="0" xfId="0" applyAlignment="1">
      <alignment wrapText="1"/>
    </xf>
    <xf numFmtId="0" fontId="0" fillId="0" borderId="0" xfId="0" applyBorder="1"/>
    <xf numFmtId="0" fontId="4" fillId="0" borderId="0" xfId="0" applyFont="1" applyFill="1" applyBorder="1" applyAlignment="1">
      <alignment horizontal="center" vertical="center" wrapText="1"/>
    </xf>
    <xf numFmtId="14" fontId="4" fillId="0" borderId="0" xfId="0" applyNumberFormat="1" applyFont="1" applyFill="1" applyBorder="1" applyAlignment="1">
      <alignment horizontal="center" vertical="center" wrapText="1"/>
    </xf>
    <xf numFmtId="0" fontId="0" fillId="0" borderId="0" xfId="0" applyNumberFormat="1" applyAlignment="1">
      <alignment horizontal="center"/>
    </xf>
    <xf numFmtId="0" fontId="4" fillId="0" borderId="1" xfId="0" applyFont="1" applyFill="1" applyBorder="1" applyAlignment="1">
      <alignment horizontal="center" vertical="center" wrapText="1"/>
    </xf>
    <xf numFmtId="14" fontId="4" fillId="0" borderId="1" xfId="0" applyNumberFormat="1" applyFont="1" applyFill="1" applyBorder="1" applyAlignment="1">
      <alignment horizontal="center" vertical="center" wrapText="1"/>
    </xf>
    <xf numFmtId="0" fontId="0" fillId="0" borderId="2" xfId="0" applyNumberFormat="1" applyBorder="1" applyAlignment="1">
      <alignment horizontal="center"/>
    </xf>
    <xf numFmtId="0" fontId="0" fillId="0" borderId="2" xfId="0" applyBorder="1" applyAlignment="1">
      <alignment horizontal="center" wrapText="1"/>
    </xf>
    <xf numFmtId="14" fontId="0" fillId="0" borderId="2" xfId="0" applyNumberFormat="1" applyBorder="1" applyAlignment="1">
      <alignment horizontal="center"/>
    </xf>
    <xf numFmtId="164" fontId="0" fillId="0" borderId="2" xfId="0" applyNumberFormat="1" applyBorder="1" applyAlignment="1">
      <alignment horizontal="center"/>
    </xf>
    <xf numFmtId="1" fontId="4" fillId="0" borderId="0" xfId="0" applyNumberFormat="1" applyFont="1" applyFill="1" applyBorder="1" applyAlignment="1">
      <alignment horizontal="left" vertical="center" wrapText="1"/>
    </xf>
    <xf numFmtId="0" fontId="7" fillId="0" borderId="0" xfId="0" applyFont="1" applyFill="1" applyBorder="1" applyAlignment="1">
      <alignment horizontal="left" vertical="center" wrapText="1"/>
    </xf>
    <xf numFmtId="22" fontId="0" fillId="0" borderId="0" xfId="0" applyNumberFormat="1"/>
    <xf numFmtId="0" fontId="8" fillId="0" borderId="0" xfId="0" applyFont="1"/>
    <xf numFmtId="0" fontId="8" fillId="0" borderId="2" xfId="0" applyFont="1" applyBorder="1"/>
    <xf numFmtId="0" fontId="8" fillId="0" borderId="0" xfId="0" applyFont="1" applyBorder="1" applyAlignment="1"/>
    <xf numFmtId="0" fontId="8" fillId="0" borderId="0" xfId="0" applyFont="1" applyBorder="1"/>
    <xf numFmtId="0" fontId="8" fillId="0" borderId="0" xfId="0" applyFont="1" applyBorder="1" applyAlignment="1">
      <alignment horizontal="center"/>
    </xf>
    <xf numFmtId="0" fontId="8" fillId="0" borderId="4" xfId="0" applyFont="1" applyBorder="1" applyAlignment="1"/>
    <xf numFmtId="0" fontId="8" fillId="0" borderId="5" xfId="0" applyFont="1" applyBorder="1" applyAlignment="1"/>
    <xf numFmtId="0" fontId="8" fillId="0" borderId="7" xfId="0" applyFont="1" applyBorder="1" applyAlignment="1"/>
    <xf numFmtId="0" fontId="8" fillId="0" borderId="9" xfId="0" applyFont="1" applyBorder="1" applyAlignment="1"/>
    <xf numFmtId="0" fontId="8" fillId="0" borderId="10" xfId="0" applyFont="1" applyBorder="1" applyAlignment="1"/>
    <xf numFmtId="0" fontId="8" fillId="0" borderId="0" xfId="0" applyFont="1" applyAlignment="1">
      <alignment vertical="top"/>
    </xf>
    <xf numFmtId="0" fontId="10" fillId="0" borderId="0" xfId="0" applyFont="1"/>
    <xf numFmtId="0" fontId="0" fillId="0" borderId="9" xfId="0" applyBorder="1"/>
    <xf numFmtId="0" fontId="11" fillId="0" borderId="0" xfId="0" applyFont="1"/>
    <xf numFmtId="0" fontId="11" fillId="0" borderId="2" xfId="0" applyFont="1" applyBorder="1" applyAlignment="1">
      <alignment horizontal="left"/>
    </xf>
    <xf numFmtId="0" fontId="12" fillId="0" borderId="2" xfId="0" applyFont="1" applyBorder="1" applyAlignment="1">
      <alignment horizontal="left"/>
    </xf>
    <xf numFmtId="22" fontId="12" fillId="0" borderId="2" xfId="0" applyNumberFormat="1" applyFont="1" applyBorder="1" applyAlignment="1">
      <alignment horizontal="left"/>
    </xf>
    <xf numFmtId="0" fontId="12" fillId="0" borderId="3" xfId="0" applyFont="1" applyBorder="1" applyAlignment="1">
      <alignment horizontal="left"/>
    </xf>
    <xf numFmtId="0" fontId="12" fillId="0" borderId="6" xfId="0" applyFont="1" applyBorder="1" applyAlignment="1">
      <alignment horizontal="left"/>
    </xf>
    <xf numFmtId="0" fontId="12" fillId="0" borderId="8" xfId="0" applyFont="1" applyBorder="1" applyAlignment="1">
      <alignment horizontal="left"/>
    </xf>
    <xf numFmtId="0" fontId="14" fillId="0" borderId="11" xfId="0" applyFont="1" applyFill="1" applyBorder="1" applyAlignment="1">
      <alignment horizontal="center" vertical="top" wrapText="1"/>
    </xf>
    <xf numFmtId="0" fontId="9" fillId="0" borderId="13" xfId="0" applyFont="1" applyFill="1" applyBorder="1" applyAlignment="1">
      <alignment horizontal="center" vertical="top" wrapText="1"/>
    </xf>
    <xf numFmtId="0" fontId="15" fillId="0" borderId="11" xfId="0" applyFont="1" applyFill="1" applyBorder="1" applyAlignment="1">
      <alignment horizontal="left" vertical="top" wrapText="1"/>
    </xf>
    <xf numFmtId="0" fontId="9" fillId="0" borderId="13" xfId="0" applyFont="1" applyFill="1" applyBorder="1" applyAlignment="1">
      <alignment vertical="top" wrapText="1"/>
    </xf>
    <xf numFmtId="0" fontId="8" fillId="0" borderId="13" xfId="0" applyFont="1" applyFill="1" applyBorder="1" applyAlignment="1"/>
    <xf numFmtId="0" fontId="15" fillId="0" borderId="11" xfId="0" applyFont="1" applyFill="1" applyBorder="1" applyAlignment="1">
      <alignment horizontal="centerContinuous" vertical="top" wrapText="1"/>
    </xf>
    <xf numFmtId="0" fontId="9" fillId="0" borderId="13" xfId="0" applyFont="1" applyFill="1" applyBorder="1" applyAlignment="1">
      <alignment horizontal="centerContinuous" vertical="top" wrapText="1"/>
    </xf>
    <xf numFmtId="22" fontId="12" fillId="0" borderId="11" xfId="0" applyNumberFormat="1" applyFont="1" applyFill="1" applyBorder="1" applyAlignment="1">
      <alignment horizontal="left"/>
    </xf>
    <xf numFmtId="0" fontId="13" fillId="0" borderId="0" xfId="0" applyFont="1"/>
    <xf numFmtId="0" fontId="16" fillId="0" borderId="0" xfId="0" applyFont="1"/>
    <xf numFmtId="0" fontId="8" fillId="0" borderId="0" xfId="0" applyFont="1" applyFill="1" applyBorder="1" applyAlignment="1"/>
    <xf numFmtId="0" fontId="17" fillId="6" borderId="14" xfId="0" applyFont="1" applyFill="1" applyBorder="1" applyAlignment="1">
      <alignment horizontal="left" vertical="top" wrapText="1"/>
    </xf>
    <xf numFmtId="0" fontId="18" fillId="0" borderId="0" xfId="0" applyFont="1"/>
    <xf numFmtId="0" fontId="18" fillId="0" borderId="0" xfId="0" applyFont="1" applyBorder="1" applyAlignment="1"/>
    <xf numFmtId="0" fontId="18" fillId="0" borderId="0" xfId="0" applyFont="1" applyBorder="1"/>
    <xf numFmtId="0" fontId="7" fillId="0" borderId="1" xfId="0" applyFont="1" applyFill="1" applyBorder="1" applyAlignment="1">
      <alignment horizontal="left" vertical="center" wrapText="1"/>
    </xf>
    <xf numFmtId="14" fontId="0" fillId="0" borderId="0" xfId="0" applyNumberFormat="1" applyAlignment="1">
      <alignment horizontal="center"/>
    </xf>
    <xf numFmtId="0" fontId="0" fillId="0" borderId="0" xfId="0" applyNumberFormat="1" applyAlignment="1">
      <alignment horizontal="center" wrapText="1"/>
    </xf>
    <xf numFmtId="0" fontId="0" fillId="0" borderId="0" xfId="0" pivotButton="1" applyAlignment="1">
      <alignment horizontal="center"/>
    </xf>
    <xf numFmtId="14" fontId="4" fillId="0" borderId="0" xfId="0" applyNumberFormat="1" applyFont="1" applyFill="1" applyAlignment="1">
      <alignment horizontal="left"/>
    </xf>
    <xf numFmtId="0" fontId="5" fillId="0" borderId="0" xfId="0" applyFont="1" applyFill="1" applyBorder="1" applyAlignment="1">
      <alignment horizontal="left"/>
    </xf>
    <xf numFmtId="0" fontId="4" fillId="0" borderId="15" xfId="0" applyFont="1" applyFill="1" applyBorder="1" applyAlignment="1">
      <alignment horizontal="center" vertical="center"/>
    </xf>
    <xf numFmtId="14" fontId="4" fillId="0" borderId="15" xfId="0" applyNumberFormat="1" applyFont="1" applyFill="1" applyBorder="1" applyAlignment="1">
      <alignment horizontal="center" vertical="center"/>
    </xf>
    <xf numFmtId="0" fontId="4" fillId="0" borderId="15" xfId="0" applyFont="1" applyFill="1" applyBorder="1" applyAlignment="1">
      <alignment horizontal="left" vertical="center"/>
    </xf>
    <xf numFmtId="14" fontId="3" fillId="8" borderId="15" xfId="0" applyNumberFormat="1" applyFont="1" applyFill="1" applyBorder="1" applyAlignment="1">
      <alignment horizontal="center" vertical="center"/>
    </xf>
    <xf numFmtId="1" fontId="3" fillId="8" borderId="15" xfId="0" applyNumberFormat="1" applyFont="1" applyFill="1" applyBorder="1" applyAlignment="1">
      <alignment horizontal="center" vertical="center" wrapText="1"/>
    </xf>
    <xf numFmtId="14" fontId="3" fillId="10" borderId="15" xfId="0" applyNumberFormat="1" applyFont="1" applyFill="1" applyBorder="1" applyAlignment="1">
      <alignment horizontal="center" vertical="center"/>
    </xf>
    <xf numFmtId="14" fontId="3" fillId="9" borderId="15" xfId="0" applyNumberFormat="1" applyFont="1" applyFill="1" applyBorder="1" applyAlignment="1">
      <alignment horizontal="center" vertical="center"/>
    </xf>
    <xf numFmtId="0" fontId="4" fillId="9" borderId="15" xfId="0" applyFont="1" applyFill="1" applyBorder="1" applyAlignment="1">
      <alignment horizontal="center" vertical="center"/>
    </xf>
    <xf numFmtId="0" fontId="4" fillId="11" borderId="15" xfId="0" applyFont="1" applyFill="1" applyBorder="1" applyAlignment="1">
      <alignment horizontal="center" vertical="center"/>
    </xf>
    <xf numFmtId="0" fontId="4" fillId="11" borderId="15" xfId="0" applyFont="1" applyFill="1" applyBorder="1" applyAlignment="1">
      <alignment horizontal="center" vertical="center" wrapText="1"/>
    </xf>
    <xf numFmtId="14" fontId="3" fillId="0" borderId="15" xfId="0" applyNumberFormat="1" applyFont="1" applyFill="1" applyBorder="1" applyAlignment="1">
      <alignment horizontal="center" vertical="center"/>
    </xf>
    <xf numFmtId="0" fontId="19" fillId="2" borderId="2" xfId="0" applyFont="1" applyFill="1" applyBorder="1" applyAlignment="1">
      <alignment horizontal="center" vertical="center" wrapText="1"/>
    </xf>
    <xf numFmtId="14" fontId="19" fillId="12" borderId="2" xfId="0" applyNumberFormat="1" applyFont="1" applyFill="1" applyBorder="1" applyAlignment="1">
      <alignment horizontal="center" vertical="center" wrapText="1"/>
    </xf>
    <xf numFmtId="0" fontId="19" fillId="4" borderId="2" xfId="0" applyFont="1" applyFill="1" applyBorder="1" applyAlignment="1">
      <alignment horizontal="center" vertical="center" wrapText="1"/>
    </xf>
    <xf numFmtId="14" fontId="0" fillId="0" borderId="2" xfId="0" applyNumberFormat="1" applyBorder="1"/>
    <xf numFmtId="0" fontId="0" fillId="14" borderId="0" xfId="0" applyFill="1" applyAlignment="1">
      <alignment horizontal="center"/>
    </xf>
    <xf numFmtId="0" fontId="1" fillId="2" borderId="2" xfId="0" applyFont="1" applyFill="1" applyBorder="1" applyAlignment="1">
      <alignment horizontal="center" vertical="center" wrapText="1"/>
    </xf>
    <xf numFmtId="14" fontId="1" fillId="2" borderId="2" xfId="0" applyNumberFormat="1" applyFont="1" applyFill="1" applyBorder="1" applyAlignment="1">
      <alignment horizontal="center" vertical="center" wrapText="1"/>
    </xf>
    <xf numFmtId="0" fontId="19" fillId="4" borderId="2" xfId="0" applyFont="1" applyFill="1" applyBorder="1" applyAlignment="1">
      <alignment horizontal="center" vertical="center" wrapText="1"/>
    </xf>
    <xf numFmtId="14" fontId="19" fillId="8" borderId="2" xfId="0" applyNumberFormat="1" applyFont="1" applyFill="1" applyBorder="1" applyAlignment="1">
      <alignment horizontal="center" vertical="center" wrapText="1"/>
    </xf>
    <xf numFmtId="14" fontId="19" fillId="13" borderId="2" xfId="0" applyNumberFormat="1" applyFont="1" applyFill="1" applyBorder="1" applyAlignment="1">
      <alignment horizontal="center" vertical="center" wrapText="1"/>
    </xf>
    <xf numFmtId="0" fontId="19" fillId="11" borderId="2" xfId="0" applyFont="1" applyFill="1" applyBorder="1" applyAlignment="1">
      <alignment horizontal="center" vertical="center" wrapText="1"/>
    </xf>
    <xf numFmtId="0" fontId="12" fillId="0" borderId="11" xfId="0" applyFont="1" applyBorder="1" applyAlignment="1">
      <alignment horizontal="left" vertical="top" wrapText="1"/>
    </xf>
    <xf numFmtId="0" fontId="12" fillId="0" borderId="12" xfId="0" applyFont="1" applyBorder="1" applyAlignment="1">
      <alignment horizontal="left" vertical="top" wrapText="1"/>
    </xf>
    <xf numFmtId="0" fontId="12" fillId="0" borderId="13" xfId="0" applyFont="1" applyBorder="1" applyAlignment="1">
      <alignment horizontal="left" vertical="top" wrapText="1"/>
    </xf>
    <xf numFmtId="0" fontId="8" fillId="7" borderId="3" xfId="0" applyFont="1" applyFill="1" applyBorder="1" applyAlignment="1">
      <alignment horizontal="left" vertical="top" wrapText="1"/>
    </xf>
    <xf numFmtId="0" fontId="8" fillId="7" borderId="4" xfId="0" applyFont="1" applyFill="1" applyBorder="1" applyAlignment="1">
      <alignment horizontal="left" vertical="top" wrapText="1"/>
    </xf>
    <xf numFmtId="0" fontId="8" fillId="7" borderId="5" xfId="0" applyFont="1" applyFill="1" applyBorder="1" applyAlignment="1">
      <alignment horizontal="left" vertical="top" wrapText="1"/>
    </xf>
    <xf numFmtId="0" fontId="8" fillId="7" borderId="6" xfId="0" applyFont="1" applyFill="1" applyBorder="1" applyAlignment="1">
      <alignment horizontal="left" vertical="top" wrapText="1"/>
    </xf>
    <xf numFmtId="0" fontId="8" fillId="7" borderId="0" xfId="0" applyFont="1" applyFill="1" applyBorder="1" applyAlignment="1">
      <alignment horizontal="left" vertical="top" wrapText="1"/>
    </xf>
    <xf numFmtId="0" fontId="8" fillId="7" borderId="7" xfId="0" applyFont="1" applyFill="1" applyBorder="1" applyAlignment="1">
      <alignment horizontal="left" vertical="top" wrapText="1"/>
    </xf>
    <xf numFmtId="0" fontId="8" fillId="7" borderId="8" xfId="0" applyFont="1" applyFill="1" applyBorder="1" applyAlignment="1">
      <alignment horizontal="left" vertical="top" wrapText="1"/>
    </xf>
    <xf numFmtId="0" fontId="8" fillId="7" borderId="9" xfId="0" applyFont="1" applyFill="1" applyBorder="1" applyAlignment="1">
      <alignment horizontal="left" vertical="top" wrapText="1"/>
    </xf>
    <xf numFmtId="0" fontId="8" fillId="7" borderId="10" xfId="0" applyFont="1" applyFill="1" applyBorder="1" applyAlignment="1">
      <alignment horizontal="left" vertical="top" wrapText="1"/>
    </xf>
    <xf numFmtId="0" fontId="11" fillId="0" borderId="0" xfId="0" applyFont="1" applyFill="1" applyAlignment="1">
      <alignment horizontal="right"/>
    </xf>
    <xf numFmtId="0" fontId="11" fillId="0" borderId="0" xfId="0" applyFont="1" applyFill="1" applyBorder="1" applyAlignment="1">
      <alignment horizontal="right"/>
    </xf>
    <xf numFmtId="0" fontId="0" fillId="7" borderId="11" xfId="0" applyFill="1" applyBorder="1" applyAlignment="1">
      <alignment horizontal="left"/>
    </xf>
    <xf numFmtId="0" fontId="0" fillId="7" borderId="13" xfId="0" applyFill="1" applyBorder="1" applyAlignment="1">
      <alignment horizontal="left"/>
    </xf>
    <xf numFmtId="0" fontId="9" fillId="0" borderId="0" xfId="0" applyFont="1" applyFill="1" applyBorder="1" applyAlignment="1">
      <alignment horizontal="right" vertical="top"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cellXfs>
  <cellStyles count="2">
    <cellStyle name="Normal" xfId="0" builtinId="0"/>
    <cellStyle name="Normal 2" xfId="1"/>
  </cellStyles>
  <dxfs count="295">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wrapText="1" readingOrder="0"/>
    </dxf>
    <dxf>
      <alignment horizontal="center" readingOrder="0"/>
    </dxf>
    <dxf>
      <alignment horizontal="center" readingOrder="0"/>
    </dxf>
    <dxf>
      <alignment wrapText="1" readingOrder="0"/>
    </dxf>
    <dxf>
      <alignment horizontal="center" readingOrder="0"/>
    </dxf>
    <dxf>
      <alignment horizontal="center" readingOrder="0"/>
    </dxf>
    <dxf>
      <alignment wrapText="1" readingOrder="0"/>
    </dxf>
    <dxf>
      <alignment horizontal="center" readingOrder="0"/>
    </dxf>
    <dxf>
      <alignment horizontal="center" readingOrder="0"/>
    </dxf>
    <dxf>
      <alignment wrapText="1" readingOrder="0"/>
    </dxf>
    <dxf>
      <alignment horizontal="center" readingOrder="0"/>
    </dxf>
    <dxf>
      <alignment horizontal="center" readingOrder="0"/>
    </dxf>
    <dxf>
      <alignment wrapText="1" readingOrder="0"/>
    </dxf>
    <dxf>
      <alignment horizontal="center" readingOrder="0"/>
    </dxf>
    <dxf>
      <alignment horizontal="center" readingOrder="0"/>
    </dxf>
    <dxf>
      <alignment wrapText="1" readingOrder="0"/>
    </dxf>
    <dxf>
      <alignment horizontal="center" readingOrder="0"/>
    </dxf>
    <dxf>
      <alignment horizontal="center" readingOrder="0"/>
    </dxf>
    <dxf>
      <alignment wrapText="1" readingOrder="0"/>
    </dxf>
    <dxf>
      <alignment horizontal="center" readingOrder="0"/>
    </dxf>
    <dxf>
      <alignment horizontal="center" readingOrder="0"/>
    </dxf>
    <dxf>
      <alignment wrapText="1" readingOrder="0"/>
    </dxf>
    <dxf>
      <alignment horizontal="center" readingOrder="0"/>
    </dxf>
    <dxf>
      <alignment horizontal="center" readingOrder="0"/>
    </dxf>
    <dxf>
      <alignment wrapText="1" readingOrder="0"/>
    </dxf>
    <dxf>
      <alignment horizontal="center" readingOrder="0"/>
    </dxf>
    <dxf>
      <alignment horizontal="center" readingOrder="0"/>
    </dxf>
    <dxf>
      <alignment wrapText="1"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9" formatCode="m/d/yyyy"/>
    </dxf>
    <dxf>
      <alignment horizontal="center" readingOrder="0"/>
    </dxf>
    <dxf>
      <alignment vertical="bottom"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fill>
        <patternFill>
          <bgColor theme="0" tint="-0.14996795556505021"/>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theme="4" tint="0.79998168889431442"/>
        </patternFill>
      </fill>
    </dxf>
    <dxf>
      <fill>
        <patternFill>
          <bgColor theme="4" tint="0.79998168889431442"/>
        </patternFill>
      </fill>
    </dxf>
  </dxfs>
  <tableStyles count="1" defaultTableStyle="TableStyleMedium2" defaultPivotStyle="Arris_Pivot_Table_1">
    <tableStyle name="Arris_Pivot_Table_1" table="0" count="4">
      <tableStyleElement type="headerRow" dxfId="294"/>
      <tableStyleElement type="totalRow" dxfId="293"/>
      <tableStyleElement type="firstRowStripe" dxfId="292"/>
      <tableStyleElement type="secondRowStripe" dxfId="291"/>
    </tableStyle>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358588</xdr:colOff>
      <xdr:row>0</xdr:row>
      <xdr:rowOff>201706</xdr:rowOff>
    </xdr:from>
    <xdr:to>
      <xdr:col>4</xdr:col>
      <xdr:colOff>291353</xdr:colOff>
      <xdr:row>1</xdr:row>
      <xdr:rowOff>391585</xdr:rowOff>
    </xdr:to>
    <xdr:sp macro="[0]!Pull_Data_From_Reports" textlink="">
      <xdr:nvSpPr>
        <xdr:cNvPr id="2" name="Rounded Rectangle 1"/>
        <xdr:cNvSpPr/>
      </xdr:nvSpPr>
      <xdr:spPr>
        <a:xfrm>
          <a:off x="358588" y="201706"/>
          <a:ext cx="3446432" cy="5497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1. Pull All</a:t>
          </a:r>
          <a:r>
            <a:rPr lang="en-US" sz="1400" baseline="0"/>
            <a:t> Data from Report</a:t>
          </a:r>
          <a:endParaRPr lang="en-US" sz="1400"/>
        </a:p>
      </xdr:txBody>
    </xdr:sp>
    <xdr:clientData/>
  </xdr:twoCellAnchor>
  <xdr:twoCellAnchor>
    <xdr:from>
      <xdr:col>4</xdr:col>
      <xdr:colOff>818029</xdr:colOff>
      <xdr:row>0</xdr:row>
      <xdr:rowOff>201706</xdr:rowOff>
    </xdr:from>
    <xdr:to>
      <xdr:col>8</xdr:col>
      <xdr:colOff>10583</xdr:colOff>
      <xdr:row>1</xdr:row>
      <xdr:rowOff>391585</xdr:rowOff>
    </xdr:to>
    <xdr:sp macro="[0]!Update_Tracker_Tab" textlink="">
      <xdr:nvSpPr>
        <xdr:cNvPr id="4" name="Rounded Rectangle 3"/>
        <xdr:cNvSpPr/>
      </xdr:nvSpPr>
      <xdr:spPr>
        <a:xfrm>
          <a:off x="4331696" y="201706"/>
          <a:ext cx="1933637" cy="5497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2. Update Tracker</a:t>
          </a:r>
        </a:p>
      </xdr:txBody>
    </xdr:sp>
    <xdr:clientData/>
  </xdr:twoCellAnchor>
  <xdr:twoCellAnchor>
    <xdr:from>
      <xdr:col>8</xdr:col>
      <xdr:colOff>560916</xdr:colOff>
      <xdr:row>0</xdr:row>
      <xdr:rowOff>197221</xdr:rowOff>
    </xdr:from>
    <xdr:to>
      <xdr:col>11</xdr:col>
      <xdr:colOff>550333</xdr:colOff>
      <xdr:row>1</xdr:row>
      <xdr:rowOff>391584</xdr:rowOff>
    </xdr:to>
    <xdr:sp macro="" textlink="">
      <xdr:nvSpPr>
        <xdr:cNvPr id="5" name="Rounded Rectangle 4"/>
        <xdr:cNvSpPr/>
      </xdr:nvSpPr>
      <xdr:spPr>
        <a:xfrm>
          <a:off x="6815666" y="197221"/>
          <a:ext cx="3439584" cy="554196"/>
        </a:xfrm>
        <a:prstGeom prst="roundRect">
          <a:avLst/>
        </a:prstGeom>
        <a:solidFill>
          <a:schemeClr val="accent3">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3. Fill In Supervisor</a:t>
          </a:r>
          <a:r>
            <a:rPr lang="en-US" sz="1400" baseline="0"/>
            <a:t> </a:t>
          </a:r>
          <a:r>
            <a:rPr lang="en-US" sz="1400"/>
            <a:t>Comment </a:t>
          </a:r>
          <a:br>
            <a:rPr lang="en-US" sz="1400"/>
          </a:br>
          <a:r>
            <a:rPr lang="en-US" sz="1400"/>
            <a:t>(Manual)</a:t>
          </a:r>
        </a:p>
      </xdr:txBody>
    </xdr:sp>
    <xdr:clientData/>
  </xdr:twoCellAnchor>
  <xdr:twoCellAnchor>
    <xdr:from>
      <xdr:col>11</xdr:col>
      <xdr:colOff>1105956</xdr:colOff>
      <xdr:row>0</xdr:row>
      <xdr:rowOff>193798</xdr:rowOff>
    </xdr:from>
    <xdr:to>
      <xdr:col>13</xdr:col>
      <xdr:colOff>853202</xdr:colOff>
      <xdr:row>1</xdr:row>
      <xdr:rowOff>391584</xdr:rowOff>
    </xdr:to>
    <xdr:sp macro="[0]!Save_Comment_Status.Save_Comment_Status" textlink="">
      <xdr:nvSpPr>
        <xdr:cNvPr id="6" name="Rounded Rectangle 5"/>
        <xdr:cNvSpPr/>
      </xdr:nvSpPr>
      <xdr:spPr>
        <a:xfrm>
          <a:off x="10810873" y="193798"/>
          <a:ext cx="3017496" cy="55761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4. Save Supervisor Data to DB</a:t>
          </a:r>
        </a:p>
      </xdr:txBody>
    </xdr:sp>
    <xdr:clientData/>
  </xdr:twoCellAnchor>
  <xdr:twoCellAnchor>
    <xdr:from>
      <xdr:col>13</xdr:col>
      <xdr:colOff>1291166</xdr:colOff>
      <xdr:row>0</xdr:row>
      <xdr:rowOff>168710</xdr:rowOff>
    </xdr:from>
    <xdr:to>
      <xdr:col>15</xdr:col>
      <xdr:colOff>970181</xdr:colOff>
      <xdr:row>1</xdr:row>
      <xdr:rowOff>391584</xdr:rowOff>
    </xdr:to>
    <xdr:sp macro="[0]!Update_Summary_Workflow.Update_Summary_Workflow" textlink="">
      <xdr:nvSpPr>
        <xdr:cNvPr id="7" name="Rounded Rectangle 6"/>
        <xdr:cNvSpPr/>
      </xdr:nvSpPr>
      <xdr:spPr>
        <a:xfrm>
          <a:off x="14266333" y="168710"/>
          <a:ext cx="3139765" cy="5827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5.</a:t>
          </a:r>
          <a:r>
            <a:rPr lang="en-US" sz="1400" baseline="0"/>
            <a:t> Update Summary / Workflow</a:t>
          </a:r>
          <a:endParaRPr lang="en-US" sz="1400"/>
        </a:p>
      </xdr:txBody>
    </xdr:sp>
    <xdr:clientData/>
  </xdr:twoCellAnchor>
  <xdr:twoCellAnchor>
    <xdr:from>
      <xdr:col>14</xdr:col>
      <xdr:colOff>316440</xdr:colOff>
      <xdr:row>2</xdr:row>
      <xdr:rowOff>147420</xdr:rowOff>
    </xdr:from>
    <xdr:to>
      <xdr:col>16</xdr:col>
      <xdr:colOff>166842</xdr:colOff>
      <xdr:row>2</xdr:row>
      <xdr:rowOff>584449</xdr:rowOff>
    </xdr:to>
    <xdr:sp macro="[0]!View_Order_Detail.View_Order_Detail" textlink="">
      <xdr:nvSpPr>
        <xdr:cNvPr id="8" name="Rounded Rectangle 7"/>
        <xdr:cNvSpPr/>
      </xdr:nvSpPr>
      <xdr:spPr>
        <a:xfrm>
          <a:off x="14625107" y="1417420"/>
          <a:ext cx="3120652" cy="4370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View Order Detail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1295400</xdr:colOff>
      <xdr:row>0</xdr:row>
      <xdr:rowOff>209550</xdr:rowOff>
    </xdr:from>
    <xdr:to>
      <xdr:col>15</xdr:col>
      <xdr:colOff>503144</xdr:colOff>
      <xdr:row>1</xdr:row>
      <xdr:rowOff>8404</xdr:rowOff>
    </xdr:to>
    <xdr:sp macro="[0]!Save_Return_To_Tracker" textlink="">
      <xdr:nvSpPr>
        <xdr:cNvPr id="2" name="Rounded Rectangle 1"/>
        <xdr:cNvSpPr/>
      </xdr:nvSpPr>
      <xdr:spPr>
        <a:xfrm>
          <a:off x="10687050" y="209550"/>
          <a:ext cx="2627219" cy="34177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t>Return to Tracker</a:t>
          </a:r>
          <a:endParaRPr lang="en-US" sz="14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Peter Gunardi" refreshedDate="42656.669189351851" createdVersion="5" refreshedVersion="5" minRefreshableVersion="3" recordCount="381">
  <cacheSource type="worksheet">
    <worksheetSource ref="A1:AW1048576" sheet="Open Order"/>
  </cacheSource>
  <cacheFields count="49">
    <cacheField name="ORG_CODE" numFmtId="0">
      <sharedItems containsBlank="1"/>
    </cacheField>
    <cacheField name="CUST_NO" numFmtId="0">
      <sharedItems containsBlank="1"/>
    </cacheField>
    <cacheField name="CUST_NAME" numFmtId="0">
      <sharedItems containsBlank="1"/>
    </cacheField>
    <cacheField name="CUST_LOCATION" numFmtId="0">
      <sharedItems containsBlank="1"/>
    </cacheField>
    <cacheField name="LOCATION" numFmtId="0">
      <sharedItems containsBlank="1"/>
    </cacheField>
    <cacheField name="SUBINVENTORY" numFmtId="0">
      <sharedItems containsBlank="1"/>
    </cacheField>
    <cacheField name="ADDRESS1" numFmtId="0">
      <sharedItems containsBlank="1"/>
    </cacheField>
    <cacheField name="ADDRESS2" numFmtId="0">
      <sharedItems containsBlank="1"/>
    </cacheField>
    <cacheField name="STATE" numFmtId="0">
      <sharedItems containsBlank="1"/>
    </cacheField>
    <cacheField name="CITY" numFmtId="0">
      <sharedItems containsBlank="1"/>
    </cacheField>
    <cacheField name="ZIP" numFmtId="0">
      <sharedItems containsBlank="1"/>
    </cacheField>
    <cacheField name="ITEM_NUMBER" numFmtId="0">
      <sharedItems containsBlank="1"/>
    </cacheField>
    <cacheField name="ITEM_DESCRIPTION" numFmtId="0">
      <sharedItems containsBlank="1"/>
    </cacheField>
    <cacheField name="ORDER_NO" numFmtId="0">
      <sharedItems containsBlank="1"/>
    </cacheField>
    <cacheField name="LINE_NO" numFmtId="0">
      <sharedItems containsBlank="1"/>
    </cacheField>
    <cacheField name="DELIVERY_ID" numFmtId="0">
      <sharedItems containsString="0" containsBlank="1" containsNumber="1" containsInteger="1" minValue="9726394" maxValue="9753843"/>
    </cacheField>
    <cacheField name="PICK_SLIP_NO" numFmtId="0">
      <sharedItems containsString="0" containsBlank="1" containsNumber="1" containsInteger="1" minValue="1920709" maxValue="1950320"/>
    </cacheField>
    <cacheField name="ORDERED_DATE" numFmtId="0">
      <sharedItems containsNonDate="0" containsDate="1" containsString="0" containsBlank="1" minDate="2016-04-14T00:00:00" maxDate="2016-10-13T15:23:07"/>
    </cacheField>
    <cacheField name="CUSTOMER_REQ_DELIVERY_DATE" numFmtId="0">
      <sharedItems containsBlank="1"/>
    </cacheField>
    <cacheField name="RELEASE_DATE" numFmtId="0">
      <sharedItems containsNonDate="0" containsDate="1" containsString="0" containsBlank="1" minDate="2016-08-31T00:00:00" maxDate="2016-10-13T18:03:04" count="218">
        <d v="2016-10-11T03:39:06"/>
        <d v="2016-10-13T01:05:11"/>
        <d v="2016-10-08T03:52:10"/>
        <d v="2016-10-12T01:04:40"/>
        <d v="2016-10-11T01:03:57"/>
        <d v="2016-10-03T12:03:26"/>
        <d v="2016-10-05T16:03:22"/>
        <d v="2016-10-10T01:05:26"/>
        <d v="2016-10-12T17:04:23"/>
        <d v="2016-10-12T16:04:13"/>
        <d v="2016-10-12T15:04:29"/>
        <d v="2016-10-12T18:04:32"/>
        <d v="2016-10-13T15:18:02"/>
        <d v="2016-10-13T16:04:46"/>
        <d v="2016-10-13T17:04:44"/>
        <d v="2016-09-26T01:05:30"/>
        <d v="2016-10-04T16:03:14"/>
        <d v="2016-10-11T01:03:58"/>
        <d v="2016-10-05T15:03:38"/>
        <d v="2016-10-11T12:02:46"/>
        <d v="2016-10-06T12:04:25"/>
        <d v="2016-10-06T03:33:27"/>
        <d v="2016-10-13T14:04:21"/>
        <d v="2016-10-13T15:18:03"/>
        <d v="2016-10-13T16:04:47"/>
        <d v="2016-10-07T03:40:29"/>
        <d v="2016-10-03T11:03:37"/>
        <d v="2016-10-01T06:31:18"/>
        <d v="2016-10-10T11:04:01"/>
        <d v="2016-10-06T19:04:11"/>
        <d v="2016-10-10T15:05:27"/>
        <m/>
        <d v="2016-10-10T14:05:22"/>
        <d v="2016-10-07T16:03:31"/>
        <d v="2016-10-06T06:03:39"/>
        <d v="2016-10-10T17:04:10"/>
        <d v="2016-10-12T03:15:38"/>
        <d v="2016-10-12T21:04:27"/>
        <d v="2016-10-13T09:04:48"/>
        <d v="2016-09-22T13:41:45"/>
        <d v="2016-10-13T18:03:04"/>
        <d v="2016-10-13T11:06:27"/>
        <d v="2016-10-13T01:05:12"/>
        <d v="2016-09-24T03:31:01"/>
        <d v="2016-10-06T01:04:01"/>
        <d v="2016-09-30T01:04:07"/>
        <d v="2016-10-08T03:52:11"/>
        <d v="2016-10-11T19:04:43"/>
        <d v="2016-10-07T01:04:01"/>
        <d v="2016-10-08T03:52:12"/>
        <d v="2016-10-11T23:04:44"/>
        <d v="2016-09-13T11:03:21"/>
        <d v="2016-09-13T00:00:00" u="1"/>
        <d v="2016-09-30T03:34:28" u="1"/>
        <d v="2016-10-11T03:39:07" u="1"/>
        <d v="2016-10-06T11:04:12" u="1"/>
        <d v="2016-09-06T00:00:00" u="1"/>
        <d v="2016-10-04T18:04:54" u="1"/>
        <d v="2016-09-15T08:02:45" u="1"/>
        <d v="2016-10-05T03:32:03" u="1"/>
        <d v="2016-10-06T03:33:26" u="1"/>
        <d v="2016-09-16T01:04:09" u="1"/>
        <d v="2016-10-03T16:04:18" u="1"/>
        <d v="2016-09-21T10:07:08" u="1"/>
        <d v="2016-09-29T03:31:36" u="1"/>
        <d v="2016-09-21T13:04:03" u="1"/>
        <d v="2016-09-23T09:03:46" u="1"/>
        <d v="2016-10-05T03:32:04" u="1"/>
        <d v="2016-10-05T15:03:37" u="1"/>
        <d v="2016-10-12T20:04:22" u="1"/>
        <d v="2016-10-06T16:03:27" u="1"/>
        <d v="2016-09-29T03:31:37" u="1"/>
        <d v="2016-09-30T19:21:23" u="1"/>
        <d v="2016-10-05T14:03:38" u="1"/>
        <d v="2016-09-19T13:04:24" u="1"/>
        <d v="2016-09-20T10:06:10" u="1"/>
        <d v="2016-10-03T18:03:57" u="1"/>
        <d v="2016-10-06T03:33:28" u="1"/>
        <d v="2016-10-10T18:03:58" u="1"/>
        <d v="2016-09-15T01:03:59" u="1"/>
        <d v="2016-09-27T12:03:30" u="1"/>
        <d v="2016-09-29T18:02:46" u="1"/>
        <d v="2016-10-05T10:04:02" u="1"/>
        <d v="2016-10-11T17:04:58" u="1"/>
        <d v="2016-09-13T22:36:49" u="1"/>
        <d v="2016-09-28T01:04:57" u="1"/>
        <d v="2016-09-29T11:03:58" u="1"/>
        <d v="2016-09-15T13:03:32" u="1"/>
        <d v="2016-10-03T18:03:58" u="1"/>
        <d v="2016-10-06T03:33:29" u="1"/>
        <d v="2016-09-27T12:03:31" u="1"/>
        <d v="2016-10-05T08:03:18" u="1"/>
        <d v="2016-10-10T11:04:00" u="1"/>
        <d v="2016-09-13T22:36:50" u="1"/>
        <d v="2016-09-23T00:00:00" u="1"/>
        <d v="2016-09-23T01:04:37" u="1"/>
        <d v="2016-09-23T15:03:23" u="1"/>
        <d v="2016-09-28T01:04:58" u="1"/>
        <d v="2016-09-26T18:05:11" u="1"/>
        <d v="2016-10-04T09:04:14" u="1"/>
        <d v="2016-09-28T16:02:35" u="1"/>
        <d v="2016-09-13T22:36:51" u="1"/>
        <d v="2016-09-14T16:03:19" u="1"/>
        <d v="2016-09-16T00:00:00" u="1"/>
        <d v="2016-10-10T10:04:49" u="1"/>
        <d v="2016-10-11T10:03:06" u="1"/>
        <d v="2016-09-20T01:04:21" u="1"/>
        <d v="2016-10-04T15:04:13" u="1"/>
        <d v="2016-10-05T09:04:05" u="1"/>
        <d v="2016-10-12T14:04:28" u="1"/>
        <d v="2016-09-09T00:00:00" u="1"/>
        <d v="2016-09-13T10:03:32" u="1"/>
        <d v="2016-09-13T22:36:52" u="1"/>
        <d v="2016-09-24T03:30:58" u="1"/>
        <d v="2016-09-30T17:04:11" u="1"/>
        <d v="2016-10-10T20:02:28" u="1"/>
        <d v="2016-09-20T01:04:22" u="1"/>
        <d v="2016-09-22T19:03:58" u="1"/>
        <d v="2016-09-26T15:03:43" u="1"/>
        <d v="2016-09-30T09:03:05" u="1"/>
        <d v="2016-09-24T03:30:59" u="1"/>
        <d v="2016-09-16T14:23:23" u="1"/>
        <d v="2016-09-19T17:04:04" u="1"/>
        <d v="2016-09-21T00:00:00" u="1"/>
        <d v="2016-10-04T03:28:54" u="1"/>
        <d v="2016-10-06T12:34:16" u="1"/>
        <d v="2016-10-11T16:04:16" u="1"/>
        <d v="2016-09-09T01:03:54" u="1"/>
        <d v="2016-09-14T00:00:00" u="1"/>
        <d v="2016-09-21T01:04:38" u="1"/>
        <d v="2016-10-04T03:28:55" u="1"/>
        <d v="2016-10-06T18:03:57" u="1"/>
        <d v="2016-10-11T16:04:17" u="1"/>
        <d v="2016-10-12T11:03:23" u="1"/>
        <d v="2016-09-13T22:36:55" u="1"/>
        <d v="2016-09-16T18:04:59" u="1"/>
        <d v="2016-09-23T17:03:04" u="1"/>
        <d v="2016-09-27T18:05:06" u="1"/>
        <d v="2016-09-30T16:03:29" u="1"/>
        <d v="2016-10-12T12:03:47" u="1"/>
        <d v="2016-09-24T03:31:00" u="1"/>
        <d v="2016-09-26T12:03:47" u="1"/>
        <d v="2016-10-03T01:02:37" u="1"/>
        <d v="2016-09-13T22:36:56" u="1"/>
        <d v="2016-10-04T17:03:55" u="1"/>
        <d v="2016-09-29T10:04:04" u="1"/>
        <d v="2016-09-30T00:03:59" u="1"/>
        <d v="2016-10-01T06:31:19" u="1"/>
        <d v="2016-10-05T15:54:25" u="1"/>
        <d v="2016-09-16T16:03:52" u="1"/>
        <d v="2016-10-03T01:02:38" u="1"/>
        <d v="2016-10-04T17:03:56" u="1"/>
        <d v="2016-09-16T14:23:27" u="1"/>
        <d v="2016-09-19T00:00:00" u="1"/>
        <d v="2016-09-20T11:03:38" u="1"/>
        <d v="2016-09-16T15:03:06" u="1"/>
        <d v="2016-09-16T14:23:28" u="1"/>
        <d v="2016-10-03T19:04:05" u="1"/>
        <d v="2016-10-04T22:03:32" u="1"/>
        <d v="2016-10-04T14:03:35" u="1"/>
        <d v="2016-10-06T08:03:17" u="1"/>
        <d v="2016-09-27T03:25:12" u="1"/>
        <d v="2016-09-14T13:03:52" u="1"/>
        <d v="2016-10-06T17:04:24" u="1"/>
        <d v="2016-09-22T13:41:43" u="1"/>
        <d v="2016-10-04T12:03:13" u="1"/>
        <d v="2016-10-05T20:03:24" u="1"/>
        <d v="2016-09-24T00:00:00" u="1"/>
        <d v="2016-09-23T18:03:56" u="1"/>
        <d v="2016-10-05T01:06:59" u="1"/>
        <d v="2016-09-22T13:41:44" u="1"/>
        <d v="2016-09-29T01:04:35" u="1"/>
        <d v="2016-09-24T00:03:29" u="1"/>
        <d v="2016-08-31T00:00:00" u="1"/>
        <d v="2016-09-23T04:54:17" u="1"/>
        <d v="2016-09-23T18:03:57" u="1"/>
        <d v="2016-09-23T19:03:57" u="1"/>
        <d v="2016-09-30T12:03:13" u="1"/>
        <d v="2016-10-11T13:04:25" u="1"/>
        <d v="2016-08-31T02:03:28" u="1"/>
        <d v="2016-09-23T04:54:18" u="1"/>
        <d v="2016-09-24T14:02:40" u="1"/>
        <d v="2016-09-22T13:41:46" u="1"/>
        <d v="2016-09-30T13:04:23" u="1"/>
        <d v="2016-09-30T14:03:37" u="1"/>
        <d v="2016-10-03T15:05:20" u="1"/>
        <d v="2016-10-05T01:07:00" u="1"/>
        <d v="2016-10-03T20:03:24" u="1"/>
        <d v="2016-09-22T00:00:00" u="1"/>
        <d v="2016-10-10T12:03:28" u="1"/>
        <d v="2016-09-20T19:03:42" u="1"/>
        <d v="2016-10-10T01:05:27" u="1"/>
        <d v="2016-09-15T00:00:00" u="1"/>
        <d v="2016-09-16T19:03:59" u="1"/>
        <d v="2016-09-27T17:04:30" u="1"/>
        <d v="2016-10-12T22:06:34" u="1"/>
        <d v="2016-09-28T19:03:58" u="1"/>
        <d v="2016-10-07T17:03:58" u="1"/>
        <d v="2016-10-10T13:04:15" u="1"/>
        <d v="2016-09-29T17:03:49" u="1"/>
        <d v="2016-10-10T16:05:00" u="1"/>
        <d v="2016-10-05T17:03:55" u="1"/>
        <d v="2016-10-10T03:34:15" u="1"/>
        <d v="2016-09-20T15:04:55" u="1"/>
        <d v="2016-09-26T17:04:18" u="1"/>
        <d v="2016-09-28T03:24:00" u="1"/>
        <d v="2016-09-22T15:04:12" u="1"/>
        <d v="2016-09-23T16:03:16" u="1"/>
        <d v="2016-10-07T03:40:31" u="1"/>
        <d v="2016-09-20T00:00:00" u="1"/>
        <d v="2016-09-26T17:04:19" u="1"/>
        <d v="2016-09-26T20:02:23" u="1"/>
        <d v="2016-09-30T03:34:27" u="1"/>
        <d v="2016-10-11T09:04:32" u="1"/>
        <d v="2016-09-06T15:01:50" u="1"/>
        <d v="2016-09-16T17:04:01" u="1"/>
        <d v="2016-09-22T17:04:12" u="1"/>
        <d v="2016-09-29T15:01:57" u="1"/>
      </sharedItems>
    </cacheField>
    <cacheField name="REQUEST_DATE" numFmtId="0">
      <sharedItems containsNonDate="0" containsDate="1" containsString="0" containsBlank="1" minDate="2016-05-11T00:00:00" maxDate="2016-11-25T00:00:00"/>
    </cacheField>
    <cacheField name="SCHEDULE_DATE" numFmtId="0">
      <sharedItems containsNonDate="0" containsDate="1" containsString="0" containsBlank="1" minDate="2016-09-15T23:59:00" maxDate="2016-10-17T23:59:00"/>
    </cacheField>
    <cacheField name="SHIPPED_DATE" numFmtId="0">
      <sharedItems containsBlank="1"/>
    </cacheField>
    <cacheField name="PICKED_QUANTITY" numFmtId="0">
      <sharedItems containsString="0" containsBlank="1" containsNumber="1" containsInteger="1" minValue="1" maxValue="150"/>
    </cacheField>
    <cacheField name="SHIPPED_QTY" numFmtId="0">
      <sharedItems containsString="0" containsBlank="1" containsNumber="1" containsInteger="1" minValue="1" maxValue="131"/>
    </cacheField>
    <cacheField name="PICK_AMOUNT_USD" numFmtId="0">
      <sharedItems containsString="0" containsBlank="1" containsNumber="1" minValue="6" maxValue="66570"/>
    </cacheField>
    <cacheField name="SHIPPED_AMOUNT_USD" numFmtId="0">
      <sharedItems containsString="0" containsBlank="1" containsNumber="1" minValue="7" maxValue="18000"/>
    </cacheField>
    <cacheField name="APC" numFmtId="0">
      <sharedItems containsBlank="1"/>
    </cacheField>
    <cacheField name="TECHNOLOGY" numFmtId="0">
      <sharedItems containsBlank="1"/>
    </cacheField>
    <cacheField name="PRODUCT_FAMILY" numFmtId="0">
      <sharedItems containsBlank="1"/>
    </cacheField>
    <cacheField name="PRODUCT_LINE" numFmtId="0">
      <sharedItems containsBlank="1"/>
    </cacheField>
    <cacheField name="PRODUCT_CLASS" numFmtId="0">
      <sharedItems containsBlank="1"/>
    </cacheField>
    <cacheField name="ORDER_TYPE" numFmtId="0">
      <sharedItems containsBlank="1"/>
    </cacheField>
    <cacheField name="SHIP_METHOD_CODE" numFmtId="0">
      <sharedItems containsBlank="1"/>
    </cacheField>
    <cacheField name="STATUS_CODE" numFmtId="0">
      <sharedItems containsBlank="1"/>
    </cacheField>
    <cacheField name="BATCH_ID" numFmtId="0">
      <sharedItems containsString="0" containsBlank="1" containsNumber="1" containsInteger="1" minValue="1224483" maxValue="1242416"/>
    </cacheField>
    <cacheField name="FREIGHT_CARRIER_CODE" numFmtId="0">
      <sharedItems containsBlank="1"/>
    </cacheField>
    <cacheField name="NET_WEIGHT" numFmtId="0">
      <sharedItems containsNonDate="0" containsString="0" containsBlank="1"/>
    </cacheField>
    <cacheField name="GROSS_WEIGHT" numFmtId="0">
      <sharedItems containsNonDate="0" containsString="0" containsBlank="1"/>
    </cacheField>
    <cacheField name="VOLUME" numFmtId="0">
      <sharedItems containsNonDate="0" containsString="0" containsBlank="1"/>
    </cacheField>
    <cacheField name="ACTUAL_CARRIER_USED" numFmtId="0">
      <sharedItems containsBlank="1"/>
    </cacheField>
    <cacheField name="MODE_OF_TRANSPORT" numFmtId="0">
      <sharedItems containsBlank="1"/>
    </cacheField>
    <cacheField name="FOB_CODE" numFmtId="0">
      <sharedItems containsBlank="1"/>
    </cacheField>
    <cacheField name="FREIGHT_TERMS_CODE" numFmtId="0">
      <sharedItems containsBlank="1"/>
    </cacheField>
    <cacheField name="FREIGHT_CHARGES" numFmtId="0">
      <sharedItems containsNonDate="0" containsString="0" containsBlank="1"/>
    </cacheField>
    <cacheField name="ADDITIONAL_SHIPMENT_INFO" numFmtId="0">
      <sharedItems containsBlank="1"/>
    </cacheField>
    <cacheField name="SHIPPING_INSTRUCTIONS_HDR" numFmtId="0">
      <sharedItems containsBlank="1" longText="1"/>
    </cacheField>
    <cacheField name="PACKING_INSTRUCTIONS" numFmtId="0">
      <sharedItems containsBlank="1" longText="1"/>
    </cacheField>
    <cacheField name="NET_WEIGHT_HDR"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Peter Gunardi" refreshedDate="42656.66918946759" createdVersion="5" refreshedVersion="5" minRefreshableVersion="3" recordCount="342">
  <cacheSource type="worksheet">
    <worksheetSource ref="A1:K1048576" sheet="Inventory - Receipts"/>
  </cacheSource>
  <cacheFields count="11">
    <cacheField name="Transaction Date" numFmtId="0">
      <sharedItems containsNonDate="0" containsDate="1" containsString="0" containsBlank="1" minDate="2016-09-01T00:00:00" maxDate="2016-09-28T00:00:00" count="19">
        <d v="2016-09-01T00:00:00"/>
        <d v="2016-09-06T00:00:00"/>
        <d v="2016-09-07T00:00:00"/>
        <d v="2016-09-08T00:00:00"/>
        <d v="2016-09-09T00:00:00"/>
        <d v="2016-09-12T00:00:00"/>
        <d v="2016-09-13T00:00:00"/>
        <d v="2016-09-14T00:00:00"/>
        <d v="2016-09-15T00:00:00"/>
        <d v="2016-09-16T00:00:00"/>
        <d v="2016-09-17T00:00:00"/>
        <d v="2016-09-19T00:00:00"/>
        <d v="2016-09-20T00:00:00"/>
        <d v="2016-09-21T00:00:00"/>
        <d v="2016-09-22T00:00:00"/>
        <d v="2016-09-23T00:00:00"/>
        <d v="2016-09-26T00:00:00"/>
        <d v="2016-09-27T00:00:00"/>
        <m/>
      </sharedItems>
    </cacheField>
    <cacheField name="Inventory Org Name" numFmtId="0">
      <sharedItems containsBlank="1"/>
    </cacheField>
    <cacheField name="Storage Location Subinventory" numFmtId="0">
      <sharedItems containsBlank="1"/>
    </cacheField>
    <cacheField name="Product Technology" numFmtId="0">
      <sharedItems containsBlank="1"/>
    </cacheField>
    <cacheField name="APC Code" numFmtId="0">
      <sharedItems containsBlank="1"/>
    </cacheField>
    <cacheField name="Movement Type" numFmtId="0">
      <sharedItems containsBlank="1"/>
    </cacheField>
    <cacheField name="Receipt Number" numFmtId="0">
      <sharedItems containsBlank="1" count="216">
        <s v="1000061"/>
        <s v="1000060"/>
        <s v="1000059"/>
        <s v="1000064"/>
        <s v="1000063"/>
        <s v="1000062"/>
        <s v="1000065"/>
        <s v="1000068"/>
        <s v="1000069"/>
        <s v="1000066"/>
        <s v="1000067"/>
        <s v="1000070"/>
        <s v="1000071"/>
        <s v="1000072"/>
        <s v="1000073"/>
        <s v="1000074"/>
        <s v="1000075"/>
        <s v="1000076"/>
        <s v="1000077"/>
        <s v="1000078"/>
        <s v="1000080"/>
        <s v="1000079"/>
        <s v="1000081"/>
        <s v="1000082"/>
        <s v="1000083"/>
        <s v="1000084"/>
        <s v="1000085"/>
        <s v="1000086"/>
        <s v="1000087"/>
        <s v="1000088"/>
        <s v="1000089"/>
        <s v="1000090"/>
        <s v="1000091"/>
        <s v="1000092"/>
        <s v="1000093"/>
        <s v="1000094"/>
        <s v="1000095"/>
        <s v="1000099"/>
        <s v="1000096"/>
        <s v="1000098"/>
        <s v="1000097"/>
        <s v="1000100"/>
        <s v="1000101"/>
        <s v="1000111"/>
        <s v="1000113"/>
        <s v="1000114"/>
        <s v="1000110"/>
        <s v="1000112"/>
        <s v="1000109"/>
        <s v="1000107"/>
        <s v="1000108"/>
        <s v="1000102"/>
        <s v="1000103"/>
        <s v="1000104"/>
        <s v="1000105"/>
        <s v="1000106"/>
        <s v="1000116"/>
        <s v="1000117"/>
        <s v="1000118"/>
        <s v="1000115"/>
        <s v="1000122"/>
        <s v="1000120"/>
        <s v="1000119"/>
        <s v="1000121"/>
        <s v="1000131"/>
        <s v="1000124"/>
        <s v="1000126"/>
        <s v="1000129"/>
        <s v="1000130"/>
        <s v="1000133"/>
        <s v="1000125"/>
        <s v="1000127"/>
        <s v="1000128"/>
        <s v="1000132"/>
        <s v="1000123"/>
        <s v="1000146"/>
        <s v="1000147"/>
        <s v="1000141"/>
        <s v="1000142"/>
        <s v="1000143"/>
        <s v="1000144"/>
        <s v="1000145"/>
        <s v="1000138"/>
        <s v="1000134"/>
        <s v="1000135"/>
        <s v="1000136"/>
        <s v="1000137"/>
        <s v="1000139"/>
        <s v="1000140"/>
        <s v="1000164"/>
        <s v="1000167"/>
        <s v="1000162"/>
        <s v="1000157"/>
        <s v="1000155"/>
        <s v="1000158"/>
        <s v="1000148"/>
        <s v="1000149"/>
        <s v="1000150"/>
        <s v="1000154"/>
        <s v="1000156"/>
        <s v="1000159"/>
        <s v="1000161"/>
        <s v="1000165"/>
        <s v="1000152"/>
        <s v="1000153"/>
        <s v="1000160"/>
        <s v="1000163"/>
        <s v="1000166"/>
        <s v="1000151"/>
        <s v="1000188"/>
        <s v="1000169"/>
        <s v="1000168"/>
        <s v="1000186"/>
        <s v="1000171"/>
        <s v="1000185"/>
        <s v="1000187"/>
        <s v="1000177"/>
        <s v="1000174"/>
        <s v="1000175"/>
        <s v="1000179"/>
        <s v="1000180"/>
        <s v="1000189"/>
        <s v="1000172"/>
        <s v="1000173"/>
        <s v="1000176"/>
        <s v="1000182"/>
        <s v="1000184"/>
        <s v="1000170"/>
        <s v="1000183"/>
        <s v="1000178"/>
        <s v="1000181"/>
        <s v="1000197"/>
        <s v="1000199"/>
        <s v="1000201"/>
        <s v="1000209"/>
        <s v="1000234"/>
        <s v="1000246"/>
        <s v="1000259"/>
        <s v="1000266"/>
        <s v="1000267"/>
        <s v="1000268"/>
        <s v="1000269"/>
        <s v="1000270"/>
        <s v="1000271"/>
        <s v="1000272"/>
        <s v="1000273"/>
        <s v="1000207"/>
        <s v="1000256"/>
        <s v="1000191"/>
        <s v="1000260"/>
        <s v="1000204"/>
        <s v="1000202"/>
        <s v="1000205"/>
        <s v="1000214"/>
        <s v="1000215"/>
        <s v="1000250"/>
        <s v="1000263"/>
        <s v="1000254"/>
        <s v="1000261"/>
        <s v="1000210"/>
        <s v="1000226"/>
        <s v="1000225"/>
        <s v="1000190"/>
        <s v="1000245"/>
        <s v="1000251"/>
        <s v="1000253"/>
        <s v="1000257"/>
        <s v="1000264"/>
        <s v="1000265"/>
        <s v="1000208"/>
        <s v="1000213"/>
        <s v="1000262"/>
        <s v="1000258"/>
        <s v="1000223"/>
        <s v="1000222"/>
        <s v="1000216"/>
        <s v="1000220"/>
        <s v="1000221"/>
        <s v="1000227"/>
        <s v="1000229"/>
        <s v="1000231"/>
        <s v="1000240"/>
        <s v="1000242"/>
        <s v="1000243"/>
        <s v="1000255"/>
        <s v="1000230"/>
        <s v="1000217"/>
        <s v="1000218"/>
        <s v="1000224"/>
        <s v="1000232"/>
        <s v="1000233"/>
        <s v="1000244"/>
        <s v="1000228"/>
        <s v="1000235"/>
        <s v="1000236"/>
        <s v="1000237"/>
        <s v="1000238"/>
        <s v="1000192"/>
        <s v="1000193"/>
        <s v="1000194"/>
        <s v="1000195"/>
        <s v="1000196"/>
        <s v="1000198"/>
        <s v="1000200"/>
        <s v="1000203"/>
        <s v="1000206"/>
        <s v="1000212"/>
        <s v="1000247"/>
        <s v="1000249"/>
        <s v="1000248"/>
        <s v="1000252"/>
        <s v="1000211"/>
        <s v="1000241"/>
        <s v="1000239"/>
        <s v="1000219"/>
        <m/>
      </sharedItems>
    </cacheField>
    <cacheField name="Product Number" numFmtId="0">
      <sharedItems containsBlank="1"/>
    </cacheField>
    <cacheField name="Product Name" numFmtId="0">
      <sharedItems containsBlank="1"/>
    </cacheField>
    <cacheField name="Transaction Quantity" numFmtId="0">
      <sharedItems containsString="0" containsBlank="1" containsNumber="1" containsInteger="1" minValue="1" maxValue="15000"/>
    </cacheField>
    <cacheField name="Storage Location Account (Seg3)"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Peter Gunardi" refreshedDate="42656.669189583336" createdVersion="5" refreshedVersion="5" minRefreshableVersion="3" recordCount="445">
  <cacheSource type="worksheet">
    <worksheetSource ref="A5:Q445" sheet="Tracker"/>
  </cacheSource>
  <cacheFields count="17">
    <cacheField name="Delivery #" numFmtId="0">
      <sharedItems containsString="0" containsBlank="1" containsNumber="1" containsInteger="1" minValue="9726394" maxValue="9753843"/>
    </cacheField>
    <cacheField name="Line Ct" numFmtId="0">
      <sharedItems containsString="0" containsBlank="1" containsNumber="1" containsInteger="1" minValue="1" maxValue="19"/>
    </cacheField>
    <cacheField name="SO#" numFmtId="0">
      <sharedItems containsBlank="1"/>
    </cacheField>
    <cacheField name="Customer" numFmtId="0">
      <sharedItems containsBlank="1"/>
    </cacheField>
    <cacheField name="Order Received at EI" numFmtId="0">
      <sharedItems containsNonDate="0" containsDate="1" containsString="0" containsBlank="1" minDate="2016-09-13T11:03:21" maxDate="2016-10-13T18:03:04"/>
    </cacheField>
    <cacheField name="Time Received" numFmtId="0">
      <sharedItems containsNonDate="0" containsDate="1" containsString="0" containsBlank="1" minDate="2016-09-13T11:03:21" maxDate="2016-10-13T18:03:04"/>
    </cacheField>
    <cacheField name="Customer Routed Yes/No" numFmtId="0">
      <sharedItems containsBlank="1" longText="1"/>
    </cacheField>
    <cacheField name="Picker Name" numFmtId="0">
      <sharedItems containsBlank="1"/>
    </cacheField>
    <cacheField name="Fully Shipped" numFmtId="0">
      <sharedItems containsBlank="1"/>
    </cacheField>
    <cacheField name="Picking Notes" numFmtId="0">
      <sharedItems containsBlank="1" longText="1"/>
    </cacheField>
    <cacheField name="EXPD Status" numFmtId="0">
      <sharedItems containsBlank="1" count="10">
        <s v="Ready to Ship"/>
        <s v="Pick in Progress"/>
        <s v="New"/>
        <s v="Picklist sent to WH"/>
        <s v="Future SSD"/>
        <m/>
        <s v="" u="1"/>
        <s v="Ready to Ship - On Hold by Arris" u="1"/>
        <s v="Pick in progress, Future SSD" u="1"/>
        <s v="Pick in Progess" u="1"/>
      </sharedItems>
    </cacheField>
    <cacheField name="Picklist Sent to WH" numFmtId="0">
      <sharedItems containsBlank="1"/>
    </cacheField>
    <cacheField name="Comments / CSR Notes" numFmtId="0">
      <sharedItems containsBlank="1" containsMixedTypes="1" containsNumber="1" containsInteger="1" minValue="42651" maxValue="6901393" longText="1"/>
    </cacheField>
    <cacheField name="Tracking #" numFmtId="0">
      <sharedItems containsBlank="1" containsMixedTypes="1" containsNumber="1" containsInteger="1" minValue="1269100" maxValue="1269100"/>
    </cacheField>
    <cacheField name="Supervisor Comment" numFmtId="0">
      <sharedItems containsBlank="1"/>
    </cacheField>
    <cacheField name="Company Name &amp; Owner of Actions" numFmtId="0">
      <sharedItems containsBlank="1"/>
    </cacheField>
    <cacheField name="SSD Date" numFmtId="0">
      <sharedItems containsNonDate="0" containsDate="1" containsString="0" containsBlank="1" minDate="2016-09-13T23:59:00" maxDate="2016-10-25T00:00:00" count="35">
        <d v="2016-09-15T00:00:00"/>
        <d v="2016-09-26T00:00:00"/>
        <d v="2016-09-28T00:00:00"/>
        <d v="2016-10-04T00:00:00"/>
        <d v="2016-10-03T00:00:00"/>
        <d v="2016-10-05T00:00:00"/>
        <d v="2016-10-07T00:00:00"/>
        <d v="2016-10-10T00:00:00"/>
        <d v="2016-10-06T00:00:00"/>
        <d v="2016-10-11T00:00:00"/>
        <d v="2016-10-12T00:00:00"/>
        <d v="2016-10-13T00:00:00"/>
        <d v="2016-10-14T00:00:00"/>
        <d v="2016-10-17T00:00:00"/>
        <m/>
        <d v="2016-09-28T23:00:56" u="1"/>
        <d v="2016-09-13T23:59:00" u="1"/>
        <d v="2016-09-29T23:57:11" u="1"/>
        <d v="2016-10-04T23:59:00" u="1"/>
        <d v="2016-09-30T00:00:00" u="1"/>
        <d v="2016-09-23T00:00:00" u="1"/>
        <d v="2016-09-30T23:59:00" u="1"/>
        <d v="2016-09-23T23:59:00" u="1"/>
        <d v="2016-10-04T17:42:13" u="1"/>
        <d v="2016-09-28T23:59:00" u="1"/>
        <d v="2016-10-07T23:59:00" u="1"/>
        <d v="2016-09-26T23:59:00" u="1"/>
        <d v="2016-10-24T00:00:00" u="1"/>
        <d v="2016-10-05T23:59:00" u="1"/>
        <d v="2016-10-03T23:59:00" u="1"/>
        <d v="2016-09-29T00:00:00" u="1"/>
        <d v="2016-09-29T23:59:00" u="1"/>
        <d v="2016-09-22T23:59:00" u="1"/>
        <d v="2016-09-15T23:59:00" u="1"/>
        <d v="2016-09-27T23:59:00"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Peter Gunardi" refreshedDate="42656.670993171298" createdVersion="5" refreshedVersion="5" minRefreshableVersion="3" recordCount="381">
  <cacheSource type="worksheet">
    <worksheetSource ref="A1:BA1048576" sheet="Open Order"/>
  </cacheSource>
  <cacheFields count="53">
    <cacheField name="ORG_CODE" numFmtId="0">
      <sharedItems containsBlank="1"/>
    </cacheField>
    <cacheField name="CUST_NO" numFmtId="0">
      <sharedItems containsBlank="1"/>
    </cacheField>
    <cacheField name="CUST_NAME" numFmtId="0">
      <sharedItems containsBlank="1"/>
    </cacheField>
    <cacheField name="CUST_LOCATION" numFmtId="0">
      <sharedItems containsBlank="1"/>
    </cacheField>
    <cacheField name="LOCATION" numFmtId="0">
      <sharedItems containsBlank="1"/>
    </cacheField>
    <cacheField name="SUBINVENTORY" numFmtId="0">
      <sharedItems containsBlank="1"/>
    </cacheField>
    <cacheField name="ADDRESS1" numFmtId="0">
      <sharedItems containsBlank="1"/>
    </cacheField>
    <cacheField name="ADDRESS2" numFmtId="0">
      <sharedItems containsBlank="1"/>
    </cacheField>
    <cacheField name="STATE" numFmtId="0">
      <sharedItems containsBlank="1"/>
    </cacheField>
    <cacheField name="CITY" numFmtId="0">
      <sharedItems containsBlank="1"/>
    </cacheField>
    <cacheField name="ZIP" numFmtId="0">
      <sharedItems containsBlank="1"/>
    </cacheField>
    <cacheField name="ITEM_NUMBER" numFmtId="0">
      <sharedItems containsBlank="1"/>
    </cacheField>
    <cacheField name="ITEM_DESCRIPTION" numFmtId="0">
      <sharedItems containsBlank="1"/>
    </cacheField>
    <cacheField name="ORDER_NO" numFmtId="0">
      <sharedItems containsBlank="1"/>
    </cacheField>
    <cacheField name="LINE_NO" numFmtId="0">
      <sharedItems containsBlank="1"/>
    </cacheField>
    <cacheField name="DELIVERY_ID" numFmtId="0">
      <sharedItems containsString="0" containsBlank="1" containsNumber="1" containsInteger="1" minValue="9726394" maxValue="9753843" count="861">
        <n v="9752653"/>
        <n v="9753493"/>
        <n v="9751932"/>
        <n v="9753005"/>
        <n v="9751937"/>
        <n v="9752590"/>
        <n v="9749808"/>
        <n v="9750889"/>
        <n v="9752135"/>
        <n v="9753492"/>
        <n v="9753363"/>
        <n v="9753344"/>
        <n v="9753364"/>
        <n v="9753324"/>
        <n v="9753390"/>
        <n v="9753744"/>
        <n v="9753794"/>
        <n v="9753811"/>
        <n v="9753793"/>
        <n v="9745878"/>
        <n v="9750306"/>
        <n v="9752597"/>
        <n v="9750864"/>
        <n v="9752798"/>
        <n v="9752799"/>
        <n v="9751367"/>
        <n v="9751368"/>
        <n v="9751369"/>
        <n v="9751131"/>
        <n v="9752651"/>
        <n v="9753704"/>
        <n v="9753747"/>
        <n v="9753796"/>
        <n v="9752141"/>
        <n v="9753703"/>
        <n v="9751667"/>
        <n v="9749787"/>
        <n v="9749482"/>
        <n v="9753792"/>
        <n v="9752241"/>
        <n v="9752140"/>
        <n v="9753812"/>
        <n v="9751497"/>
        <n v="9752369"/>
        <n v="9752358"/>
        <n v="9753746"/>
        <n v="9753795"/>
        <n v="9751868"/>
        <n v="9751869"/>
        <n v="9751232"/>
        <n v="9753345"/>
        <n v="9752395"/>
        <n v="9753082"/>
        <n v="9753413"/>
        <n v="9753745"/>
        <n v="9753589"/>
        <n v="9743244"/>
        <n v="9753816"/>
        <n v="9753813"/>
        <n v="9753814"/>
        <n v="9753838"/>
        <n v="9753843"/>
        <n v="9753837"/>
        <n v="9753842"/>
        <n v="9753841"/>
        <n v="9753815"/>
        <n v="9753840"/>
        <n v="9753839"/>
        <n v="9753629"/>
        <n v="9753497"/>
        <n v="9753498"/>
        <n v="9753499"/>
        <n v="9745212"/>
        <n v="9753500"/>
        <n v="9743245"/>
        <n v="9751008"/>
        <n v="9743246"/>
        <n v="9753494"/>
        <n v="9748839"/>
        <n v="9753495"/>
        <n v="9753496"/>
        <n v="9751976"/>
        <n v="9752897"/>
        <n v="9751606"/>
        <n v="9751604"/>
        <n v="9753502"/>
        <n v="9751607"/>
        <n v="9753501"/>
        <n v="9751608"/>
        <n v="9751982"/>
        <n v="9751981"/>
        <n v="9752958"/>
        <n v="9752959"/>
        <n v="9726394"/>
        <n v="9751017"/>
        <m/>
        <n v="9743419" u="1"/>
        <n v="9743258" u="1"/>
        <n v="9726985" u="1"/>
        <n v="9743225" u="1"/>
        <n v="9726912" u="1"/>
        <n v="9743988" u="1"/>
        <n v="9743256" u="1"/>
        <n v="9743987" u="1"/>
        <n v="9743239" u="1"/>
        <n v="9743255" u="1"/>
        <n v="9743584" u="1"/>
        <n v="9744104" u="1"/>
        <n v="9745220" u="1"/>
        <n v="9743990" u="1"/>
        <n v="9745219" u="1"/>
        <n v="9745186" u="1"/>
        <n v="9745226" u="1"/>
        <n v="9729443" u="1"/>
        <n v="9745884" u="1"/>
        <n v="9744951" u="1"/>
        <n v="9746341" u="1"/>
        <n v="9746357" u="1"/>
        <n v="9746373" u="1"/>
        <n v="9746381" u="1"/>
        <n v="9746372" u="1"/>
        <n v="9745223" u="1"/>
        <n v="9746613" u="1"/>
        <n v="9746355" u="1"/>
        <n v="9746371" u="1"/>
        <n v="9746837" u="1"/>
        <n v="9746379" u="1"/>
        <n v="9746612" u="1"/>
        <n v="9746885" u="1"/>
        <n v="9746893" u="1"/>
        <n v="9747005" u="1"/>
        <n v="9747021" u="1"/>
        <n v="9745880" u="1"/>
        <n v="9746370" u="1"/>
        <n v="9746836" u="1"/>
        <n v="9746378" u="1"/>
        <n v="9746611" u="1"/>
        <n v="9746844" u="1"/>
        <n v="9746386" u="1"/>
        <n v="9747085" u="1"/>
        <n v="9746884" u="1"/>
        <n v="9746892" u="1"/>
        <n v="9747141" u="1"/>
        <n v="9747149" u="1"/>
        <n v="9746506" u="1"/>
        <n v="9747004" u="1"/>
        <n v="9746345" u="1"/>
        <n v="9746369" u="1"/>
        <n v="9746835" u="1"/>
        <n v="9746377" u="1"/>
        <n v="9746843" u="1"/>
        <n v="9746385" u="1"/>
        <n v="9747084" u="1"/>
        <n v="9747333" u="1"/>
        <n v="9747341" u="1"/>
        <n v="9746891" u="1"/>
        <n v="9747140" u="1"/>
        <n v="9747148" u="1"/>
        <n v="9747156" u="1"/>
        <n v="9747204" u="1"/>
        <n v="9747220" u="1"/>
        <n v="9747453" u="1"/>
        <n v="9747461" u="1"/>
        <n v="9747003" u="1"/>
        <n v="9747469" u="1"/>
        <n v="9747477" u="1"/>
        <n v="9747485" u="1"/>
        <n v="9747493" u="1"/>
        <n v="9747501" u="1"/>
        <n v="9746344" u="1"/>
        <n v="9747509" u="1"/>
        <n v="9747517" u="1"/>
        <n v="9747525" u="1"/>
        <n v="9746368" u="1"/>
        <n v="9746376" u="1"/>
        <n v="9746842" u="1"/>
        <n v="9747083" u="1"/>
        <n v="9747091" u="1"/>
        <n v="9747332" u="1"/>
        <n v="9747340" u="1"/>
        <n v="9746890" u="1"/>
        <n v="9747139" u="1"/>
        <n v="9747147" u="1"/>
        <n v="9747155" u="1"/>
        <n v="9747179" u="1"/>
        <n v="9747219" u="1"/>
        <n v="9747452" u="1"/>
        <n v="9747460" u="1"/>
        <n v="9747002" u="1"/>
        <n v="9747468" u="1"/>
        <n v="9747476" u="1"/>
        <n v="9747484" u="1"/>
        <n v="9747492" u="1"/>
        <n v="9746343" u="1"/>
        <n v="9747500" u="1"/>
        <n v="9747508" u="1"/>
        <n v="9747741" u="1"/>
        <n v="9747516" u="1"/>
        <n v="9746367" u="1"/>
        <n v="9747524" u="1"/>
        <n v="9746375" u="1"/>
        <n v="9746383" u="1"/>
        <n v="9746608" u="1"/>
        <n v="9746841" u="1"/>
        <n v="9747090" u="1"/>
        <n v="9747331" u="1"/>
        <n v="9747339" u="1"/>
        <n v="9746889" u="1"/>
        <n v="9746447" u="1"/>
        <n v="9747138" u="1"/>
        <n v="9747146" u="1"/>
        <n v="9747154" u="1"/>
        <n v="9747893" u="1"/>
        <n v="9747218" u="1"/>
        <n v="9747451" u="1"/>
        <n v="9747459" u="1"/>
        <n v="9747001" u="1"/>
        <n v="9747467" u="1"/>
        <n v="9747475" u="1"/>
        <n v="9747483" u="1"/>
        <n v="9747258" u="1"/>
        <n v="9747491" u="1"/>
        <n v="9746342" u="1"/>
        <n v="9747499" u="1"/>
        <n v="9747507" u="1"/>
        <n v="9746358" u="1"/>
        <n v="9747515" u="1"/>
        <n v="9746366" u="1"/>
        <n v="9747523" u="1"/>
        <n v="9746374" u="1"/>
        <n v="9746382" u="1"/>
        <n v="9746840" u="1"/>
        <n v="9747780" u="1"/>
        <n v="9747338" u="1"/>
        <n v="9746663" u="1"/>
        <n v="9748061" u="1"/>
        <n v="9747137" u="1"/>
        <n v="9747145" u="1"/>
        <n v="9747153" u="1"/>
        <n v="9747177" u="1"/>
        <n v="9747892" u="1"/>
        <n v="9747217" u="1"/>
        <n v="9747450" u="1"/>
        <n v="9747458" u="1"/>
        <n v="9747466" u="1"/>
        <n v="9747474" u="1"/>
        <n v="9747482" u="1"/>
        <n v="9747257" u="1"/>
        <n v="9747490" u="1"/>
        <n v="9747498" u="1"/>
        <n v="9747506" u="1"/>
        <n v="9747514" u="1"/>
        <n v="9747522" u="1"/>
        <n v="9748221" u="1"/>
        <n v="9746839" u="1"/>
        <n v="9747779" u="1"/>
        <n v="9747337" u="1"/>
        <n v="9746887" u="1"/>
        <n v="9748277" u="1"/>
        <n v="9748285" u="1"/>
        <n v="9748293" u="1"/>
        <n v="9747136" u="1"/>
        <n v="9748301" u="1"/>
        <n v="9747144" u="1"/>
        <n v="9748309" u="1"/>
        <n v="9747152" u="1"/>
        <n v="9748317" u="1"/>
        <n v="9748325" u="1"/>
        <n v="9748333" u="1"/>
        <n v="9747176" u="1"/>
        <n v="9748341" u="1"/>
        <n v="9748349" u="1"/>
        <n v="9747891" u="1"/>
        <n v="9747216" u="1"/>
        <n v="9747449" u="1"/>
        <n v="9747457" u="1"/>
        <n v="9747007" u="1"/>
        <n v="9747465" u="1"/>
        <n v="9747473" u="1"/>
        <n v="9747481" u="1"/>
        <n v="9747489" u="1"/>
        <n v="9747497" u="1"/>
        <n v="9746814" u="1"/>
        <n v="9747505" u="1"/>
        <n v="9748437" u="1"/>
        <n v="9747513" u="1"/>
        <n v="9747521" u="1"/>
        <n v="9748220" u="1"/>
        <n v="9746838" u="1"/>
        <n v="9747529" u="1"/>
        <n v="9747778" u="1"/>
        <n v="9748477" u="1"/>
        <n v="9747336" u="1"/>
        <n v="9748035" u="1"/>
        <n v="9746886" u="1"/>
        <n v="9746894" u="1"/>
        <n v="9748284" u="1"/>
        <n v="9748292" u="1"/>
        <n v="9747143" u="1"/>
        <n v="9748300" u="1"/>
        <n v="9747151" u="1"/>
        <n v="9747842" u="1"/>
        <n v="9748308" u="1"/>
        <n v="9748316" u="1"/>
        <n v="9748324" u="1"/>
        <n v="9747175" u="1"/>
        <n v="9748332" u="1"/>
        <n v="9748340" u="1"/>
        <n v="9748348" u="1"/>
        <n v="9747890" u="1"/>
        <n v="9748356" u="1"/>
        <n v="9747448" u="1"/>
        <n v="9747456" u="1"/>
        <n v="9747006" u="1"/>
        <n v="9747464" u="1"/>
        <n v="9747472" u="1"/>
        <n v="9747480" u="1"/>
        <n v="9747488" u="1"/>
        <n v="9747496" u="1"/>
        <n v="9747504" u="1"/>
        <n v="9748436" u="1"/>
        <n v="9748669" u="1"/>
        <n v="9747512" u="1"/>
        <n v="9747520" u="1"/>
        <n v="9748219" u="1"/>
        <n v="9748685" u="1"/>
        <n v="9747528" u="1"/>
        <n v="9747086" u="1"/>
        <n v="9748476" u="1"/>
        <n v="9731890" u="1"/>
        <n v="9747335" u="1"/>
        <n v="9747343" u="1"/>
        <n v="9748034" u="1"/>
        <n v="9748283" u="1"/>
        <n v="9748291" u="1"/>
        <n v="9747142" u="1"/>
        <n v="9748299" u="1"/>
        <n v="9747150" u="1"/>
        <n v="9747841" u="1"/>
        <n v="9748074" u="1"/>
        <n v="9748307" u="1"/>
        <n v="9748315" u="1"/>
        <n v="9748090" u="1"/>
        <n v="9748323" u="1"/>
        <n v="9747174" u="1"/>
        <n v="9748331" u="1"/>
        <n v="9748339" u="1"/>
        <n v="9748347" u="1"/>
        <n v="9747889" u="1"/>
        <n v="9748355" u="1"/>
        <n v="9747447" u="1"/>
        <n v="9748837" u="1"/>
        <n v="9747455" u="1"/>
        <n v="9747463" u="1"/>
        <n v="9747238" u="1"/>
        <n v="9747471" u="1"/>
        <n v="9747479" u="1"/>
        <n v="9747704" u="1"/>
        <n v="9747487" u="1"/>
        <n v="9747495" u="1"/>
        <n v="9747503" u="1"/>
        <n v="9747511" u="1"/>
        <n v="9748435" u="1"/>
        <n v="9748668" u="1"/>
        <n v="9747519" u="1"/>
        <n v="9747527" u="1"/>
        <n v="9747985" u="1"/>
        <n v="9748218" u="1"/>
        <n v="9748684" u="1"/>
        <n v="9748917" u="1"/>
        <n v="9748925" u="1"/>
        <n v="9748700" u="1"/>
        <n v="9748933" u="1"/>
        <n v="9748941" u="1"/>
        <n v="9747334" u="1"/>
        <n v="9747342" u="1"/>
        <n v="9748033" u="1"/>
        <n v="9748282" u="1"/>
        <n v="9748290" u="1"/>
        <n v="9748298" u="1"/>
        <n v="9747840" u="1"/>
        <n v="9748306" u="1"/>
        <n v="9748314" u="1"/>
        <n v="9748089" u="1"/>
        <n v="9748322" u="1"/>
        <n v="9748330" u="1"/>
        <n v="9748338" u="1"/>
        <n v="9748346" u="1"/>
        <n v="9747663" u="1"/>
        <n v="9747888" u="1"/>
        <n v="9748354" u="1"/>
        <n v="9748836" u="1"/>
        <n v="9747454" u="1"/>
        <n v="9747462" u="1"/>
        <n v="9748619" u="1"/>
        <n v="9747470" u="1"/>
        <n v="9747703" u="1"/>
        <n v="9747478" u="1"/>
        <n v="9747486" u="1"/>
        <n v="9748643" u="1"/>
        <n v="9747494" u="1"/>
        <n v="9747952" u="1"/>
        <n v="9747502" u="1"/>
        <n v="9747510" u="1"/>
        <n v="9747518" u="1"/>
        <n v="9749141" u="1"/>
        <n v="9747526" u="1"/>
        <n v="9748217" u="1"/>
        <n v="9748450" u="1"/>
        <n v="9748683" u="1"/>
        <n v="9748916" u="1"/>
        <n v="9748225" u="1"/>
        <n v="9748924" u="1"/>
        <n v="9748932" u="1"/>
        <n v="9748940" u="1"/>
        <n v="9749181" u="1"/>
        <n v="9731888" u="1"/>
        <n v="9747815" u="1"/>
        <n v="9748040" u="1"/>
        <n v="9748506" u="1"/>
        <n v="9748281" u="1"/>
        <n v="9748289" u="1"/>
        <n v="9748297" u="1"/>
        <n v="9748305" u="1"/>
        <n v="9748313" u="1"/>
        <n v="9748321" u="1"/>
        <n v="9748329" u="1"/>
        <n v="9748337" u="1"/>
        <n v="9748345" u="1"/>
        <n v="9748578" u="1"/>
        <n v="9748353" u="1"/>
        <n v="9748835" u="1"/>
        <n v="9749076" u="1"/>
        <n v="9748618" u="1"/>
        <n v="9747951" u="1"/>
        <n v="9748441" u="1"/>
        <n v="9749140" u="1"/>
        <n v="9748216" u="1"/>
        <n v="9748449" u="1"/>
        <n v="9748682" u="1"/>
        <n v="9748915" u="1"/>
        <n v="9748224" u="1"/>
        <n v="9748923" u="1"/>
        <n v="9748931" u="1"/>
        <n v="9748939" u="1"/>
        <n v="9749180" u="1"/>
        <n v="9748280" u="1"/>
        <n v="9748288" u="1"/>
        <n v="9748296" u="1"/>
        <n v="9748304" u="1"/>
        <n v="9748312" u="1"/>
        <n v="9748320" u="1"/>
        <n v="9748328" u="1"/>
        <n v="9748794" u="1"/>
        <n v="9748336" u="1"/>
        <n v="9748344" u="1"/>
        <n v="9748127" u="1"/>
        <n v="9748352" u="1"/>
        <n v="9748601" u="1"/>
        <n v="9748834" u="1"/>
        <n v="9748842" u="1"/>
        <n v="9747950" u="1"/>
        <n v="9748215" u="1"/>
        <n v="9748440" u="1"/>
        <n v="9748673" u="1"/>
        <n v="9749139" u="1"/>
        <n v="9748223" u="1"/>
        <n v="9748914" u="1"/>
        <n v="9749380" u="1"/>
        <n v="9749613" u="1"/>
        <n v="9748930" u="1"/>
        <n v="9748938" u="1"/>
        <n v="9748038" u="1"/>
        <n v="9748279" u="1"/>
        <n v="9748287" u="1"/>
        <n v="9748062" u="1"/>
        <n v="9748295" u="1"/>
        <n v="9748303" u="1"/>
        <n v="9748311" u="1"/>
        <n v="9748319" u="1"/>
        <n v="9748327" u="1"/>
        <n v="9748335" u="1"/>
        <n v="9748343" u="1"/>
        <n v="9748351" u="1"/>
        <n v="9749275" u="1"/>
        <n v="9748833" u="1"/>
        <n v="9748841" u="1"/>
        <n v="9748439" u="1"/>
        <n v="9748672" u="1"/>
        <n v="9748222" u="1"/>
        <n v="9749612" u="1"/>
        <n v="9749853" u="1"/>
        <n v="9748929" u="1"/>
        <n v="9748937" u="1"/>
        <n v="9748278" u="1"/>
        <n v="9748286" u="1"/>
        <n v="9748294" u="1"/>
        <n v="9748302" u="1"/>
        <n v="9748310" u="1"/>
        <n v="9748318" u="1"/>
        <n v="9748326" u="1"/>
        <n v="9748334" u="1"/>
        <n v="9748342" u="1"/>
        <n v="9748350" u="1"/>
        <n v="9749274" u="1"/>
        <n v="9748832" u="1"/>
        <n v="9748840" u="1"/>
        <n v="9748438" u="1"/>
        <n v="9748671" u="1"/>
        <n v="9748687" u="1"/>
        <n v="9749611" u="1"/>
        <n v="9749844" u="1"/>
        <n v="9748920" u="1"/>
        <n v="9749852" u="1"/>
        <n v="9748928" u="1"/>
        <n v="9748478" u="1"/>
        <n v="9748936" u="1"/>
        <n v="9749209" u="1"/>
        <n v="9749273" u="1"/>
        <n v="9748831" u="1"/>
        <n v="9748670" u="1"/>
        <n v="9748686" u="1"/>
        <n v="9748919" u="1"/>
        <n v="9749610" u="1"/>
        <n v="9748927" u="1"/>
        <n v="9748935" u="1"/>
        <n v="9748943" u="1"/>
        <n v="9750357" u="1"/>
        <n v="9749899" u="1"/>
        <n v="9749208" u="1"/>
        <n v="9750405" u="1"/>
        <n v="9749256" u="1"/>
        <n v="9748838" u="1"/>
        <n v="9750501" u="1"/>
        <n v="9750509" u="1"/>
        <n v="9748918" u="1"/>
        <n v="9749609" u="1"/>
        <n v="9748926" u="1"/>
        <n v="9748934" u="1"/>
        <n v="9748942" u="1"/>
        <n v="9750573" u="1"/>
        <n v="9749882" u="1"/>
        <n v="9750581" u="1"/>
        <n v="9750356" u="1"/>
        <n v="9750589" u="1"/>
        <n v="9749207" u="1"/>
        <n v="9750404" u="1"/>
        <n v="9749078" u="1"/>
        <n v="9750709" u="1"/>
        <n v="9750508" u="1"/>
        <n v="9750283" u="1"/>
        <n v="9750058" u="1"/>
        <n v="9749608" u="1"/>
        <n v="9749616" u="1"/>
        <n v="9749182" u="1"/>
        <n v="9750572" u="1"/>
        <n v="9749881" u="1"/>
        <n v="9750580" u="1"/>
        <n v="9750588" u="1"/>
        <n v="9749495" u="1"/>
        <n v="9750668" u="1"/>
        <n v="9750234" u="1"/>
        <n v="9750708" u="1"/>
        <n v="9750507" u="1"/>
        <n v="9749615" u="1"/>
        <n v="9751005" u="1"/>
        <n v="9751013" u="1"/>
        <n v="9750571" u="1"/>
        <n v="9749880" u="1"/>
        <n v="9750579" u="1"/>
        <n v="9750587" u="1"/>
        <n v="9749912" u="1"/>
        <n v="9751117" u="1"/>
        <n v="9751125" u="1"/>
        <n v="9750667" u="1"/>
        <n v="9751141" u="1"/>
        <n v="9750683" u="1"/>
        <n v="9751149" u="1"/>
        <n v="9751157" u="1"/>
        <n v="9750265" u="1"/>
        <n v="9750506" u="1"/>
        <n v="9749614" u="1"/>
        <n v="9750305" u="1"/>
        <n v="9751012" u="1"/>
        <n v="9750570" u="1"/>
        <n v="9750578" u="1"/>
        <n v="9750586" u="1"/>
        <n v="9750851" u="1"/>
        <n v="9751341" u="1"/>
        <n v="9750883" u="1"/>
        <n v="9751116" u="1"/>
        <n v="9750891" u="1"/>
        <n v="9751124" u="1"/>
        <n v="9751140" u="1"/>
        <n v="9750682" u="1"/>
        <n v="9751148" u="1"/>
        <n v="9750457" u="1"/>
        <n v="9751156" u="1"/>
        <n v="9750031" u="1"/>
        <n v="9750505" u="1"/>
        <n v="9750513" u="1"/>
        <n v="9749846" u="1"/>
        <n v="9751011" u="1"/>
        <n v="9751244" u="1"/>
        <n v="9750569" u="1"/>
        <n v="9750577" u="1"/>
        <n v="9750585" u="1"/>
        <n v="9750159" u="1"/>
        <n v="9751340" u="1"/>
        <n v="9751115" u="1"/>
        <n v="9750890" u="1"/>
        <n v="9751123" u="1"/>
        <n v="9751139" u="1"/>
        <n v="9751605" u="1"/>
        <n v="9750681" u="1"/>
        <n v="9751147" u="1"/>
        <n v="9750922" u="1"/>
        <n v="9751155" u="1"/>
        <n v="9751420" u="1"/>
        <n v="9750038" u="1"/>
        <n v="9750504" u="1"/>
        <n v="9750512" u="1"/>
        <n v="9751010" u="1"/>
        <n v="9750568" u="1"/>
        <n v="9750576" u="1"/>
        <n v="9750584" u="1"/>
        <n v="9750592" u="1"/>
        <n v="9751532" u="1"/>
        <n v="9751114" u="1"/>
        <n v="9751122" u="1"/>
        <n v="9751130" u="1"/>
        <n v="9751138" u="1"/>
        <n v="9751146" u="1"/>
        <n v="9751154" u="1"/>
        <n v="9750953" u="1"/>
        <n v="9751885" u="1"/>
        <n v="9750503" u="1"/>
        <n v="9750511" u="1"/>
        <n v="9751700" u="1"/>
        <n v="9751933" u="1"/>
        <n v="9751009" u="1"/>
        <n v="9751941" u="1"/>
        <n v="9751949" u="1"/>
        <n v="9751957" u="1"/>
        <n v="9750575" u="1"/>
        <n v="9751499" u="1"/>
        <n v="9750583" u="1"/>
        <n v="9751973" u="1"/>
        <n v="9750358" u="1"/>
        <n v="9750591" u="1"/>
        <n v="9751113" u="1"/>
        <n v="9751121" u="1"/>
        <n v="9751129" u="1"/>
        <n v="9751137" u="1"/>
        <n v="9751603" u="1"/>
        <n v="9751145" u="1"/>
        <n v="9751153" u="1"/>
        <n v="9751161" u="1"/>
        <n v="9750502" u="1"/>
        <n v="9750510" u="1"/>
        <n v="9751940" u="1"/>
        <n v="9751016" u="1"/>
        <n v="9751948" u="1"/>
        <n v="9752181" u="1"/>
        <n v="9751956" u="1"/>
        <n v="9750574" u="1"/>
        <n v="9751498" u="1"/>
        <n v="9750582" u="1"/>
        <n v="9751972" u="1"/>
        <n v="9750590" u="1"/>
        <n v="9751980" u="1"/>
        <n v="9750863" u="1"/>
        <n v="9751112" u="1"/>
        <n v="9751120" u="1"/>
        <n v="9751128" u="1"/>
        <n v="9751136" u="1"/>
        <n v="9751602" u="1"/>
        <n v="9751144" u="1"/>
        <n v="9751152" u="1"/>
        <n v="9751160" u="1"/>
        <n v="9751867" u="1"/>
        <n v="9752357" u="1"/>
        <n v="9751682" u="1"/>
        <n v="9751007" u="1"/>
        <n v="9751931" u="1"/>
        <n v="9752397" u="1"/>
        <n v="9751015" u="1"/>
        <n v="9751939" u="1"/>
        <n v="9751947" u="1"/>
        <n v="9752180" u="1"/>
        <n v="9751489" u="1"/>
        <n v="9751955" u="1"/>
        <n v="9752421" u="1"/>
        <n v="9751971" u="1"/>
        <n v="9751979" u="1"/>
        <n v="9750862" u="1"/>
        <n v="9751111" u="1"/>
        <n v="9751119" u="1"/>
        <n v="9751127" u="1"/>
        <n v="9751143" u="1"/>
        <n v="9751601" u="1"/>
        <n v="9751151" u="1"/>
        <n v="9751159" u="1"/>
        <n v="9751866" u="1"/>
        <n v="9752581" u="1"/>
        <n v="9752356" u="1"/>
        <n v="9752589" u="1"/>
        <n v="9752139" u="1"/>
        <n v="9751456" u="1"/>
        <n v="9752388" u="1"/>
        <n v="9751006" u="1"/>
        <n v="9751930" u="1"/>
        <n v="9751014" u="1"/>
        <n v="9751472" u="1"/>
        <n v="9751938" u="1"/>
        <n v="9751946" u="1"/>
        <n v="9752179" u="1"/>
        <n v="9751488" u="1"/>
        <n v="9751954" u="1"/>
        <n v="9751962" u="1"/>
        <n v="9752661" u="1"/>
        <n v="9751970" u="1"/>
        <n v="9751978" u="1"/>
        <n v="9751118" u="1"/>
        <n v="9751126" u="1"/>
        <n v="9751134" u="1"/>
        <n v="9751142" u="1"/>
        <n v="9751600" u="1"/>
        <n v="9751150" u="1"/>
        <n v="9751158" u="1"/>
        <n v="9751865" u="1"/>
        <n v="9752580" u="1"/>
        <n v="9752588" u="1"/>
        <n v="9752596" u="1"/>
        <n v="9752138" u="1"/>
        <n v="9752371" u="1"/>
        <n v="9752837" u="1"/>
        <n v="9752146" u="1"/>
        <n v="9752387" u="1"/>
        <n v="9751471" u="1"/>
        <n v="9751487" u="1"/>
        <n v="9751945" u="1"/>
        <n v="9752178" u="1"/>
        <n v="9751953" u="1"/>
        <n v="9752652" u="1"/>
        <n v="9751961" u="1"/>
        <n v="9752660" u="1"/>
        <n v="9751977" u="1"/>
        <n v="9752242" u="1"/>
        <n v="9751599" u="1"/>
        <n v="9752587" u="1"/>
        <n v="9752595" u="1"/>
        <n v="9751679" u="1"/>
        <n v="9752137" u="1"/>
        <n v="9752370" u="1"/>
        <n v="9752836" u="1"/>
        <n v="9752145" u="1"/>
        <n v="9751470" u="1"/>
        <n v="9752394" u="1"/>
        <n v="9751711" u="1"/>
        <n v="9751936" u="1"/>
        <n v="9751944" u="1"/>
        <n v="9752177" u="1"/>
        <n v="9751952" u="1"/>
        <n v="9752659" u="1"/>
        <n v="9751968" u="1"/>
        <n v="9752225" u="1"/>
        <n v="9751783" u="1"/>
        <n v="9752321" u="1"/>
        <n v="9752586" u="1"/>
        <n v="9752594" u="1"/>
        <n v="9752136" u="1"/>
        <n v="9752602" u="1"/>
        <n v="9752835" u="1"/>
        <n v="9752144" u="1"/>
        <n v="9752843" u="1"/>
        <n v="9751935" u="1"/>
        <n v="9753325" u="1"/>
        <n v="9751943" u="1"/>
        <n v="9751951" u="1"/>
        <n v="9752176" u="1"/>
        <n v="9751967" u="1"/>
        <n v="9752658" u="1"/>
        <n v="9736763" u="1"/>
        <n v="9751975" u="1"/>
        <n v="9753365" u="1"/>
        <n v="9753389" u="1"/>
        <n v="9752240" u="1"/>
        <n v="9753405" u="1"/>
        <n v="9753421" u="1"/>
        <n v="9752762" u="1"/>
        <n v="9752320" u="1"/>
        <n v="9751886" u="1"/>
        <n v="9752585" u="1"/>
        <n v="9752593" u="1"/>
        <n v="9752143" u="1"/>
        <n v="9752368" u="1"/>
        <n v="9752601" u="1"/>
        <n v="9752834" u="1"/>
        <n v="9752151" u="1"/>
        <n v="9752842" u="1"/>
        <n v="9751934" u="1"/>
        <n v="9752858" u="1"/>
        <n v="9751942" u="1"/>
        <n v="9751950" u="1"/>
        <n v="9751958" u="1"/>
        <n v="9751966" u="1"/>
        <n v="9752657" u="1"/>
        <n v="9751974" u="1"/>
        <n v="9752448" u="1"/>
        <n v="9753404" u="1"/>
        <n v="9753412" u="1"/>
        <n v="9753420" u="1"/>
        <n v="9753010" u="1"/>
        <n v="9752359" u="1"/>
        <n v="9752584" u="1"/>
        <n v="9752367" u="1"/>
        <n v="9752592" u="1"/>
        <n v="9752142" u="1"/>
        <n v="9752600" u="1"/>
        <n v="9752833" u="1"/>
        <n v="9752841" u="1"/>
        <n v="9752656" u="1"/>
        <n v="9752664" u="1"/>
        <n v="9753411" u="1"/>
        <n v="9753419" u="1"/>
        <n v="9753009" u="1"/>
        <n v="9752334" u="1"/>
        <n v="9752583" u="1"/>
        <n v="9752591" u="1"/>
        <n v="9752599" u="1"/>
        <n v="9752840" u="1"/>
        <n v="9752422" u="1"/>
        <n v="9752655" u="1"/>
        <n v="9752663" u="1"/>
        <n v="9752896" u="1"/>
        <n v="9752462" u="1"/>
        <n v="9752767" u="1"/>
        <n v="9753008" u="1"/>
        <n v="9752807" u="1"/>
        <n v="9752582" u="1"/>
        <n v="9752598" u="1"/>
        <n v="9752839" u="1"/>
        <n v="9737900" u="1"/>
        <n v="9752654" u="1"/>
        <n v="9752662" u="1"/>
        <n v="9752766" u="1"/>
        <n v="9753007" u="1"/>
        <n v="9753248" u="1"/>
        <n v="9753272" u="1"/>
        <n v="9752838" u="1"/>
        <n v="9753392" u="1"/>
        <n v="9753424" u="1"/>
        <n v="9753006" u="1"/>
        <n v="9753423" u="1"/>
        <n v="9753310" u="1"/>
        <n v="9753406" u="1"/>
        <n v="9753414" u="1"/>
        <n v="9753422" u="1"/>
        <n v="9739390" u="1"/>
        <n v="9726964" u="1"/>
      </sharedItems>
    </cacheField>
    <cacheField name="PICK_SLIP_NO" numFmtId="0">
      <sharedItems containsString="0" containsBlank="1" containsNumber="1" containsInteger="1" minValue="1920709" maxValue="1950320"/>
    </cacheField>
    <cacheField name="ORDERED_DATE" numFmtId="0">
      <sharedItems containsNonDate="0" containsDate="1" containsString="0" containsBlank="1" minDate="2016-04-14T00:00:00" maxDate="2016-10-13T15:23:07"/>
    </cacheField>
    <cacheField name="CUSTOMER_REQ_DELIVERY_DATE" numFmtId="0">
      <sharedItems containsBlank="1"/>
    </cacheField>
    <cacheField name="RELEASE_DATE" numFmtId="0">
      <sharedItems containsNonDate="0" containsDate="1" containsString="0" containsBlank="1" minDate="2016-09-13T11:03:21" maxDate="2016-10-13T18:03:04"/>
    </cacheField>
    <cacheField name="REQUEST_DATE" numFmtId="0">
      <sharedItems containsNonDate="0" containsDate="1" containsString="0" containsBlank="1" minDate="2016-05-11T00:00:00" maxDate="2016-11-25T00:00:00"/>
    </cacheField>
    <cacheField name="SCHEDULE_DATE" numFmtId="0">
      <sharedItems containsNonDate="0" containsDate="1" containsString="0" containsBlank="1" minDate="2016-09-15T23:59:00" maxDate="2016-10-17T23:59:00"/>
    </cacheField>
    <cacheField name="SHIPPED_DATE" numFmtId="0">
      <sharedItems containsBlank="1"/>
    </cacheField>
    <cacheField name="PICKED_QUANTITY" numFmtId="0">
      <sharedItems containsString="0" containsBlank="1" containsNumber="1" containsInteger="1" minValue="1" maxValue="150"/>
    </cacheField>
    <cacheField name="SHIPPED_QTY" numFmtId="0">
      <sharedItems containsString="0" containsBlank="1" containsNumber="1" containsInteger="1" minValue="1" maxValue="131"/>
    </cacheField>
    <cacheField name="PICK_AMOUNT_USD" numFmtId="0">
      <sharedItems containsString="0" containsBlank="1" containsNumber="1" minValue="6" maxValue="66570"/>
    </cacheField>
    <cacheField name="SHIPPED_AMOUNT_USD" numFmtId="0">
      <sharedItems containsString="0" containsBlank="1" containsNumber="1" minValue="7" maxValue="18000"/>
    </cacheField>
    <cacheField name="APC" numFmtId="0">
      <sharedItems containsBlank="1"/>
    </cacheField>
    <cacheField name="TECHNOLOGY" numFmtId="0">
      <sharedItems containsBlank="1"/>
    </cacheField>
    <cacheField name="PRODUCT_FAMILY" numFmtId="0">
      <sharedItems containsBlank="1"/>
    </cacheField>
    <cacheField name="PRODUCT_LINE" numFmtId="0">
      <sharedItems containsBlank="1"/>
    </cacheField>
    <cacheField name="PRODUCT_CLASS" numFmtId="0">
      <sharedItems containsBlank="1"/>
    </cacheField>
    <cacheField name="ORDER_TYPE" numFmtId="0">
      <sharedItems containsBlank="1"/>
    </cacheField>
    <cacheField name="SHIP_METHOD_CODE" numFmtId="0">
      <sharedItems containsBlank="1"/>
    </cacheField>
    <cacheField name="STATUS_CODE" numFmtId="0">
      <sharedItems containsBlank="1"/>
    </cacheField>
    <cacheField name="BATCH_ID" numFmtId="0">
      <sharedItems containsString="0" containsBlank="1" containsNumber="1" containsInteger="1" minValue="1224483" maxValue="1242416"/>
    </cacheField>
    <cacheField name="FREIGHT_CARRIER_CODE" numFmtId="0">
      <sharedItems containsBlank="1"/>
    </cacheField>
    <cacheField name="NET_WEIGHT" numFmtId="0">
      <sharedItems containsNonDate="0" containsString="0" containsBlank="1"/>
    </cacheField>
    <cacheField name="GROSS_WEIGHT" numFmtId="0">
      <sharedItems containsNonDate="0" containsString="0" containsBlank="1"/>
    </cacheField>
    <cacheField name="VOLUME" numFmtId="0">
      <sharedItems containsNonDate="0" containsString="0" containsBlank="1"/>
    </cacheField>
    <cacheField name="ACTUAL_CARRIER_USED" numFmtId="0">
      <sharedItems containsBlank="1"/>
    </cacheField>
    <cacheField name="MODE_OF_TRANSPORT" numFmtId="0">
      <sharedItems containsBlank="1"/>
    </cacheField>
    <cacheField name="FOB_CODE" numFmtId="0">
      <sharedItems containsBlank="1"/>
    </cacheField>
    <cacheField name="FREIGHT_TERMS_CODE" numFmtId="0">
      <sharedItems containsBlank="1"/>
    </cacheField>
    <cacheField name="FREIGHT_CHARGES" numFmtId="0">
      <sharedItems containsNonDate="0" containsString="0" containsBlank="1"/>
    </cacheField>
    <cacheField name="ADDITIONAL_SHIPMENT_INFO" numFmtId="0">
      <sharedItems containsBlank="1"/>
    </cacheField>
    <cacheField name="SHIPPING_INSTRUCTIONS_HDR" numFmtId="0">
      <sharedItems containsBlank="1" longText="1"/>
    </cacheField>
    <cacheField name="PACKING_INSTRUCTIONS" numFmtId="0">
      <sharedItems containsBlank="1" longText="1"/>
    </cacheField>
    <cacheField name="NET_WEIGHT_HDR" numFmtId="0">
      <sharedItems containsNonDate="0" containsString="0" containsBlank="1"/>
    </cacheField>
    <cacheField name="GROSS_WEIGHT_HDR" numFmtId="0">
      <sharedItems containsNonDate="0" containsString="0" containsBlank="1"/>
    </cacheField>
    <cacheField name="VOLUME_HDR" numFmtId="0">
      <sharedItems containsNonDate="0" containsString="0" containsBlank="1"/>
    </cacheField>
    <cacheField name="CARTON_QTY" numFmtId="0">
      <sharedItems containsBlank="1"/>
    </cacheField>
    <cacheField name="CARTON_WEIGHT"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81">
  <r>
    <s v="SJ2"/>
    <s v="5000319"/>
    <s v="ROGERS CABLE"/>
    <s v="160885"/>
    <s v="R023P11L1"/>
    <s v="SJ2_STAG"/>
    <s v="Rogers Communications Canada Inc."/>
    <s v="7810 KEELE ST UNIT B"/>
    <s v="ON"/>
    <s v="CONCORD"/>
    <s v="L4K 0B7"/>
    <s v="BP3001"/>
    <s v="BLANK PLATE 1 WIDE REVERSIBLE"/>
    <s v="6901101"/>
    <s v="7.1"/>
    <n v="9752653"/>
    <n v="1947468"/>
    <d v="2016-08-04T00:00:00"/>
    <m/>
    <x v="0"/>
    <d v="2016-08-10T00:00:00"/>
    <d v="2016-10-11T23:59:00"/>
    <m/>
    <n v="145"/>
    <m/>
    <n v="1015"/>
    <m/>
    <s v="N224"/>
    <s v="NWK ACCESS TECH"/>
    <s v="ACCESS OTHER"/>
    <s v="OTHER AURORA"/>
    <s v="N224"/>
    <s v="AUR-STANDARD ORDER MIXED"/>
    <s v="A-SURFACE"/>
    <s v="OP"/>
    <n v="1240808"/>
    <s v="A-SURFACE"/>
    <m/>
    <m/>
    <m/>
    <s v="A-SURFACE"/>
    <s v="LTL"/>
    <s v="EXW"/>
    <s v="Prepay &amp; Add"/>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m/>
    <m/>
  </r>
  <r>
    <s v="SJ2"/>
    <s v="5000319"/>
    <s v="ROGERS CABLE"/>
    <s v="160885"/>
    <s v="R023P14L3"/>
    <s v="SJ2_STAG"/>
    <s v="Rogers Communications Canada Inc."/>
    <s v="7810 KEELE ST UNIT B"/>
    <s v="ON"/>
    <s v="CONCORD"/>
    <s v="L4K 0B7"/>
    <s v="BP3001"/>
    <s v="BLANK PLATE 1 WIDE REVERSIBLE"/>
    <s v="6901101"/>
    <s v="7.1"/>
    <n v="9752653"/>
    <n v="1947468"/>
    <d v="2016-08-04T00:00:00"/>
    <m/>
    <x v="0"/>
    <d v="2016-08-10T00:00:00"/>
    <d v="2016-10-11T23:59:00"/>
    <m/>
    <n v="5"/>
    <m/>
    <n v="35"/>
    <m/>
    <s v="N224"/>
    <s v="NWK ACCESS TECH"/>
    <s v="ACCESS OTHER"/>
    <s v="OTHER AURORA"/>
    <s v="N224"/>
    <s v="AUR-STANDARD ORDER MIXED"/>
    <s v="A-SURFACE"/>
    <s v="OP"/>
    <n v="1240808"/>
    <s v="A-SURFACE"/>
    <m/>
    <m/>
    <m/>
    <s v="A-SURFACE"/>
    <s v="LTL"/>
    <s v="EXW"/>
    <s v="Prepay &amp; Add"/>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m/>
    <m/>
  </r>
  <r>
    <s v="SJ2"/>
    <s v="5000445"/>
    <s v="COMCAST"/>
    <s v="WAUKEGAN - MOORE"/>
    <s v="R016P05L1B02"/>
    <s v="SJ2_STAG"/>
    <s v="COMCAST CABLE"/>
    <s v="1585 WAUKEGAN RD"/>
    <s v="IL"/>
    <s v="WAUKEGAN"/>
    <s v="60085"/>
    <s v="DT4250N-50-00"/>
    <s v="DGTL XCVR ENH MULTI-MODES OF O"/>
    <s v="20106387"/>
    <s v="12.1"/>
    <n v="9753493"/>
    <n v="1949560"/>
    <d v="2016-08-22T15:29:45"/>
    <m/>
    <x v="1"/>
    <d v="2016-10-24T00:00:00"/>
    <d v="2016-10-17T23:59:00"/>
    <m/>
    <n v="4"/>
    <m/>
    <n v="1140"/>
    <m/>
    <s v="N065"/>
    <s v="NWK ACCESS TECH"/>
    <s v="NODE"/>
    <s v="NODE MISC AURORA"/>
    <s v="N065"/>
    <s v="AS-STANDARD ORDER MIXED"/>
    <s v="A-SURFACE"/>
    <s v="OP"/>
    <n v="1241987"/>
    <s v="A-SURFACE"/>
    <m/>
    <m/>
    <m/>
    <s v="A-SURFACE"/>
    <s v="LTL"/>
    <s v="EXW"/>
    <s v="Collect"/>
    <m/>
    <m/>
    <s v="UNDER 200LBS UNPALLETIZED OR SINGLE BOX UNDER 150LBS USE FEDEX #128153870 OVER 200LBS USE OMNI LOGISTICS ACCT COMCASTLSS-COMCASTLSS@OMNILOGISTICS.COM 866-247-6664"/>
    <m/>
    <m/>
  </r>
  <r>
    <s v="SJ2"/>
    <s v="5000445"/>
    <s v="COMCAST"/>
    <s v="JACKSONVILLE (MISC)"/>
    <s v="R016P36L4B01"/>
    <s v="SJ2_STAG"/>
    <s v="COMCAST CABLE"/>
    <s v="5934 Richard St"/>
    <s v="FL"/>
    <s v="Jacksonville"/>
    <s v="32216-5951"/>
    <s v="CP8015U-02-10"/>
    <s v="CPE RFOG 1550/1610 42MHZ PWR I"/>
    <s v="20106720"/>
    <s v="30.1"/>
    <n v="9751932"/>
    <n v="1945906"/>
    <d v="2016-08-23T12:00:55"/>
    <m/>
    <x v="2"/>
    <d v="2016-08-23T00:00:00"/>
    <d v="2016-10-10T23:59:00"/>
    <m/>
    <n v="91"/>
    <n v="91"/>
    <n v="9919"/>
    <n v="9919"/>
    <s v="N226"/>
    <s v="NWK ACCESS TECH"/>
    <s v="HPON"/>
    <s v="CPE AURORA"/>
    <s v="CPE"/>
    <s v="AS-STANDARD ORDER MIXED"/>
    <s v="A-SURFACE"/>
    <s v="OP"/>
    <n v="1239007"/>
    <s v="A-SURFACE"/>
    <m/>
    <m/>
    <m/>
    <s v="A-SURFACE"/>
    <s v="LTL"/>
    <s v="EXW"/>
    <s v="Collect"/>
    <m/>
    <m/>
    <s v="UNDER 200LBS UNPALLETIZED OR SINGLE BOX UNDER 150LBS USE FEDEX #128153870 OVER 200LBS USE OMNI LOGISTICS ACCT COMCASTLSS-COMCASTLSS@OMNILOGISTICS.COM 866-247-6664"/>
    <m/>
    <m/>
  </r>
  <r>
    <s v="SJ2"/>
    <s v="5000445"/>
    <s v="COMCAST"/>
    <s v="JACKSONVILLE (MISC)"/>
    <s v="R015P64L3"/>
    <s v="SJ2_STAG"/>
    <s v="COMCAST CABLE"/>
    <s v="5934 Richard St"/>
    <s v="FL"/>
    <s v="Jacksonville"/>
    <s v="32216-5951"/>
    <s v="CP8015U-02-10"/>
    <s v="CPE RFOG 1550/1610 42MHZ PWR I"/>
    <s v="20106720"/>
    <s v="30.1"/>
    <n v="9751932"/>
    <n v="1945906"/>
    <d v="2016-08-23T12:00:55"/>
    <m/>
    <x v="2"/>
    <d v="2016-08-23T00:00:00"/>
    <d v="2016-10-10T23:59:00"/>
    <m/>
    <n v="131"/>
    <n v="131"/>
    <n v="14279"/>
    <n v="14279"/>
    <s v="N226"/>
    <s v="NWK ACCESS TECH"/>
    <s v="HPON"/>
    <s v="CPE AURORA"/>
    <s v="CPE"/>
    <s v="AS-STANDARD ORDER MIXED"/>
    <s v="A-SURFACE"/>
    <s v="OP"/>
    <n v="1239007"/>
    <s v="A-SURFACE"/>
    <m/>
    <m/>
    <m/>
    <s v="A-SURFACE"/>
    <s v="LTL"/>
    <s v="EXW"/>
    <s v="Collect"/>
    <m/>
    <m/>
    <s v="UNDER 200LBS UNPALLETIZED OR SINGLE BOX UNDER 150LBS USE FEDEX #128153870 OVER 200LBS USE OMNI LOGISTICS ACCT COMCASTLSS-COMCASTLSS@OMNILOGISTICS.COM 866-247-6664"/>
    <m/>
    <m/>
  </r>
  <r>
    <s v="SJ2"/>
    <s v="5000445"/>
    <s v="COMCAST"/>
    <s v="CAPITOL HEIGHTS - EBSON"/>
    <s v="R023P14L5"/>
    <s v="SJ2_STAG"/>
    <s v="COMCAST CORPORATION"/>
    <s v="8700 Ritchie Dr Ste A"/>
    <s v="MD"/>
    <s v="Capitol Heights"/>
    <s v="20743-4920"/>
    <s v="BP3400C-00"/>
    <s v="BACKPLATE 4.25 GB/S 1-FER/2-FE"/>
    <s v="20110666"/>
    <s v="6.1"/>
    <n v="9753005"/>
    <n v="1948449"/>
    <d v="2016-09-12T17:41:46"/>
    <m/>
    <x v="3"/>
    <d v="2016-09-16T00:00:00"/>
    <d v="2016-10-14T23:59:00"/>
    <m/>
    <n v="7"/>
    <m/>
    <n v="2744"/>
    <m/>
    <s v="N076"/>
    <s v="NWK ACCESS TECH"/>
    <s v="HEO"/>
    <s v="HEO MISC AURORA"/>
    <s v="N076"/>
    <s v="AS-STANDARD ORDER MIXED"/>
    <s v="A-SURFACE"/>
    <s v="OP"/>
    <n v="1241365"/>
    <s v="A-SURFACE"/>
    <m/>
    <m/>
    <m/>
    <s v="A-SURFACE"/>
    <s v="LTL"/>
    <s v="EXW"/>
    <s v="Collect"/>
    <m/>
    <m/>
    <s v="UNDER 200LBS UNPALLETIZED OR SINGLE BOX UNDER 150LBS USE FEDEX #128153870 OVER 200LBS USE OMNI LOGISTICS ACCT COMCASTLSS-COMCASTLSS@OMNILOGISTICS.COM 866-247-6664"/>
    <m/>
    <m/>
  </r>
  <r>
    <s v="SJ2"/>
    <s v="5000445"/>
    <s v="COMCAST"/>
    <s v="CAPITOL HEIGHTS - EBSON"/>
    <s v="R015P02L1"/>
    <s v="SJ2_STAG"/>
    <s v="COMCAST CORPORATION"/>
    <s v="8700 Ritchie Dr Ste A"/>
    <s v="MD"/>
    <s v="Capitol Heights"/>
    <s v="20743-4920"/>
    <s v="BP3400C-00"/>
    <s v="BACKPLATE 4.25 GB/S 1-FER/2-FE"/>
    <s v="20110666"/>
    <s v="6.1"/>
    <n v="9753005"/>
    <n v="1948449"/>
    <d v="2016-09-12T17:41:46"/>
    <m/>
    <x v="3"/>
    <d v="2016-09-16T00:00:00"/>
    <d v="2016-10-14T23:59:00"/>
    <m/>
    <n v="98"/>
    <m/>
    <n v="38416"/>
    <m/>
    <s v="N076"/>
    <s v="NWK ACCESS TECH"/>
    <s v="HEO"/>
    <s v="HEO MISC AURORA"/>
    <s v="N076"/>
    <s v="AS-STANDARD ORDER MIXED"/>
    <s v="A-SURFACE"/>
    <s v="OP"/>
    <n v="1241365"/>
    <s v="A-SURFACE"/>
    <m/>
    <m/>
    <m/>
    <s v="A-SURFACE"/>
    <s v="LTL"/>
    <s v="EXW"/>
    <s v="Collect"/>
    <m/>
    <m/>
    <s v="UNDER 200LBS UNPALLETIZED OR SINGLE BOX UNDER 150LBS USE FEDEX #128153870 OVER 200LBS USE OMNI LOGISTICS ACCT COMCASTLSS-COMCASTLSS@OMNILOGISTICS.COM 866-247-6664"/>
    <m/>
    <m/>
  </r>
  <r>
    <s v="SJ2"/>
    <s v="5000445"/>
    <s v="COMCAST"/>
    <s v="MAHTOMEDI (SCHRANKLER)"/>
    <s v="R023P08L2"/>
    <s v="SJ2_STAG"/>
    <s v="COMCAST CABLE"/>
    <s v="3050 Echo Lake Ave"/>
    <s v="MN"/>
    <s v="Mahtomedi"/>
    <s v="55115-1910"/>
    <s v="OP95F1S-42-R2-AS"/>
    <s v="FILTER DWDM S-CASE 2MM SC/APC"/>
    <s v="20111522"/>
    <s v="11.1"/>
    <n v="9751937"/>
    <n v="1945905"/>
    <d v="2016-09-16T12:51:13"/>
    <m/>
    <x v="2"/>
    <d v="2016-09-19T00:00:00"/>
    <d v="2016-10-10T23:59:00"/>
    <m/>
    <n v="1"/>
    <m/>
    <n v="151"/>
    <m/>
    <s v="N156"/>
    <s v="NWK ACCESS TECH"/>
    <s v="ACCESS OTHER"/>
    <s v="OTHER AURORA"/>
    <s v="N156"/>
    <s v="AS-STANDARD ORDER MIXED"/>
    <s v="A-SURFACE"/>
    <s v="OP"/>
    <n v="1239007"/>
    <s v="A-SURFACE"/>
    <m/>
    <m/>
    <m/>
    <s v="A-SURFACE"/>
    <s v="LTL"/>
    <s v="EXW"/>
    <s v="Collect"/>
    <m/>
    <m/>
    <s v="UNDER 200LBS UNPALLETIZED OR SINGLE BOX UNDER 150LBS USE FEDEX #128153870 OVER 200LBS USE OMNI LOGISTICS ACCT COMCASTLSS-COMCASTLSS@OMNILOGISTICS.COM 866-247-6664"/>
    <m/>
    <m/>
  </r>
  <r>
    <s v="SJ2"/>
    <s v="5000445"/>
    <s v="COMCAST"/>
    <s v="MIRAMAR - MCCARTY"/>
    <s v="R015P37L1"/>
    <s v="SJ2_STAG"/>
    <s v="COMCAST CABLE"/>
    <s v="2601 SW 145th Ave"/>
    <s v="FL"/>
    <s v="Miramar"/>
    <s v="33027-4139"/>
    <s v="NTM3248-AS-3L"/>
    <s v="OTX NCDFB NTM3248 NODE 3 DBM O"/>
    <s v="20112894"/>
    <s v="4.1"/>
    <n v="9752590"/>
    <n v="1947329"/>
    <d v="2016-09-23T09:40:40"/>
    <m/>
    <x v="4"/>
    <d v="2016-10-20T00:00:00"/>
    <d v="2016-10-13T23:59:00"/>
    <m/>
    <n v="4"/>
    <m/>
    <n v="2108"/>
    <m/>
    <s v="N154"/>
    <s v="NWK ACCESS TECH"/>
    <s v="NODE"/>
    <s v="HL NODE MISC AURORA"/>
    <s v="N154"/>
    <s v="AS-STANDARD ORDER MIXED"/>
    <s v="A-SURFACE"/>
    <s v="OP"/>
    <n v="1240761"/>
    <s v="A-SURFACE"/>
    <m/>
    <m/>
    <m/>
    <s v="A-SURFACE"/>
    <s v="LTL"/>
    <s v="EXW"/>
    <s v="Collect"/>
    <m/>
    <m/>
    <s v="UNDER 200LBS UNPALLETIZED OR SINGLE BOX UNDER 150LBS USE FEDEX #128153870 OVER 200LBS USE OMNI LOGISTICS ACCT COMCASTLSS-COMCASTLSS@OMNILOGISTICS.COM 866-247-6664"/>
    <m/>
    <m/>
  </r>
  <r>
    <s v="SJ2"/>
    <s v="5000445"/>
    <s v="COMCAST"/>
    <s v="SALEM - MURPHY"/>
    <s v="R015P61L1"/>
    <s v="SJ2_STAG"/>
    <s v="COMCAST CABLE"/>
    <s v="9 Northeastern Blvd"/>
    <s v="NH"/>
    <s v="Salem"/>
    <s v="03079-1996"/>
    <s v="NC412A1SGA1-U0000000"/>
    <s v="NODE 5-42MHZ RVS 51-1GHZ FWD 1"/>
    <s v="20114536"/>
    <s v="1.1"/>
    <n v="9749808"/>
    <n v="1940935"/>
    <d v="2016-10-03T11:06:41"/>
    <m/>
    <x v="5"/>
    <d v="2016-10-03T00:00:00"/>
    <d v="2016-10-03T23:59:00"/>
    <m/>
    <n v="13"/>
    <m/>
    <n v="21645"/>
    <m/>
    <s v="N047"/>
    <s v="NWK ACCESS TECH"/>
    <s v="NODE"/>
    <s v="NC4000 AURORA"/>
    <s v="N047"/>
    <s v="AS-STANDARD ORDER MIXED"/>
    <s v="A-SURFACE"/>
    <s v="OP"/>
    <n v="1236165"/>
    <s v="A-SURFACE"/>
    <m/>
    <m/>
    <m/>
    <s v="A-SURFACE"/>
    <s v="LTL"/>
    <s v="EXW"/>
    <s v="Collect"/>
    <m/>
    <m/>
    <s v="UNDER 200LBS UNPALLETIZED OR SINGLE BOX UNDER 150LBS USE FEDEX #128153870 OVER 200LBS USE OMNI LOGISTICS ACCT COMCASTLSS-COMCASTLSS@OMNILOGISTICS.COM 866-247-6664"/>
    <m/>
    <m/>
  </r>
  <r>
    <s v="SJ2"/>
    <s v="5000445"/>
    <s v="COMCAST"/>
    <s v="SALEM - MURPHY"/>
    <s v="R016P11L2B02"/>
    <s v="SJ2_STAG"/>
    <s v="COMCAST CABLE"/>
    <s v="9 Northeastern Blvd"/>
    <s v="NH"/>
    <s v="Salem"/>
    <s v="03079-1996"/>
    <s v="NC412A1SGA1-U0000000"/>
    <s v="NODE 5-42MHZ RVS 51-1GHZ FWD 1"/>
    <s v="20114536"/>
    <s v="1.1"/>
    <n v="9749808"/>
    <n v="1940935"/>
    <d v="2016-10-03T11:06:41"/>
    <m/>
    <x v="5"/>
    <d v="2016-10-03T00:00:00"/>
    <d v="2016-10-03T23:59:00"/>
    <m/>
    <n v="2"/>
    <m/>
    <n v="3330"/>
    <m/>
    <s v="N047"/>
    <s v="NWK ACCESS TECH"/>
    <s v="NODE"/>
    <s v="NC4000 AURORA"/>
    <s v="N047"/>
    <s v="AS-STANDARD ORDER MIXED"/>
    <s v="A-SURFACE"/>
    <s v="OP"/>
    <n v="1236165"/>
    <s v="A-SURFACE"/>
    <m/>
    <m/>
    <m/>
    <s v="A-SURFACE"/>
    <s v="LTL"/>
    <s v="EXW"/>
    <s v="Collect"/>
    <m/>
    <m/>
    <s v="UNDER 200LBS UNPALLETIZED OR SINGLE BOX UNDER 150LBS USE FEDEX #128153870 OVER 200LBS USE OMNI LOGISTICS ACCT COMCASTLSS-COMCASTLSS@OMNILOGISTICS.COM 866-247-6664"/>
    <m/>
    <m/>
  </r>
  <r>
    <s v="SJ2"/>
    <s v="5000445"/>
    <s v="COMCAST"/>
    <s v="WINCHESTER - SELF"/>
    <s v="R016P34L2B01"/>
    <s v="SJ2_STAG"/>
    <s v="COMCAST"/>
    <s v="195 Rainville Rd"/>
    <s v="VA"/>
    <s v="Winchester"/>
    <s v="22602-4802"/>
    <s v="AR4214G-AS"/>
    <s v="OPT RCVR 51-1000MHZ FWD HG ALC"/>
    <s v="20115327"/>
    <s v="1.1"/>
    <n v="9750889"/>
    <n v="1943696"/>
    <d v="2016-10-05T15:27:18"/>
    <m/>
    <x v="6"/>
    <d v="2016-10-14T00:00:00"/>
    <d v="2016-10-07T23:59:00"/>
    <m/>
    <n v="2"/>
    <m/>
    <n v="752"/>
    <m/>
    <s v="N027"/>
    <s v="NWK ACCESS TECH"/>
    <s v="NODE"/>
    <s v="NODE MISC AURORA"/>
    <s v="N027"/>
    <s v="AS-STANDARD ORDER MIXED"/>
    <s v="A-SURFACE"/>
    <s v="OP"/>
    <n v="1237510"/>
    <s v="A-SURFACE"/>
    <m/>
    <m/>
    <m/>
    <s v="A-SURFACE"/>
    <s v="LTL"/>
    <s v="EXW"/>
    <s v="Collect"/>
    <m/>
    <m/>
    <s v="UNDER 200LBS UNPALLETIZED OR SINGLE BOX UNDER 150LBS USE FEDEX #128153870 OVER 200LBS USE OMNI LOGISTICS ACCT COMCASTLSS-COMCASTLSS@OMNILOGISTICS.COM 866-247-6664"/>
    <m/>
    <m/>
  </r>
  <r>
    <s v="SJ2"/>
    <s v="5000445"/>
    <s v="COMCAST"/>
    <s v="WINCHESTER - SELF"/>
    <s v="R016P11L2B02"/>
    <s v="SJ2_STAG"/>
    <s v="COMCAST"/>
    <s v="195 Rainville Rd"/>
    <s v="VA"/>
    <s v="Winchester"/>
    <s v="22602-4802"/>
    <s v="NC412A1SGA1-U0000000"/>
    <s v="NODE 5-42MHZ RVS 51-1GHZ FWD 1"/>
    <s v="20115327"/>
    <s v="2.1"/>
    <n v="9750889"/>
    <n v="1943695"/>
    <d v="2016-10-05T15:27:18"/>
    <m/>
    <x v="6"/>
    <d v="2016-10-14T00:00:00"/>
    <d v="2016-10-07T23:59:00"/>
    <m/>
    <n v="1"/>
    <m/>
    <n v="1665"/>
    <m/>
    <s v="N047"/>
    <s v="NWK ACCESS TECH"/>
    <s v="NODE"/>
    <s v="NC4000 AURORA"/>
    <s v="N047"/>
    <s v="AS-STANDARD ORDER MIXED"/>
    <s v="A-SURFACE"/>
    <s v="OP"/>
    <n v="1237510"/>
    <s v="A-SURFACE"/>
    <m/>
    <m/>
    <m/>
    <s v="A-SURFACE"/>
    <s v="LTL"/>
    <s v="EXW"/>
    <s v="Collect"/>
    <m/>
    <m/>
    <s v="UNDER 200LBS UNPALLETIZED OR SINGLE BOX UNDER 150LBS USE FEDEX #128153870 OVER 200LBS USE OMNI LOGISTICS ACCT COMCASTLSS-COMCASTLSS@OMNILOGISTICS.COM 866-247-6664"/>
    <m/>
    <m/>
  </r>
  <r>
    <s v="SJ2"/>
    <s v="5000445"/>
    <s v="COMCAST"/>
    <s v="GRAND RAPIDS (BERRY)"/>
    <s v="R016P85L3"/>
    <s v="SJ2_STAG"/>
    <s v="COMCAST CABLE COMMUNICATIONS"/>
    <s v="3500 Patterson Ave SE"/>
    <s v="MI"/>
    <s v="Grand Rapids"/>
    <s v="49512-5699"/>
    <s v="CA3008"/>
    <s v="CARRIER MODULE HIGH DENSITY"/>
    <s v="20115563"/>
    <s v="10.1"/>
    <n v="9752135"/>
    <n v="1946594"/>
    <d v="2016-10-06T15:59:25"/>
    <m/>
    <x v="7"/>
    <d v="2016-10-19T00:00:00"/>
    <d v="2016-10-12T23:59:00"/>
    <m/>
    <n v="1"/>
    <m/>
    <n v="216"/>
    <m/>
    <s v="N259"/>
    <s v="NWK ACCESS TECH"/>
    <s v="HEO"/>
    <s v="TRANSMITTERS AURORA"/>
    <s v="HDTX"/>
    <s v="AS-STANDARD ORDER MIXED"/>
    <s v="A-SURFACE"/>
    <s v="OP"/>
    <n v="1240131"/>
    <s v="A-SURFACE"/>
    <m/>
    <m/>
    <m/>
    <s v="A-SURFACE"/>
    <s v="LTL"/>
    <s v="EXW"/>
    <s v="Collect"/>
    <m/>
    <m/>
    <s v="UNDER 200LBS UNPALLETIZED OR SINGLE BOX UNDER 150LBS USE FEDEX #128153870 OVER 200LBS USE OMNI LOGISTICS ACCT COMCASTLSS-COMCASTLSS@OMNILOGISTICS.COM 866-247-6664"/>
    <m/>
    <m/>
  </r>
  <r>
    <s v="SJ2"/>
    <s v="5000445"/>
    <s v="COMCAST"/>
    <s v="GRAND RAPIDS (BERRY)"/>
    <s v="R015P44L2"/>
    <s v="SJ2_STAG"/>
    <s v="COMCAST CABLE COMMUNICATIONS"/>
    <s v="3500 Patterson Ave SE"/>
    <s v="MI"/>
    <s v="Grand Rapids"/>
    <s v="49512-5699"/>
    <s v="DR3450N-50-00"/>
    <s v="DIGITAL RECEIVER Q-RX 2.125GBP"/>
    <s v="20115563"/>
    <s v="13.1"/>
    <n v="9752135"/>
    <n v="1946594"/>
    <d v="2016-10-06T15:59:25"/>
    <m/>
    <x v="7"/>
    <d v="2016-10-19T00:00:00"/>
    <d v="2016-10-12T23:59:00"/>
    <m/>
    <n v="2"/>
    <m/>
    <n v="2400"/>
    <m/>
    <s v="N275"/>
    <s v="NWK ACCESS TECH"/>
    <s v="HEO"/>
    <s v="RECEIVERS AURORA"/>
    <s v="N275"/>
    <s v="AS-STANDARD ORDER MIXED"/>
    <s v="A-SURFACE"/>
    <s v="OP"/>
    <n v="1240131"/>
    <s v="A-SURFACE"/>
    <m/>
    <m/>
    <m/>
    <s v="A-SURFACE"/>
    <s v="LTL"/>
    <s v="EXW"/>
    <s v="Collect"/>
    <m/>
    <m/>
    <s v="UNDER 200LBS UNPALLETIZED OR SINGLE BOX UNDER 150LBS USE FEDEX #128153870 OVER 200LBS USE OMNI LOGISTICS ACCT COMCASTLSS-COMCASTLSS@OMNILOGISTICS.COM 866-247-6664"/>
    <m/>
    <m/>
  </r>
  <r>
    <s v="SJ2"/>
    <s v="5000445"/>
    <s v="COMCAST"/>
    <s v="GRAND RAPIDS (BERRY)"/>
    <s v="R015P68L1"/>
    <s v="SJ2_STAG"/>
    <s v="COMCAST CABLE COMMUNICATIONS"/>
    <s v="3500 Patterson Ave SE"/>
    <s v="MI"/>
    <s v="Grand Rapids"/>
    <s v="49512-5699"/>
    <s v="CH3000U-FM-00"/>
    <s v="ADAPTER FIBER MGT FOR CH3000 C"/>
    <s v="20115563"/>
    <s v="2.1"/>
    <n v="9752135"/>
    <n v="1946594"/>
    <d v="2016-10-06T15:59:25"/>
    <m/>
    <x v="7"/>
    <d v="2016-10-19T00:00:00"/>
    <d v="2016-10-12T23:59:00"/>
    <m/>
    <n v="2"/>
    <m/>
    <n v="110"/>
    <m/>
    <s v="N199"/>
    <s v="NWK ACCESS TECH"/>
    <s v="HEO"/>
    <s v="HEO MISC AURORA"/>
    <s v="N199"/>
    <s v="AS-STANDARD ORDER MIXED"/>
    <s v="A-SURFACE"/>
    <s v="OP"/>
    <n v="1240131"/>
    <s v="A-SURFACE"/>
    <m/>
    <m/>
    <m/>
    <s v="A-SURFACE"/>
    <s v="LTL"/>
    <s v="EXW"/>
    <s v="Collect"/>
    <m/>
    <m/>
    <s v="UNDER 200LBS UNPALLETIZED OR SINGLE BOX UNDER 150LBS USE FEDEX #128153870 OVER 200LBS USE OMNI LOGISTICS ACCT COMCASTLSS-COMCASTLSS@OMNILOGISTICS.COM 866-247-6664"/>
    <m/>
    <m/>
  </r>
  <r>
    <s v="SJ2"/>
    <s v="5000445"/>
    <s v="COMCAST"/>
    <s v="GRAND RAPIDS (BERRY)"/>
    <s v="R023P04L1"/>
    <s v="SJ2_STAG"/>
    <s v="COMCAST CABLE COMMUNICATIONS"/>
    <s v="3500 Patterson Ave SE"/>
    <s v="MI"/>
    <s v="Grand Rapids"/>
    <s v="49512-5699"/>
    <s v="TL3000-EJ-00"/>
    <s v="TOOL EXTRACTOR HANDLE CH3000"/>
    <s v="20115563"/>
    <s v="3.1"/>
    <n v="9752135"/>
    <n v="1946617"/>
    <d v="2016-10-06T15:59:25"/>
    <m/>
    <x v="7"/>
    <d v="2016-10-19T00:00:00"/>
    <d v="2016-10-12T23:59:00"/>
    <m/>
    <n v="1"/>
    <m/>
    <n v="6"/>
    <m/>
    <s v="N185"/>
    <s v="NWK ACCESS TECH"/>
    <s v="ACCESS OTHER"/>
    <s v="OTHER AURORA"/>
    <s v="N185"/>
    <s v="AS-STANDARD ORDER MIXED"/>
    <s v="A-SURFACE"/>
    <s v="OP"/>
    <n v="1240131"/>
    <s v="A-SURFACE"/>
    <m/>
    <m/>
    <m/>
    <s v="A-SURFACE"/>
    <s v="LTL"/>
    <s v="EXW"/>
    <s v="Collect"/>
    <m/>
    <m/>
    <s v="UNDER 200LBS UNPALLETIZED OR SINGLE BOX UNDER 150LBS USE FEDEX #128153870 OVER 200LBS USE OMNI LOGISTICS ACCT COMCASTLSS-COMCASTLSS@OMNILOGISTICS.COM 866-247-6664"/>
    <m/>
    <m/>
  </r>
  <r>
    <s v="SJ2"/>
    <s v="5000445"/>
    <s v="COMCAST"/>
    <s v="GRAND RAPIDS (BERRY)"/>
    <s v="R015P68L3"/>
    <s v="SJ2_STAG"/>
    <s v="COMCAST CABLE COMMUNICATIONS"/>
    <s v="3500 Patterson Ave SE"/>
    <s v="MI"/>
    <s v="Grand Rapids"/>
    <s v="49512-5699"/>
    <s v="PS3148D"/>
    <s v="POWER SUPPLY W/DISPLAY -48VDC"/>
    <s v="20115563"/>
    <s v="4.1"/>
    <n v="9752135"/>
    <n v="1946594"/>
    <d v="2016-10-06T15:59:25"/>
    <m/>
    <x v="7"/>
    <d v="2016-10-19T00:00:00"/>
    <d v="2016-10-12T23:59:00"/>
    <m/>
    <n v="2"/>
    <m/>
    <n v="1228"/>
    <m/>
    <s v="N204"/>
    <s v="NWK ACCESS TECH"/>
    <s v="ACCESS OTHER"/>
    <s v="OTHER AURORA"/>
    <s v="N204"/>
    <s v="AS-STANDARD ORDER MIXED"/>
    <s v="A-SURFACE"/>
    <s v="OP"/>
    <n v="1240131"/>
    <s v="A-SURFACE"/>
    <m/>
    <m/>
    <m/>
    <s v="A-SURFACE"/>
    <s v="LTL"/>
    <s v="EXW"/>
    <s v="Collect"/>
    <m/>
    <m/>
    <s v="UNDER 200LBS UNPALLETIZED OR SINGLE BOX UNDER 150LBS USE FEDEX #128153870 OVER 200LBS USE OMNI LOGISTICS ACCT COMCASTLSS-COMCASTLSS@OMNILOGISTICS.COM 866-247-6664"/>
    <m/>
    <m/>
  </r>
  <r>
    <s v="SJ2"/>
    <s v="5000445"/>
    <s v="COMCAST"/>
    <s v="GRAND RAPIDS (BERRY)"/>
    <s v="R016P12L3B01"/>
    <s v="SJ2_STAG"/>
    <s v="COMCAST CABLE COMMUNICATIONS"/>
    <s v="3500 Patterson Ave SE"/>
    <s v="MI"/>
    <s v="Grand Rapids"/>
    <s v="49512-5699"/>
    <s v="PS3148N"/>
    <s v="POWER SUPPLY NO DISPLAY -48VDC"/>
    <s v="20115563"/>
    <s v="5.1"/>
    <n v="9752135"/>
    <n v="1946617"/>
    <d v="2016-10-06T15:59:25"/>
    <m/>
    <x v="7"/>
    <d v="2016-10-19T00:00:00"/>
    <d v="2016-10-12T23:59:00"/>
    <m/>
    <n v="2"/>
    <m/>
    <n v="1056"/>
    <m/>
    <s v="N204"/>
    <s v="NWK ACCESS TECH"/>
    <s v="ACCESS OTHER"/>
    <s v="OTHER AURORA"/>
    <s v="N204"/>
    <s v="AS-STANDARD ORDER MIXED"/>
    <s v="A-SURFACE"/>
    <s v="OP"/>
    <n v="1240131"/>
    <s v="A-SURFACE"/>
    <m/>
    <m/>
    <m/>
    <s v="A-SURFACE"/>
    <s v="LTL"/>
    <s v="EXW"/>
    <s v="Collect"/>
    <m/>
    <m/>
    <s v="UNDER 200LBS UNPALLETIZED OR SINGLE BOX UNDER 150LBS USE FEDEX #128153870 OVER 200LBS USE OMNI LOGISTICS ACCT COMCASTLSS-COMCASTLSS@OMNILOGISTICS.COM 866-247-6664"/>
    <m/>
    <m/>
  </r>
  <r>
    <s v="SJ2"/>
    <s v="5000445"/>
    <s v="COMCAST"/>
    <s v="GRAND RAPIDS (BERRY)"/>
    <s v="REC1"/>
    <s v="SJ2_STAG"/>
    <s v="COMCAST CABLE COMMUNICATIONS"/>
    <s v="3500 Patterson Ave SE"/>
    <s v="MI"/>
    <s v="Grand Rapids"/>
    <s v="49512-5699"/>
    <s v="HT3541H-D-A200-2-AS"/>
    <s v="XMTR DD 1.2GHZ FULL SPECTRUM 3"/>
    <s v="20115563"/>
    <s v="8.1"/>
    <n v="9752135"/>
    <n v="1946594"/>
    <d v="2016-10-06T15:59:25"/>
    <m/>
    <x v="7"/>
    <d v="2016-10-19T00:00:00"/>
    <d v="2016-10-12T23:59:00"/>
    <m/>
    <n v="2"/>
    <m/>
    <n v="2794"/>
    <m/>
    <s v="HE64"/>
    <s v="NWK ACCESS TECH"/>
    <s v="HEO"/>
    <s v="TRANSMITTER"/>
    <s v="HT"/>
    <s v="AS-STANDARD ORDER MIXED"/>
    <s v="A-SURFACE"/>
    <s v="OP"/>
    <n v="1240131"/>
    <s v="A-SURFACE"/>
    <m/>
    <m/>
    <m/>
    <s v="A-SURFACE"/>
    <s v="LTL"/>
    <s v="EXW"/>
    <s v="Collect"/>
    <m/>
    <m/>
    <s v="UNDER 200LBS UNPALLETIZED OR SINGLE BOX UNDER 150LBS USE FEDEX #128153870 OVER 200LBS USE OMNI LOGISTICS ACCT COMCASTLSS-COMCASTLSS@OMNILOGISTICS.COM 866-247-6664"/>
    <m/>
    <m/>
  </r>
  <r>
    <s v="SJ2"/>
    <s v="5000445"/>
    <s v="COMCAST"/>
    <s v="GRAND RAPIDS (BERRY)"/>
    <s v="R023P07L2"/>
    <s v="SJ2_STAG"/>
    <s v="COMCAST CABLE COMMUNICATIONS"/>
    <s v="3500 Patterson Ave SE"/>
    <s v="MI"/>
    <s v="Grand Rapids"/>
    <s v="49512-5699"/>
    <s v="BD31A4-100-H12F-0-AS"/>
    <s v="OPT PASSTHRU BD 4 XMTR 4 BC 4"/>
    <s v="20115563"/>
    <s v="9.1"/>
    <n v="9752135"/>
    <n v="1946617"/>
    <d v="2016-10-06T15:59:25"/>
    <m/>
    <x v="7"/>
    <d v="2016-10-19T00:00:00"/>
    <d v="2016-10-12T23:59:00"/>
    <m/>
    <n v="1"/>
    <m/>
    <n v="588"/>
    <m/>
    <s v="N258"/>
    <s v="NWK ACCESS TECH"/>
    <s v="HEO"/>
    <s v="TRANSMITTERS AURORA"/>
    <s v="HDTX"/>
    <s v="AS-STANDARD ORDER MIXED"/>
    <s v="A-SURFACE"/>
    <s v="OP"/>
    <n v="1240131"/>
    <s v="A-SURFACE"/>
    <m/>
    <m/>
    <m/>
    <s v="A-SURFACE"/>
    <s v="LTL"/>
    <s v="EXW"/>
    <s v="Collect"/>
    <m/>
    <m/>
    <s v="UNDER 200LBS UNPALLETIZED OR SINGLE BOX UNDER 150LBS USE FEDEX #128153870 OVER 200LBS USE OMNI LOGISTICS ACCT COMCASTLSS-COMCASTLSS@OMNILOGISTICS.COM 866-247-6664"/>
    <m/>
    <m/>
  </r>
  <r>
    <s v="SJ2"/>
    <s v="5000445"/>
    <s v="COMCAST"/>
    <s v="WIXOM (BERRY)"/>
    <s v="R024P03L1B01"/>
    <s v="SJ2_STAG"/>
    <s v="COMCAST CABLE COMMUNICATIONS"/>
    <s v="49800 Martin Dr"/>
    <s v="MI"/>
    <s v="Wixom"/>
    <s v="48393-2404"/>
    <s v="BD31A4-100-H12F-0-AS"/>
    <s v="OPT PASSTHRU BD 4 XMTR 4 BC 4"/>
    <s v="20116327"/>
    <s v="10.1"/>
    <n v="9753492"/>
    <n v="1949557"/>
    <d v="2016-10-11T15:10:15"/>
    <m/>
    <x v="1"/>
    <d v="2016-10-24T00:00:00"/>
    <d v="2016-10-17T23:59:00"/>
    <m/>
    <n v="4"/>
    <m/>
    <n v="2352"/>
    <m/>
    <s v="N258"/>
    <s v="NWK ACCESS TECH"/>
    <s v="HEO"/>
    <s v="TRANSMITTERS AURORA"/>
    <s v="HDTX"/>
    <s v="AS-STANDARD ORDER MIXED"/>
    <s v="A-SURFACE"/>
    <s v="OP"/>
    <n v="1241987"/>
    <s v="A-SURFACE"/>
    <m/>
    <m/>
    <m/>
    <s v="A-SURFACE"/>
    <s v="LTL"/>
    <s v="EXW"/>
    <s v="Collect"/>
    <m/>
    <m/>
    <s v="UNDER 200LBS UNPALLETIZED OR SINGLE BOX UNDER 150LBS USE FEDEX #128153870 OVER 200LBS USE OMNI LOGISTICS ACCT COMCASTLSS-COMCASTLSS@OMNILOGISTICS.COM 866-247-6664"/>
    <m/>
    <m/>
  </r>
  <r>
    <s v="SJ2"/>
    <s v="5000445"/>
    <s v="COMCAST"/>
    <s v="WIXOM (BERRY)"/>
    <s v="R016P02L3B01"/>
    <s v="SJ2_STAG"/>
    <s v="COMCAST CABLE COMMUNICATIONS"/>
    <s v="49800 Martin Dr"/>
    <s v="MI"/>
    <s v="Wixom"/>
    <s v="48393-2404"/>
    <s v="DR3450N-50-00"/>
    <s v="DIGITAL RECEIVER Q-RX 2.125GBP"/>
    <s v="20116327"/>
    <s v="14.1"/>
    <n v="9753492"/>
    <n v="1949561"/>
    <d v="2016-10-11T15:10:15"/>
    <m/>
    <x v="1"/>
    <d v="2016-10-24T00:00:00"/>
    <d v="2016-10-17T23:59:00"/>
    <m/>
    <n v="4"/>
    <m/>
    <n v="4800"/>
    <m/>
    <s v="N275"/>
    <s v="NWK ACCESS TECH"/>
    <s v="HEO"/>
    <s v="RECEIVERS AURORA"/>
    <s v="N275"/>
    <s v="AS-STANDARD ORDER MIXED"/>
    <s v="A-SURFACE"/>
    <s v="OP"/>
    <n v="1241987"/>
    <s v="A-SURFACE"/>
    <m/>
    <m/>
    <m/>
    <s v="A-SURFACE"/>
    <s v="LTL"/>
    <s v="EXW"/>
    <s v="Collect"/>
    <m/>
    <m/>
    <s v="UNDER 200LBS UNPALLETIZED OR SINGLE BOX UNDER 150LBS USE FEDEX #128153870 OVER 200LBS USE OMNI LOGISTICS ACCT COMCASTLSS-COMCASTLSS@OMNILOGISTICS.COM 866-247-6664"/>
    <m/>
    <m/>
  </r>
  <r>
    <s v="SJ2"/>
    <s v="5000445"/>
    <s v="COMCAST"/>
    <s v="WIXOM (BERRY)"/>
    <s v="R015P19L2"/>
    <s v="SJ2_STAG"/>
    <s v="COMCAST CABLE COMMUNICATIONS"/>
    <s v="49800 Martin Dr"/>
    <s v="MI"/>
    <s v="Wixom"/>
    <s v="48393-2404"/>
    <s v="CH3000N"/>
    <s v="CHASSIS NO COVERS 3RU"/>
    <s v="20116327"/>
    <s v="2.1"/>
    <n v="9753492"/>
    <n v="1949561"/>
    <d v="2016-10-11T15:10:15"/>
    <m/>
    <x v="1"/>
    <d v="2016-10-24T00:00:00"/>
    <d v="2016-10-17T23:59:00"/>
    <m/>
    <n v="5"/>
    <m/>
    <n v="1100"/>
    <m/>
    <s v="N199"/>
    <s v="NWK ACCESS TECH"/>
    <s v="HEO"/>
    <s v="HEO MISC AURORA"/>
    <s v="N199"/>
    <s v="AS-STANDARD ORDER MIXED"/>
    <s v="A-SURFACE"/>
    <s v="OP"/>
    <n v="1241987"/>
    <s v="A-SURFACE"/>
    <m/>
    <m/>
    <m/>
    <s v="A-SURFACE"/>
    <s v="LTL"/>
    <s v="EXW"/>
    <s v="Collect"/>
    <m/>
    <m/>
    <s v="UNDER 200LBS UNPALLETIZED OR SINGLE BOX UNDER 150LBS USE FEDEX #128153870 OVER 200LBS USE OMNI LOGISTICS ACCT COMCASTLSS-COMCASTLSS@OMNILOGISTICS.COM 866-247-6664"/>
    <m/>
    <m/>
  </r>
  <r>
    <s v="SJ2"/>
    <s v="5000445"/>
    <s v="COMCAST"/>
    <s v="WIXOM (BERRY)"/>
    <s v="R015P68L1"/>
    <s v="SJ2_STAG"/>
    <s v="COMCAST CABLE COMMUNICATIONS"/>
    <s v="49800 Martin Dr"/>
    <s v="MI"/>
    <s v="Wixom"/>
    <s v="48393-2404"/>
    <s v="CH3000U-FM-00"/>
    <s v="ADAPTER FIBER MGT FOR CH3000 C"/>
    <s v="20116327"/>
    <s v="3.1"/>
    <n v="9753492"/>
    <n v="1949557"/>
    <d v="2016-10-11T15:10:15"/>
    <m/>
    <x v="1"/>
    <d v="2016-10-24T00:00:00"/>
    <d v="2016-10-17T23:59:00"/>
    <m/>
    <n v="5"/>
    <m/>
    <n v="275"/>
    <m/>
    <s v="N199"/>
    <s v="NWK ACCESS TECH"/>
    <s v="HEO"/>
    <s v="HEO MISC AURORA"/>
    <s v="N199"/>
    <s v="AS-STANDARD ORDER MIXED"/>
    <s v="A-SURFACE"/>
    <s v="OP"/>
    <n v="1241987"/>
    <s v="A-SURFACE"/>
    <m/>
    <m/>
    <m/>
    <s v="A-SURFACE"/>
    <s v="LTL"/>
    <s v="EXW"/>
    <s v="Collect"/>
    <m/>
    <m/>
    <s v="UNDER 200LBS UNPALLETIZED OR SINGLE BOX UNDER 150LBS USE FEDEX #128153870 OVER 200LBS USE OMNI LOGISTICS ACCT COMCASTLSS-COMCASTLSS@OMNILOGISTICS.COM 866-247-6664"/>
    <m/>
    <m/>
  </r>
  <r>
    <s v="SJ2"/>
    <s v="5000445"/>
    <s v="COMCAST"/>
    <s v="WIXOM (BERRY)"/>
    <s v="R016P23L1B01"/>
    <s v="SJ2_STAG"/>
    <s v="COMCAST CABLE COMMUNICATIONS"/>
    <s v="49800 Martin Dr"/>
    <s v="MI"/>
    <s v="Wixom"/>
    <s v="48393-2404"/>
    <s v="PS3148D"/>
    <s v="POWER SUPPLY W/DISPLAY -48VDC"/>
    <s v="20116327"/>
    <s v="4.1"/>
    <n v="9753492"/>
    <n v="1949561"/>
    <d v="2016-10-11T15:10:15"/>
    <m/>
    <x v="1"/>
    <d v="2016-10-24T00:00:00"/>
    <d v="2016-10-17T23:59:00"/>
    <m/>
    <n v="6"/>
    <m/>
    <n v="3684"/>
    <m/>
    <s v="N204"/>
    <s v="NWK ACCESS TECH"/>
    <s v="ACCESS OTHER"/>
    <s v="OTHER AURORA"/>
    <s v="N204"/>
    <s v="AS-STANDARD ORDER MIXED"/>
    <s v="A-SURFACE"/>
    <s v="OP"/>
    <n v="1241987"/>
    <s v="A-SURFACE"/>
    <m/>
    <m/>
    <m/>
    <s v="A-SURFACE"/>
    <s v="LTL"/>
    <s v="EXW"/>
    <s v="Collect"/>
    <m/>
    <m/>
    <s v="UNDER 200LBS UNPALLETIZED OR SINGLE BOX UNDER 150LBS USE FEDEX #128153870 OVER 200LBS USE OMNI LOGISTICS ACCT COMCASTLSS-COMCASTLSS@OMNILOGISTICS.COM 866-247-6664"/>
    <m/>
    <m/>
  </r>
  <r>
    <s v="SJ2"/>
    <s v="5000445"/>
    <s v="COMCAST"/>
    <s v="WIXOM (BERRY)"/>
    <s v="R015P22L4"/>
    <s v="SJ2_STAG"/>
    <s v="COMCAST CABLE COMMUNICATIONS"/>
    <s v="49800 Martin Dr"/>
    <s v="MI"/>
    <s v="Wixom"/>
    <s v="48393-2404"/>
    <s v="PS3148N"/>
    <s v="POWER SUPPLY NO DISPLAY -48VDC"/>
    <s v="20116327"/>
    <s v="5.1"/>
    <n v="9753492"/>
    <n v="1949557"/>
    <d v="2016-10-11T15:10:15"/>
    <m/>
    <x v="1"/>
    <d v="2016-10-24T00:00:00"/>
    <d v="2016-10-17T23:59:00"/>
    <m/>
    <n v="6"/>
    <m/>
    <n v="3168"/>
    <m/>
    <s v="N204"/>
    <s v="NWK ACCESS TECH"/>
    <s v="ACCESS OTHER"/>
    <s v="OTHER AURORA"/>
    <s v="N204"/>
    <s v="AS-STANDARD ORDER MIXED"/>
    <s v="A-SURFACE"/>
    <s v="OP"/>
    <n v="1241987"/>
    <s v="A-SURFACE"/>
    <m/>
    <m/>
    <m/>
    <s v="A-SURFACE"/>
    <s v="LTL"/>
    <s v="EXW"/>
    <s v="Collect"/>
    <m/>
    <m/>
    <s v="UNDER 200LBS UNPALLETIZED OR SINGLE BOX UNDER 150LBS USE FEDEX #128153870 OVER 200LBS USE OMNI LOGISTICS ACCT COMCASTLSS-COMCASTLSS@OMNILOGISTICS.COM 866-247-6664"/>
    <m/>
    <m/>
  </r>
  <r>
    <s v="SJ2"/>
    <s v="5000445"/>
    <s v="COMCAST"/>
    <s v="WIXOM (BERRY)"/>
    <s v="R023P04L2"/>
    <s v="SJ2_STAG"/>
    <s v="COMCAST CABLE COMMUNICATIONS"/>
    <s v="49800 Martin Dr"/>
    <s v="MI"/>
    <s v="Wixom"/>
    <s v="48393-2404"/>
    <s v="HT3541H-D-A200-2-AS"/>
    <s v="XMTR DD 1.2GHZ FULL SPECTRUM 3"/>
    <s v="20116327"/>
    <s v="8.1"/>
    <n v="9753492"/>
    <n v="1949557"/>
    <d v="2016-10-11T15:10:15"/>
    <m/>
    <x v="1"/>
    <d v="2016-10-24T00:00:00"/>
    <d v="2016-10-17T23:59:00"/>
    <m/>
    <n v="2"/>
    <m/>
    <n v="2794"/>
    <m/>
    <s v="HE64"/>
    <s v="NWK ACCESS TECH"/>
    <s v="HEO"/>
    <s v="TRANSMITTER"/>
    <s v="HT"/>
    <s v="AS-STANDARD ORDER MIXED"/>
    <s v="A-SURFACE"/>
    <s v="OP"/>
    <n v="124198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23P08L3"/>
    <s v="SJ2_STAG"/>
    <s v="COMCAST CABLE"/>
    <s v="1530 Chartiers Ave"/>
    <s v="PA"/>
    <s v="Pittsburgh"/>
    <s v="15204-2520"/>
    <s v="BP-A6"/>
    <s v="BACKPLATE RF INP A RF INP B MP"/>
    <s v="20116418"/>
    <s v="10.1"/>
    <n v="9753363"/>
    <n v="1949250"/>
    <d v="2016-10-12T09:57:08"/>
    <m/>
    <x v="8"/>
    <d v="2016-10-12T00:00:00"/>
    <d v="2016-10-12T23:59:00"/>
    <m/>
    <n v="1"/>
    <n v="1"/>
    <n v="69"/>
    <n v="69"/>
    <s v="N224"/>
    <s v="NWK ACCESS TECH"/>
    <s v="ACCESS OTHER"/>
    <s v="OTHER AURORA"/>
    <s v="N22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EC1"/>
    <s v="SJ2_STAG"/>
    <s v="COMCAST CABLE"/>
    <s v="1530 Chartiers Ave"/>
    <s v="PA"/>
    <s v="Pittsburgh"/>
    <s v="15204-2520"/>
    <s v="HT3541H-D-A200-2-AS"/>
    <s v="XMTR DD 1.2GHZ FULL SPECTRUM 3"/>
    <s v="20116418"/>
    <s v="12.1"/>
    <n v="9753363"/>
    <n v="1949244"/>
    <d v="2016-10-12T09:57:08"/>
    <m/>
    <x v="8"/>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23P07L4"/>
    <s v="SJ2_STAG"/>
    <s v="COMCAST CABLE"/>
    <s v="1530 Chartiers Ave"/>
    <s v="PA"/>
    <s v="Pittsburgh"/>
    <s v="15204-2520"/>
    <s v="HT3541H-D-A230-2-AS"/>
    <s v="XMTR DD 1.2GHZ FULL SPECTRUM 3"/>
    <s v="20116418"/>
    <s v="14.1"/>
    <n v="9753363"/>
    <n v="1949244"/>
    <d v="2016-10-12T09:57:08"/>
    <m/>
    <x v="8"/>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23P11L4"/>
    <s v="SJ2_STAG"/>
    <s v="COMCAST CABLE"/>
    <s v="1530 Chartiers Ave"/>
    <s v="PA"/>
    <s v="Pittsburgh"/>
    <s v="15204-2520"/>
    <s v="HT3541H-D-A290-2-AS"/>
    <s v="XMTR DD 1.2GHZ FULL SPECTRUM 3"/>
    <s v="20116418"/>
    <s v="16.1"/>
    <n v="9753363"/>
    <n v="1949244"/>
    <d v="2016-10-12T09:57:08"/>
    <m/>
    <x v="8"/>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15P31L2"/>
    <s v="SJ2_STAG"/>
    <s v="COMCAST CABLE"/>
    <s v="1530 Chartiers Ave"/>
    <s v="PA"/>
    <s v="Pittsburgh"/>
    <s v="15204-2520"/>
    <s v="HT3541H-D-A330-2-AS"/>
    <s v="XMTR DD 1.2GHZ FULL SPECTRUM 3"/>
    <s v="20116418"/>
    <s v="17.1"/>
    <n v="9753363"/>
    <n v="1949244"/>
    <d v="2016-10-12T09:57:08"/>
    <m/>
    <x v="8"/>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m/>
    <s v="SJ2_STAG"/>
    <s v="COMCAST CABLE"/>
    <s v="1530 Chartiers Ave"/>
    <s v="PA"/>
    <s v="Pittsburgh"/>
    <s v="15204-2520"/>
    <s v="HT3541H-D-A350-2-AS"/>
    <s v="XMTR DD 1.2GHZ FULL SPECTRUM 3"/>
    <s v="20116418"/>
    <s v="18.1"/>
    <n v="9753363"/>
    <n v="1949247"/>
    <d v="2016-10-12T09:57:08"/>
    <m/>
    <x v="8"/>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EC1"/>
    <s v="SJ2_STAG"/>
    <s v="COMCAST CABLE"/>
    <s v="1530 Chartiers Ave"/>
    <s v="PA"/>
    <s v="Pittsburgh"/>
    <s v="15204-2520"/>
    <s v="CH3000N"/>
    <s v="CHASSIS NO COVERS 3RU"/>
    <s v="20116418"/>
    <s v="2.1"/>
    <n v="9753363"/>
    <n v="1949250"/>
    <d v="2016-10-12T09:57:08"/>
    <m/>
    <x v="8"/>
    <d v="2016-10-12T00:00:00"/>
    <d v="2016-10-12T23:59:00"/>
    <m/>
    <n v="2"/>
    <n v="2"/>
    <n v="440"/>
    <n v="440"/>
    <s v="N199"/>
    <s v="NWK ACCESS TECH"/>
    <s v="HEO"/>
    <s v="HEO MISC AURORA"/>
    <s v="N199"/>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15P31L2"/>
    <s v="SJ2_STAG"/>
    <s v="COMCAST CABLE"/>
    <s v="1530 Chartiers Ave"/>
    <s v="PA"/>
    <s v="Pittsburgh"/>
    <s v="15204-2520"/>
    <s v="HT3541H-D-A440-2-AS"/>
    <s v="XMTR DD 1.2GHZ FULL SPECTRUM 3"/>
    <s v="20116418"/>
    <s v="20.1"/>
    <n v="9753363"/>
    <n v="1949244"/>
    <d v="2016-10-12T09:57:08"/>
    <m/>
    <x v="8"/>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15P31L2"/>
    <s v="SJ2_STAG"/>
    <s v="COMCAST CABLE"/>
    <s v="1530 Chartiers Ave"/>
    <s v="PA"/>
    <s v="Pittsburgh"/>
    <m/>
    <s v="HT3541H-D-A470-2-AS"/>
    <s v="XMTR DD 1.2GHZ FULL SPECTRUM 3"/>
    <s v="20116418"/>
    <s v="21.1"/>
    <n v="9753363"/>
    <n v="1949244"/>
    <d v="2016-10-12T09:57:08"/>
    <m/>
    <x v="8"/>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15P68L1"/>
    <s v="SJ2_STAG"/>
    <s v="COMCAST CABLE"/>
    <s v="1530 Chartiers Ave"/>
    <s v="PA"/>
    <s v="Pittsburgh"/>
    <s v="15204-2520"/>
    <s v="CH3000U-FM-00"/>
    <s v="ADAPTER FIBER MGT FOR CH3000 C"/>
    <s v="20116418"/>
    <s v="3.1"/>
    <n v="9753363"/>
    <n v="1949250"/>
    <d v="2016-10-12T09:57:08"/>
    <m/>
    <x v="8"/>
    <d v="2016-10-12T00:00:00"/>
    <d v="2016-10-12T23:59:00"/>
    <m/>
    <n v="9"/>
    <n v="9"/>
    <n v="495"/>
    <n v="495"/>
    <s v="N199"/>
    <s v="NWK ACCESS TECH"/>
    <s v="HEO"/>
    <s v="HEO MISC AURORA"/>
    <s v="N199"/>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23P05L1"/>
    <s v="SJ2_STAG"/>
    <s v="COMCAST CABLE"/>
    <s v="1530 Chartiers Ave"/>
    <s v="PA"/>
    <s v="Pittsburgh"/>
    <s v="15204-2520"/>
    <s v="HT3312H-D-1310-2-AS"/>
    <s v="XMTR DD 1.2GHZ 1310NM D-IN 12D"/>
    <s v="20116418"/>
    <s v="36.1"/>
    <n v="9753363"/>
    <n v="1949244"/>
    <d v="2016-10-12T09:57:08"/>
    <m/>
    <x v="8"/>
    <d v="2016-10-12T00:00:00"/>
    <d v="2016-10-12T23:59:00"/>
    <m/>
    <n v="5"/>
    <n v="5"/>
    <n v="6330"/>
    <n v="6330"/>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15P22L3"/>
    <s v="SJ2_STAG"/>
    <s v="COMCAST CABLE"/>
    <s v="1530 Chartiers Ave"/>
    <s v="PA"/>
    <s v="Pittsburgh"/>
    <s v="15204-2520"/>
    <s v="PS3005D"/>
    <s v="POWER SUPPLY 250W CE TUV W/DIS"/>
    <s v="20116418"/>
    <s v="4.1"/>
    <n v="9753363"/>
    <n v="1949244"/>
    <d v="2016-10-12T09:57:08"/>
    <m/>
    <x v="8"/>
    <d v="2016-10-12T00:00:00"/>
    <d v="2016-10-12T23:59:00"/>
    <m/>
    <n v="2"/>
    <n v="2"/>
    <n v="1078"/>
    <n v="1078"/>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23P12L5"/>
    <s v="SJ2_STAG"/>
    <s v="COMCAST CABLE"/>
    <s v="1530 Chartiers Ave"/>
    <s v="PA"/>
    <s v="Pittsburgh"/>
    <s v="15204-2520"/>
    <s v="FA3519F-00-AS"/>
    <s v="FBROPT AMPL SGL 19DBM GAIN FLA"/>
    <s v="20116418"/>
    <s v="40.1"/>
    <n v="9753363"/>
    <n v="1949250"/>
    <d v="2016-10-12T09:57:08"/>
    <m/>
    <x v="8"/>
    <d v="2016-10-12T00:00:00"/>
    <d v="2016-10-12T23:59:00"/>
    <m/>
    <n v="1"/>
    <n v="1"/>
    <n v="3929"/>
    <n v="3929"/>
    <s v="N125"/>
    <s v="NWK ACCESS TECH"/>
    <s v="HEO"/>
    <s v="HEO MISC AURORA"/>
    <s v="EDFA"/>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15P64L2"/>
    <s v="SJ2_STAG"/>
    <s v="COMCAST CABLE"/>
    <s v="1530 Chartiers Ave"/>
    <s v="PA"/>
    <s v="Pittsburgh"/>
    <s v="15204-2520"/>
    <s v="PS3005N"/>
    <s v="POWER SUPPLY 250W CE TUV W/O D"/>
    <s v="20116418"/>
    <s v="5.1"/>
    <n v="9753363"/>
    <n v="1949244"/>
    <d v="2016-10-12T09:57:08"/>
    <m/>
    <x v="8"/>
    <d v="2016-10-12T00:00:00"/>
    <d v="2016-10-12T23:59:00"/>
    <m/>
    <n v="2"/>
    <n v="2"/>
    <n v="906"/>
    <n v="906"/>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23P04L2"/>
    <s v="SJ2_STAG"/>
    <s v="COMCAST CABLE"/>
    <s v="1530 Chartiers Ave"/>
    <s v="PA"/>
    <s v="Pittsburgh"/>
    <s v="15204-2520"/>
    <s v="OP35D4-CF1-1-99-AS"/>
    <s v="OPT DEMUX4 100GHZ A1 CF3 EXP -"/>
    <s v="20116418"/>
    <s v="52.1"/>
    <n v="9753363"/>
    <n v="1949248"/>
    <d v="2016-10-12T09:57:08"/>
    <m/>
    <x v="8"/>
    <d v="2016-10-12T00:00:00"/>
    <d v="2016-10-12T23:59:00"/>
    <m/>
    <n v="1"/>
    <n v="1"/>
    <n v="873"/>
    <n v="873"/>
    <s v="N160"/>
    <s v="NWK ACCESS TECH"/>
    <s v="OPTICAL PASSIVES"/>
    <s v="OUTDOOR PASSIVES AURORA"/>
    <s v="N160"/>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23P07L2"/>
    <s v="SJ2_STAG"/>
    <s v="COMCAST CABLE"/>
    <s v="1530 Chartiers Ave"/>
    <s v="PA"/>
    <s v="Pittsburgh"/>
    <s v="15204-2520"/>
    <s v="OP35D4-CF3-1-99-AS"/>
    <s v="OPT DEMUX4 100GHZ A1 CF3 EXP -"/>
    <s v="20116418"/>
    <s v="54.1"/>
    <n v="9753363"/>
    <n v="1949250"/>
    <d v="2016-10-12T09:57:08"/>
    <m/>
    <x v="8"/>
    <d v="2016-10-12T00:00:00"/>
    <d v="2016-10-12T23:59:00"/>
    <m/>
    <n v="1"/>
    <n v="1"/>
    <n v="873"/>
    <n v="873"/>
    <s v="N160"/>
    <s v="NWK ACCESS TECH"/>
    <s v="OPTICAL PASSIVES"/>
    <s v="OUTDOOR PASSIVES AURORA"/>
    <s v="N160"/>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16P23L1B01"/>
    <s v="SJ2_STAG"/>
    <s v="COMCAST CABLE"/>
    <s v="1530 Chartiers Ave"/>
    <s v="PA"/>
    <s v="Pittsburgh"/>
    <s v="15204-2520"/>
    <s v="PS3148D"/>
    <s v="POWER SUPPLY W/DISPLAY -48VDC"/>
    <s v="20116418"/>
    <s v="6.1"/>
    <n v="9753363"/>
    <n v="1949248"/>
    <d v="2016-10-12T09:57:08"/>
    <m/>
    <x v="8"/>
    <d v="2016-10-12T00:00:00"/>
    <d v="2016-10-12T23:59:00"/>
    <m/>
    <n v="7"/>
    <n v="7"/>
    <n v="4298"/>
    <n v="4298"/>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23P13L2"/>
    <s v="SJ2_STAG"/>
    <s v="COMCAST CABLE"/>
    <s v="1530 Chartiers Ave"/>
    <s v="PA"/>
    <s v="Pittsburgh"/>
    <s v="15204-2520"/>
    <s v="OA-01-00-AS"/>
    <s v="ATTENUATOR STD OPT SC/APC-SC/A"/>
    <s v="20116418"/>
    <s v="60.1"/>
    <n v="9753363"/>
    <n v="1949248"/>
    <d v="2016-10-12T09:57:08"/>
    <m/>
    <x v="8"/>
    <d v="2016-10-12T00:00:00"/>
    <d v="2016-10-12T23:59:00"/>
    <m/>
    <n v="1"/>
    <n v="1"/>
    <n v="26"/>
    <n v="26"/>
    <s v="N224"/>
    <s v="NWK ACCESS TECH"/>
    <s v="ACCESS OTHER"/>
    <s v="OTHER AURORA"/>
    <s v="N22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PITTSBURGH (TROMBETTA)"/>
    <s v="R015P22L4"/>
    <s v="SJ2_STAG"/>
    <s v="COMCAST CABLE"/>
    <s v="1530 Chartiers Ave"/>
    <s v="PA"/>
    <s v="Pittsburgh"/>
    <s v="15204-2520"/>
    <s v="PS3148N"/>
    <s v="POWER SUPPLY NO DISPLAY -48VDC"/>
    <s v="20116418"/>
    <s v="7.1"/>
    <n v="9753363"/>
    <n v="1949244"/>
    <d v="2016-10-12T09:57:08"/>
    <m/>
    <x v="8"/>
    <d v="2016-10-12T00:00:00"/>
    <d v="2016-10-12T23:59:00"/>
    <m/>
    <n v="7"/>
    <n v="7"/>
    <n v="3696"/>
    <n v="3696"/>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15P31L3"/>
    <s v="SJ2_STAG"/>
    <s v="COMCAST CABLE COMMUNICATIONS"/>
    <s v="1050 E King St"/>
    <s v="PA"/>
    <s v="York"/>
    <s v="17403-1855"/>
    <s v="NC412A2S2A5-U0000000"/>
    <s v="NODE 5-42/51-1GHz JXP 2X2 SEG"/>
    <s v="20116471"/>
    <s v="1.1"/>
    <n v="9753344"/>
    <n v="1949201"/>
    <d v="2016-10-12T13:31:28"/>
    <m/>
    <x v="9"/>
    <d v="2016-10-12T00:00:00"/>
    <d v="2016-10-12T23:59:00"/>
    <m/>
    <n v="1"/>
    <m/>
    <n v="2041"/>
    <m/>
    <s v="N034"/>
    <s v="NWK ACCESS TECH"/>
    <s v="NODE"/>
    <s v="NC4000 AURORA"/>
    <s v="N03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r>
  <r>
    <s v="SJ2"/>
    <s v="5000445"/>
    <s v="COMCAST"/>
    <s v="YORK"/>
    <s v="REC1"/>
    <s v="SJ2_STAG"/>
    <s v="COMCAST CABLE COMMUNICATIONS"/>
    <s v="1050 E King St"/>
    <s v="PA"/>
    <s v="York"/>
    <s v="17403-1855"/>
    <s v="HT3541H-D-A200-2-AS"/>
    <s v="XMTR DD 1.2GHZ FULL SPECTRUM 3"/>
    <s v="20116471"/>
    <s v="11.1"/>
    <n v="9753344"/>
    <n v="1949200"/>
    <d v="2016-10-12T13:31:28"/>
    <m/>
    <x v="9"/>
    <d v="2016-10-12T00:00:00"/>
    <d v="2016-10-12T23:59:00"/>
    <m/>
    <n v="1"/>
    <m/>
    <n v="1397"/>
    <m/>
    <s v="HE64"/>
    <s v="NWK ACCESS TECH"/>
    <s v="HEO"/>
    <s v="TRANSMITTER"/>
    <s v="HT"/>
    <s v="AS-STANDARD ORDER MIXED"/>
    <s v="A-SURFACE"/>
    <s v="OP"/>
    <n v="1241744"/>
    <s v="A-SURFACE"/>
    <m/>
    <m/>
    <m/>
    <s v="A-SURFACE"/>
    <s v="LTL"/>
    <s v="EXW"/>
    <s v="Collect"/>
    <m/>
    <m/>
    <s v="UNDER 200LBS UNPALLETIZED OR SINGLE BOX UNDER 150LBS USE FEDEX #128153870 OVER 200LBS USE OMNI LOGISTICS ACCT COMCASTLSS-COMCASTLSS@OMNILOGISTICS.COM 866-247-6664"/>
    <m/>
    <m/>
  </r>
  <r>
    <s v="SJ2"/>
    <s v="5000445"/>
    <s v="COMCAST"/>
    <s v="YORK"/>
    <s v="R015P02L1"/>
    <s v="SJ2_STAG"/>
    <s v="COMCAST CABLE COMMUNICATIONS"/>
    <s v="1050 E King St"/>
    <s v="PA"/>
    <s v="York"/>
    <s v="17403-1855"/>
    <s v="BP3400C-00"/>
    <s v="BACKPLATE 4.25 GB/S 1-FER/2-FE"/>
    <s v="20116471"/>
    <s v="13.1"/>
    <n v="9753344"/>
    <n v="1949200"/>
    <d v="2016-10-12T13:31:28"/>
    <m/>
    <x v="9"/>
    <d v="2016-10-12T00:00:00"/>
    <d v="2016-10-12T23:59:00"/>
    <m/>
    <n v="1"/>
    <m/>
    <n v="392"/>
    <m/>
    <s v="N076"/>
    <s v="NWK ACCESS TECH"/>
    <s v="HEO"/>
    <s v="HEO MISC AURORA"/>
    <s v="N076"/>
    <s v="AS-STANDARD ORDER MIXED"/>
    <s v="A-SURFACE"/>
    <s v="OP"/>
    <n v="1241744"/>
    <s v="A-SURFACE"/>
    <m/>
    <m/>
    <m/>
    <s v="A-SURFACE"/>
    <s v="LTL"/>
    <s v="EXW"/>
    <s v="Collect"/>
    <m/>
    <m/>
    <s v="UNDER 200LBS UNPALLETIZED OR SINGLE BOX UNDER 150LBS USE FEDEX #128153870 OVER 200LBS USE OMNI LOGISTICS ACCT COMCASTLSS-COMCASTLSS@OMNILOGISTICS.COM 866-247-6664"/>
    <m/>
    <m/>
  </r>
  <r>
    <s v="SJ2"/>
    <s v="5000445"/>
    <s v="COMCAST"/>
    <s v="YORK"/>
    <s v="R016P02L3B01"/>
    <s v="SJ2_STAG"/>
    <s v="COMCAST CABLE COMMUNICATIONS"/>
    <s v="1050 E King St"/>
    <s v="PA"/>
    <s v="York"/>
    <s v="17403-1855"/>
    <s v="DR3450N-50-00"/>
    <s v="DIGITAL RECEIVER Q-RX 2.125GBP"/>
    <s v="20116471"/>
    <s v="14.1"/>
    <n v="9753344"/>
    <n v="1949201"/>
    <d v="2016-10-12T13:31:28"/>
    <m/>
    <x v="9"/>
    <d v="2016-10-12T00:00:00"/>
    <d v="2016-10-12T23:59:00"/>
    <m/>
    <n v="1"/>
    <m/>
    <n v="1200"/>
    <m/>
    <s v="N275"/>
    <s v="NWK ACCESS TECH"/>
    <s v="HEO"/>
    <s v="RECEIVERS AURORA"/>
    <s v="N275"/>
    <s v="AS-STANDARD ORDER MIXED"/>
    <s v="A-SURFACE"/>
    <s v="OP"/>
    <n v="1241744"/>
    <s v="A-SURFACE"/>
    <m/>
    <m/>
    <m/>
    <s v="A-SURFACE"/>
    <s v="LTL"/>
    <s v="EXW"/>
    <s v="Collect"/>
    <m/>
    <m/>
    <s v="UNDER 200LBS UNPALLETIZED OR SINGLE BOX UNDER 150LBS USE FEDEX #128153870 OVER 200LBS USE OMNI LOGISTICS ACCT COMCASTLSS-COMCASTLSS@OMNILOGISTICS.COM 866-247-6664"/>
    <m/>
    <m/>
  </r>
  <r>
    <s v="SJ2"/>
    <s v="5000445"/>
    <s v="COMCAST"/>
    <s v="YORK"/>
    <s v="R016P24L2B01"/>
    <s v="SJ2_STAG"/>
    <s v="COMCAST CABLE COMMUNICATIONS"/>
    <s v="1050 E King St"/>
    <s v="PA"/>
    <s v="York"/>
    <s v="17403-1855"/>
    <s v="PF3000C-FM-00"/>
    <s v="PASSIVE FRAME 4RU FBR MGT COVE"/>
    <s v="20116471"/>
    <s v="17.1"/>
    <n v="9753344"/>
    <n v="1949200"/>
    <d v="2016-10-12T13:31:28"/>
    <m/>
    <x v="9"/>
    <d v="2016-10-12T00:00:00"/>
    <d v="2016-10-12T23:59:00"/>
    <m/>
    <n v="1"/>
    <m/>
    <n v="198"/>
    <m/>
    <s v="N224"/>
    <s v="NWK ACCESS TECH"/>
    <s v="ACCESS OTHER"/>
    <s v="OTHER AURORA"/>
    <s v="N22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r>
  <r>
    <s v="SJ2"/>
    <s v="5000445"/>
    <s v="COMCAST"/>
    <s v="YORK"/>
    <s v="R015P59L1"/>
    <s v="SJ2_STAG"/>
    <s v="COMCAST CABLE COMMUNICATIONS"/>
    <s v="1050 E King St"/>
    <s v="PA"/>
    <s v="York"/>
    <s v="17403-1855"/>
    <s v="PF3000C-FM-00"/>
    <s v="PASSIVE FRAME 4RU FBR MGT COVE"/>
    <s v="20116471"/>
    <s v="17.1"/>
    <n v="9753344"/>
    <n v="1949200"/>
    <d v="2016-10-12T13:31:28"/>
    <m/>
    <x v="9"/>
    <d v="2016-10-12T00:00:00"/>
    <d v="2016-10-12T23:59:00"/>
    <m/>
    <n v="1"/>
    <m/>
    <n v="198"/>
    <m/>
    <s v="N224"/>
    <s v="NWK ACCESS TECH"/>
    <s v="ACCESS OTHER"/>
    <s v="OTHER AURORA"/>
    <s v="N22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r>
  <r>
    <s v="SJ2"/>
    <s v="5000445"/>
    <s v="COMCAST"/>
    <s v="YORK"/>
    <s v="REC1"/>
    <s v="SJ2_STAG"/>
    <s v="COMCAST CABLE COMMUNICATIONS"/>
    <s v="1050 E King St"/>
    <s v="PA"/>
    <s v="York"/>
    <s v="17403-1855"/>
    <s v="CH3000N"/>
    <s v="CHASSIS NO COVERS 3RU"/>
    <s v="20116471"/>
    <s v="4.1"/>
    <n v="9753344"/>
    <n v="1949200"/>
    <d v="2016-10-12T13:31:28"/>
    <m/>
    <x v="9"/>
    <d v="2016-10-12T00:00:00"/>
    <d v="2016-10-12T23:59:00"/>
    <m/>
    <n v="2"/>
    <m/>
    <n v="440"/>
    <m/>
    <s v="N199"/>
    <s v="NWK ACCESS TECH"/>
    <s v="HEO"/>
    <s v="HEO MISC AURORA"/>
    <s v="N199"/>
    <s v="AS-STANDARD ORDER MIXED"/>
    <s v="A-SURFACE"/>
    <s v="OP"/>
    <n v="1241744"/>
    <s v="A-SURFACE"/>
    <m/>
    <m/>
    <m/>
    <s v="A-SURFACE"/>
    <s v="LTL"/>
    <s v="EXW"/>
    <s v="Collect"/>
    <m/>
    <m/>
    <s v="UNDER 200LBS UNPALLETIZED OR SINGLE BOX UNDER 150LBS USE FEDEX #128153870 OVER 200LBS USE OMNI LOGISTICS ACCT COMCASTLSS-COMCASTLSS@OMNILOGISTICS.COM 866-247-6664"/>
    <m/>
    <m/>
  </r>
  <r>
    <s v="SJ2"/>
    <s v="5000445"/>
    <s v="COMCAST"/>
    <s v="YORK"/>
    <s v="R016P23L1B01"/>
    <s v="SJ2_STAG"/>
    <s v="COMCAST CABLE COMMUNICATIONS"/>
    <s v="1050 E King St"/>
    <s v="PA"/>
    <s v="York"/>
    <s v="17403-1855"/>
    <s v="PS3148D"/>
    <s v="POWER SUPPLY W/DISPLAY -48VDC"/>
    <s v="20116471"/>
    <s v="5.1"/>
    <n v="9753344"/>
    <n v="1949201"/>
    <d v="2016-10-12T13:31:28"/>
    <m/>
    <x v="9"/>
    <d v="2016-10-12T00:00:00"/>
    <d v="2016-10-12T23:59:00"/>
    <m/>
    <n v="2"/>
    <m/>
    <n v="1228"/>
    <m/>
    <s v="N204"/>
    <s v="NWK ACCESS TECH"/>
    <s v="ACCESS OTHER"/>
    <s v="OTHER AURORA"/>
    <s v="N20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r>
  <r>
    <s v="SJ2"/>
    <s v="5000445"/>
    <s v="COMCAST"/>
    <s v="YORK"/>
    <s v="R015P22L4"/>
    <s v="SJ2_STAG"/>
    <s v="COMCAST CABLE COMMUNICATIONS"/>
    <s v="1050 E King St"/>
    <s v="PA"/>
    <s v="York"/>
    <s v="17403-1855"/>
    <s v="PS3148N"/>
    <s v="POWER SUPPLY NO DISPLAY -48VDC"/>
    <s v="20116471"/>
    <s v="6.1"/>
    <n v="9753344"/>
    <n v="1949200"/>
    <d v="2016-10-12T13:31:28"/>
    <m/>
    <x v="9"/>
    <d v="2016-10-12T00:00:00"/>
    <d v="2016-10-12T23:59:00"/>
    <m/>
    <n v="2"/>
    <m/>
    <n v="1056"/>
    <m/>
    <s v="N204"/>
    <s v="NWK ACCESS TECH"/>
    <s v="ACCESS OTHER"/>
    <s v="OTHER AURORA"/>
    <s v="N20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r>
  <r>
    <s v="SJ2"/>
    <s v="5000445"/>
    <s v="COMCAST"/>
    <s v="YORK"/>
    <s v="R015P66L3"/>
    <s v="SJ2_STAG"/>
    <s v="COMCAST CABLE COMMUNICATIONS"/>
    <s v="1050 E King St"/>
    <s v="PA"/>
    <s v="York"/>
    <s v="17403-1855"/>
    <s v="NC412A2S2A5-U0000000"/>
    <s v="NODE 5-42/51-1GHz JXP 2X2 SEG"/>
    <s v="20116473"/>
    <s v="1.1"/>
    <n v="9753364"/>
    <n v="1949249"/>
    <d v="2016-10-12T13:44:24"/>
    <m/>
    <x v="8"/>
    <d v="2016-10-12T00:00:00"/>
    <d v="2016-10-12T23:59:00"/>
    <m/>
    <n v="1"/>
    <n v="1"/>
    <n v="2041"/>
    <n v="2041"/>
    <s v="N034"/>
    <s v="NWK ACCESS TECH"/>
    <s v="NODE"/>
    <s v="NC4000 AURORA"/>
    <s v="N03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15P31L3"/>
    <s v="SJ2_STAG"/>
    <s v="COMCAST CABLE COMMUNICATIONS"/>
    <s v="1050 E King St"/>
    <s v="PA"/>
    <s v="York"/>
    <s v="17403-1855"/>
    <s v="NC412A2S2A5-U0000000"/>
    <s v="NODE 5-42/51-1GHz JXP 2X2 SEG"/>
    <s v="20116473"/>
    <s v="1.1"/>
    <n v="9753364"/>
    <n v="1949249"/>
    <d v="2016-10-12T13:44:24"/>
    <m/>
    <x v="8"/>
    <d v="2016-10-12T00:00:00"/>
    <d v="2016-10-12T23:59:00"/>
    <m/>
    <n v="1"/>
    <n v="1"/>
    <n v="2041"/>
    <n v="2041"/>
    <s v="N034"/>
    <s v="NWK ACCESS TECH"/>
    <s v="NODE"/>
    <s v="NC4000 AURORA"/>
    <s v="N03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EC1"/>
    <s v="SJ2_STAG"/>
    <s v="COMCAST CABLE COMMUNICATIONS"/>
    <s v="1050 E King St"/>
    <s v="PA"/>
    <s v="York"/>
    <s v="17403-1855"/>
    <s v="HT3541H-D-A200-2-AS"/>
    <s v="XMTR DD 1.2GHZ FULL SPECTRUM 3"/>
    <s v="20116473"/>
    <s v="13.1"/>
    <n v="9753364"/>
    <n v="1949245"/>
    <d v="2016-10-12T13:44:24"/>
    <m/>
    <x v="8"/>
    <d v="2016-10-12T00:00:00"/>
    <d v="2016-10-12T23:59:00"/>
    <m/>
    <n v="4"/>
    <n v="4"/>
    <n v="5588"/>
    <n v="5588"/>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23P11L4"/>
    <s v="SJ2_STAG"/>
    <s v="COMCAST CABLE COMMUNICATIONS"/>
    <s v="1050 E King St"/>
    <s v="PA"/>
    <s v="York"/>
    <s v="17403-1855"/>
    <s v="HT3541H-D-A290-2-AS"/>
    <s v="XMTR DD 1.2GHZ FULL SPECTRUM 3"/>
    <s v="20116473"/>
    <s v="16.1"/>
    <n v="9753364"/>
    <n v="1949245"/>
    <d v="2016-10-12T13:44:24"/>
    <m/>
    <x v="8"/>
    <d v="2016-10-12T00:00:00"/>
    <d v="2016-10-12T23:59:00"/>
    <m/>
    <n v="2"/>
    <n v="2"/>
    <n v="2794"/>
    <n v="2794"/>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15P02L1"/>
    <s v="SJ2_STAG"/>
    <s v="COMCAST CABLE COMMUNICATIONS"/>
    <s v="1050 E King St"/>
    <s v="PA"/>
    <s v="York"/>
    <s v="17403-1855"/>
    <s v="BP3400C-00"/>
    <s v="BACKPLATE 4.25 GB/S 1-FER/2-FE"/>
    <s v="20116473"/>
    <s v="17.1"/>
    <n v="9753364"/>
    <n v="1949245"/>
    <d v="2016-10-12T13:44:24"/>
    <m/>
    <x v="8"/>
    <d v="2016-10-12T00:00:00"/>
    <d v="2016-10-12T23:59:00"/>
    <m/>
    <n v="1"/>
    <n v="1"/>
    <n v="392"/>
    <n v="392"/>
    <s v="N076"/>
    <s v="NWK ACCESS TECH"/>
    <s v="HEO"/>
    <s v="HEO MISC AURORA"/>
    <s v="N076"/>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16P02L3B01"/>
    <s v="SJ2_STAG"/>
    <s v="COMCAST CABLE COMMUNICATIONS"/>
    <s v="1050 E King St"/>
    <s v="PA"/>
    <s v="York"/>
    <s v="17403-1855"/>
    <s v="DR3450N-50-00"/>
    <s v="DIGITAL RECEIVER Q-RX 2.125GBP"/>
    <s v="20116473"/>
    <s v="18.1"/>
    <n v="9753364"/>
    <n v="1949249"/>
    <d v="2016-10-12T13:44:24"/>
    <m/>
    <x v="8"/>
    <d v="2016-10-12T00:00:00"/>
    <d v="2016-10-12T23:59:00"/>
    <m/>
    <n v="3"/>
    <n v="3"/>
    <n v="3600"/>
    <n v="3600"/>
    <s v="N275"/>
    <s v="NWK ACCESS TECH"/>
    <s v="HEO"/>
    <s v="RECEIVERS AURORA"/>
    <s v="N275"/>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15P59L1"/>
    <s v="SJ2_STAG"/>
    <s v="COMCAST CABLE COMMUNICATIONS"/>
    <s v="1050 E King St"/>
    <s v="PA"/>
    <s v="York"/>
    <s v="17403-1855"/>
    <s v="PF3000C-FM-00"/>
    <s v="PASSIVE FRAME 4RU FBR MGT COVE"/>
    <s v="20116473"/>
    <s v="21.1"/>
    <n v="9753364"/>
    <n v="1949245"/>
    <d v="2016-10-12T13:44:24"/>
    <m/>
    <x v="8"/>
    <d v="2016-10-12T00:00:00"/>
    <d v="2016-10-12T23:59:00"/>
    <m/>
    <n v="1"/>
    <n v="1"/>
    <n v="198"/>
    <n v="198"/>
    <s v="N224"/>
    <s v="NWK ACCESS TECH"/>
    <s v="ACCESS OTHER"/>
    <s v="OTHER AURORA"/>
    <s v="N22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23P10L6"/>
    <s v="SJ2_STAG"/>
    <s v="COMCAST CABLE COMMUNICATIONS"/>
    <s v="1050 E King St"/>
    <s v="PA"/>
    <s v="York"/>
    <s v="17403-1855"/>
    <s v="OP34F1D-1590-0-00-AS"/>
    <s v="CWDM FLTR DUAL 1590NM SC/APC 3"/>
    <s v="20116473"/>
    <s v="23.1"/>
    <n v="9753364"/>
    <n v="1949249"/>
    <d v="2016-10-12T13:44:24"/>
    <m/>
    <x v="8"/>
    <d v="2016-10-12T00:00:00"/>
    <d v="2016-10-12T23:59:00"/>
    <m/>
    <n v="1"/>
    <n v="1"/>
    <n v="291"/>
    <n v="291"/>
    <s v="N156"/>
    <s v="NWK ACCESS TECH"/>
    <s v="ACCESS OTHER"/>
    <s v="OTHER AURORA"/>
    <s v="N156"/>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15P43L5"/>
    <s v="SJ2_STAG"/>
    <s v="COMCAST CABLE COMMUNICATIONS"/>
    <s v="1050 E King St"/>
    <s v="PA"/>
    <s v="York"/>
    <s v="17403-1855"/>
    <s v="NC412A4S2A4-UU000000"/>
    <s v="NODE 5-42/51-1GHz JXP 4x4 SEG"/>
    <s v="20116473"/>
    <s v="3.1"/>
    <n v="9753364"/>
    <n v="1949249"/>
    <d v="2016-10-12T13:44:24"/>
    <m/>
    <x v="8"/>
    <d v="2016-10-12T00:00:00"/>
    <d v="2016-10-12T23:59:00"/>
    <m/>
    <n v="2"/>
    <n v="2"/>
    <n v="6156"/>
    <n v="6156"/>
    <s v="N034"/>
    <s v="NWK ACCESS TECH"/>
    <s v="NODE"/>
    <s v="NC4000 AURORA"/>
    <s v="N03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EC1"/>
    <s v="SJ2_STAG"/>
    <s v="COMCAST CABLE COMMUNICATIONS"/>
    <s v="1050 E King St"/>
    <s v="PA"/>
    <s v="York"/>
    <s v="17403-1855"/>
    <s v="CH3000N"/>
    <s v="CHASSIS NO COVERS 3RU"/>
    <s v="20116473"/>
    <s v="6.1"/>
    <n v="9753364"/>
    <n v="1949245"/>
    <d v="2016-10-12T13:44:24"/>
    <m/>
    <x v="8"/>
    <d v="2016-10-12T00:00:00"/>
    <d v="2016-10-12T23:59:00"/>
    <m/>
    <n v="2"/>
    <n v="2"/>
    <n v="440"/>
    <n v="440"/>
    <s v="N199"/>
    <s v="NWK ACCESS TECH"/>
    <s v="HEO"/>
    <s v="HEO MISC AURORA"/>
    <s v="N199"/>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16P23L1B01"/>
    <s v="SJ2_STAG"/>
    <s v="COMCAST CABLE COMMUNICATIONS"/>
    <s v="1050 E King St"/>
    <s v="PA"/>
    <s v="York"/>
    <s v="17403-1855"/>
    <s v="PS3148D"/>
    <s v="POWER SUPPLY W/DISPLAY -48VDC"/>
    <s v="20116473"/>
    <s v="7.1"/>
    <n v="9753364"/>
    <n v="1949249"/>
    <d v="2016-10-12T13:44:24"/>
    <m/>
    <x v="8"/>
    <d v="2016-10-12T00:00:00"/>
    <d v="2016-10-12T23:59:00"/>
    <m/>
    <n v="2"/>
    <n v="2"/>
    <n v="1228"/>
    <n v="1228"/>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15P22L4"/>
    <s v="SJ2_STAG"/>
    <s v="COMCAST CABLE COMMUNICATIONS"/>
    <s v="1050 E King St"/>
    <s v="PA"/>
    <s v="York"/>
    <s v="17403-1855"/>
    <s v="PS3148N"/>
    <s v="POWER SUPPLY NO DISPLAY -48VDC"/>
    <s v="20116473"/>
    <s v="8.1"/>
    <n v="9753364"/>
    <n v="1949245"/>
    <d v="2016-10-12T13:44:24"/>
    <m/>
    <x v="8"/>
    <d v="2016-10-12T00:00:00"/>
    <d v="2016-10-12T23:59:00"/>
    <m/>
    <n v="2"/>
    <n v="2"/>
    <n v="1056"/>
    <n v="1056"/>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r>
  <r>
    <s v="SJ2"/>
    <s v="5000445"/>
    <s v="COMCAST"/>
    <s v="YORK"/>
    <s v="R015P64L2"/>
    <s v="SJ2_STAG"/>
    <s v="COMCAST CABLE COMMUNICATIONS"/>
    <s v="1050 E King St"/>
    <s v="PA"/>
    <s v="York"/>
    <s v="17403-1855"/>
    <s v="NC412A1S2A1-U0000000"/>
    <s v="NODE 5-42/51-1GHz JXP HG RX DT"/>
    <s v="20116478"/>
    <s v="1.1"/>
    <n v="9753324"/>
    <n v="1949173"/>
    <d v="2016-10-12T14:03:54"/>
    <m/>
    <x v="10"/>
    <d v="2016-10-12T00:00:00"/>
    <d v="2016-10-12T23:59:00"/>
    <m/>
    <n v="10"/>
    <m/>
    <n v="16650"/>
    <m/>
    <s v="N034"/>
    <s v="NWK ACCESS TECH"/>
    <s v="NODE"/>
    <s v="NC4000 AURORA"/>
    <s v="N034"/>
    <s v="AS-STANDARD ORDER MIXED"/>
    <s v="A-SURFACE"/>
    <s v="OP"/>
    <n v="1241715"/>
    <s v="A-SURFACE"/>
    <m/>
    <m/>
    <m/>
    <s v="A-SURFACE"/>
    <s v="LTL"/>
    <s v="EXW"/>
    <s v="Collect"/>
    <m/>
    <m/>
    <s v="UNDER 200LBS UNPALLETIZED OR SINGLE BOX UNDER 150LBS USE FEDEX #128153870 OVER 200LBS USE OMNI LOGISTICS ACCT COMCASTLSS-COMCASTLSS@OMNILOGISTICS.COM 866-247-6664"/>
    <m/>
    <m/>
  </r>
  <r>
    <s v="SJ2"/>
    <s v="5000445"/>
    <s v="COMCAST"/>
    <s v="YORK"/>
    <s v="R015P31L3"/>
    <s v="SJ2_STAG"/>
    <s v="COMCAST CABLE COMMUNICATIONS"/>
    <s v="1050 E King St"/>
    <s v="PA"/>
    <s v="York"/>
    <s v="17403-1855"/>
    <s v="NC412A2S2A5-U0000000"/>
    <s v="NODE 5-42/51-1GHz JXP 2X2 SEG"/>
    <s v="20116478"/>
    <s v="2.1"/>
    <n v="9753324"/>
    <n v="1949173"/>
    <d v="2016-10-12T14:03:54"/>
    <m/>
    <x v="10"/>
    <d v="2016-10-12T00:00:00"/>
    <d v="2016-10-12T23:59:00"/>
    <m/>
    <n v="9"/>
    <m/>
    <n v="18369"/>
    <m/>
    <s v="N034"/>
    <s v="NWK ACCESS TECH"/>
    <s v="NODE"/>
    <s v="NC4000 AURORA"/>
    <s v="N034"/>
    <s v="AS-STANDARD ORDER MIXED"/>
    <s v="A-SURFACE"/>
    <s v="OP"/>
    <n v="124171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015P66L3"/>
    <s v="SJ2_STAG"/>
    <s v="COMCAST CABLE COMM MGMT, LLC"/>
    <s v="1131 S Duke St"/>
    <s v="PA"/>
    <s v="Lancaster"/>
    <s v="17602-4660"/>
    <s v="NC412A2S2A5-U0000000"/>
    <s v="NODE 5-42/51-1GHz JXP 2X2 SEG"/>
    <s v="20116482"/>
    <s v="1.1"/>
    <n v="9753390"/>
    <n v="1949300"/>
    <d v="2016-10-12T14:09:02"/>
    <m/>
    <x v="11"/>
    <d v="2016-10-12T00:00:00"/>
    <d v="2016-10-12T23:59:00"/>
    <m/>
    <n v="5"/>
    <n v="5"/>
    <n v="10205"/>
    <n v="10205"/>
    <s v="N034"/>
    <s v="NWK ACCESS TECH"/>
    <s v="NODE"/>
    <s v="NC4000 AURORA"/>
    <s v="N034"/>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023P04L2"/>
    <s v="SJ2_STAG"/>
    <s v="COMCAST CABLE COMM MGMT, LLC"/>
    <s v="1131 S Duke St"/>
    <s v="PA"/>
    <s v="Lancaster"/>
    <s v="17602-4660"/>
    <s v="HT3541H-D-A200-2-AS"/>
    <s v="XMTR DD 1.2GHZ FULL SPECTRUM 3"/>
    <s v="20116482"/>
    <s v="11.1"/>
    <n v="9753390"/>
    <n v="1949310"/>
    <d v="2016-10-12T14:09:02"/>
    <m/>
    <x v="11"/>
    <d v="2016-10-12T00:00:00"/>
    <d v="2016-10-12T23:59:00"/>
    <m/>
    <n v="6"/>
    <n v="6"/>
    <n v="8382"/>
    <n v="8382"/>
    <s v="HE64"/>
    <s v="NWK ACCESS TECH"/>
    <s v="HEO"/>
    <s v="TRANSMITTER"/>
    <s v="HT"/>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023P11L4"/>
    <s v="SJ2_STAG"/>
    <s v="COMCAST CABLE COMM MGMT, LLC"/>
    <s v="1131 S Duke St"/>
    <s v="PA"/>
    <s v="Lancaster"/>
    <s v="17602-4660"/>
    <s v="HT3541H-D-A290-2-AS"/>
    <s v="XMTR DD 1.2GHZ FULL SPECTRUM 3"/>
    <s v="20116482"/>
    <s v="14.1"/>
    <n v="9753390"/>
    <n v="1949310"/>
    <d v="2016-10-12T14:09:02"/>
    <m/>
    <x v="11"/>
    <d v="2016-10-12T00:00:00"/>
    <d v="2016-10-12T23:59:00"/>
    <m/>
    <n v="1"/>
    <n v="1"/>
    <n v="1397"/>
    <n v="1397"/>
    <s v="HE64"/>
    <s v="NWK ACCESS TECH"/>
    <s v="HEO"/>
    <s v="TRANSMITTER"/>
    <s v="HT"/>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015P02L1"/>
    <s v="SJ2_STAG"/>
    <s v="COMCAST CABLE COMM MGMT, LLC"/>
    <s v="1131 S Duke St"/>
    <s v="PA"/>
    <s v="Lancaster"/>
    <s v="17602-4660"/>
    <s v="BP3400C-00"/>
    <s v="BACKPLATE 4.25 GB/S 1-FER/2-FE"/>
    <s v="20116482"/>
    <s v="15.1"/>
    <n v="9753390"/>
    <n v="1949310"/>
    <d v="2016-10-12T14:09:02"/>
    <m/>
    <x v="11"/>
    <d v="2016-10-12T00:00:00"/>
    <d v="2016-10-12T23:59:00"/>
    <m/>
    <n v="1"/>
    <n v="1"/>
    <n v="392"/>
    <n v="392"/>
    <s v="N076"/>
    <s v="NWK ACCESS TECH"/>
    <s v="HEO"/>
    <s v="HEO MISC AURORA"/>
    <s v="N076"/>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016P02L3B01"/>
    <s v="SJ2_STAG"/>
    <s v="COMCAST CABLE COMM MGMT, LLC"/>
    <s v="1131 S Duke St"/>
    <s v="PA"/>
    <s v="Lancaster"/>
    <s v="17602-4660"/>
    <s v="DR3450N-50-00"/>
    <s v="DIGITAL RECEIVER Q-RX 2.125GBP"/>
    <s v="20116482"/>
    <s v="16.1"/>
    <n v="9753390"/>
    <n v="1949300"/>
    <d v="2016-10-12T14:09:02"/>
    <m/>
    <x v="11"/>
    <d v="2016-10-12T00:00:00"/>
    <d v="2016-10-12T23:59:00"/>
    <m/>
    <n v="4"/>
    <n v="4"/>
    <n v="4800"/>
    <n v="4800"/>
    <s v="N275"/>
    <s v="NWK ACCESS TECH"/>
    <s v="HEO"/>
    <s v="RECEIVERS AURORA"/>
    <s v="N275"/>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015P59L1"/>
    <s v="SJ2_STAG"/>
    <s v="COMCAST CABLE COMM MGMT, LLC"/>
    <s v="1131 S Duke St"/>
    <s v="PA"/>
    <s v="Lancaster"/>
    <s v="17602-4660"/>
    <s v="PF3000C-FM-00"/>
    <s v="PASSIVE FRAME 4RU FBR MGT COVE"/>
    <s v="20116482"/>
    <s v="19.1"/>
    <n v="9753390"/>
    <n v="1949310"/>
    <d v="2016-10-12T14:09:02"/>
    <m/>
    <x v="11"/>
    <d v="2016-10-12T00:00:00"/>
    <d v="2016-10-12T23:59:00"/>
    <m/>
    <n v="2"/>
    <n v="2"/>
    <n v="396"/>
    <n v="396"/>
    <s v="N224"/>
    <s v="NWK ACCESS TECH"/>
    <s v="ACCESS OTHER"/>
    <s v="OTHER AURORA"/>
    <s v="N224"/>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015P43L5"/>
    <s v="SJ2_STAG"/>
    <s v="COMCAST CABLE COMM MGMT, LLC"/>
    <s v="1131 S Duke St"/>
    <s v="PA"/>
    <s v="Lancaster"/>
    <s v="17602-4660"/>
    <s v="NC412A4S2A4-UU000000"/>
    <s v="NODE 5-42/51-1GHz JXP 4x4 SEG"/>
    <s v="20116482"/>
    <s v="2.1"/>
    <n v="9753390"/>
    <n v="1949300"/>
    <d v="2016-10-12T14:09:02"/>
    <m/>
    <x v="11"/>
    <d v="2016-10-12T00:00:00"/>
    <d v="2016-10-12T23:59:00"/>
    <m/>
    <n v="1"/>
    <n v="1"/>
    <n v="3078"/>
    <n v="3078"/>
    <s v="N034"/>
    <s v="NWK ACCESS TECH"/>
    <s v="NODE"/>
    <s v="NC4000 AURORA"/>
    <s v="N034"/>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015P22L3"/>
    <s v="SJ2_STAG"/>
    <s v="COMCAST CABLE COMM MGMT, LLC"/>
    <s v="1131 S Duke St"/>
    <s v="PA"/>
    <s v="Lancaster"/>
    <s v="17602-4660"/>
    <s v="PS3005D"/>
    <s v="POWER SUPPLY 250W CE TUV W/DIS"/>
    <s v="20116482"/>
    <s v="21.1"/>
    <n v="9753390"/>
    <n v="1949310"/>
    <d v="2016-10-12T14:09:02"/>
    <m/>
    <x v="11"/>
    <d v="2016-10-12T00:00:00"/>
    <d v="2016-10-12T23:59:00"/>
    <m/>
    <n v="2"/>
    <n v="2"/>
    <n v="1078"/>
    <n v="1078"/>
    <s v="N204"/>
    <s v="NWK ACCESS TECH"/>
    <s v="ACCESS OTHER"/>
    <s v="OTHER AURORA"/>
    <s v="N204"/>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015P64L2"/>
    <s v="SJ2_STAG"/>
    <s v="COMCAST CABLE COMM MGMT, LLC"/>
    <s v="1131 S Duke St"/>
    <s v="PA"/>
    <s v="Lancaster"/>
    <s v="17602-4660"/>
    <s v="PS3005N"/>
    <s v="POWER SUPPLY 250W CE TUV W/O D"/>
    <s v="20116482"/>
    <s v="22.1"/>
    <n v="9753390"/>
    <n v="1949310"/>
    <d v="2016-10-12T14:09:02"/>
    <m/>
    <x v="11"/>
    <d v="2016-10-12T00:00:00"/>
    <d v="2016-10-12T23:59:00"/>
    <m/>
    <n v="2"/>
    <n v="2"/>
    <n v="906"/>
    <n v="906"/>
    <s v="N204"/>
    <s v="NWK ACCESS TECH"/>
    <s v="ACCESS OTHER"/>
    <s v="OTHER AURORA"/>
    <s v="N204"/>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023P10L6"/>
    <s v="SJ2_STAG"/>
    <s v="COMCAST CABLE COMM MGMT, LLC"/>
    <s v="1131 S Duke St"/>
    <s v="PA"/>
    <s v="Lancaster"/>
    <s v="17602-4660"/>
    <s v="OP34F1D-1590-0-00-AS"/>
    <s v="CWDM FLTR DUAL 1590NM SC/APC 3"/>
    <s v="20116482"/>
    <s v="23.1"/>
    <n v="9753390"/>
    <n v="1949310"/>
    <d v="2016-10-12T14:09:02"/>
    <m/>
    <x v="11"/>
    <d v="2016-10-12T00:00:00"/>
    <d v="2016-10-12T23:59:00"/>
    <m/>
    <n v="1"/>
    <n v="1"/>
    <n v="291"/>
    <n v="291"/>
    <s v="N156"/>
    <s v="NWK ACCESS TECH"/>
    <s v="ACCESS OTHER"/>
    <s v="OTHER AURORA"/>
    <s v="N156"/>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LANCASTER10574"/>
    <s v="REC1"/>
    <s v="SJ2_STAG"/>
    <s v="COMCAST CABLE COMM MGMT, LLC"/>
    <s v="1131 S Duke St"/>
    <s v="PA"/>
    <s v="Lancaster"/>
    <s v="17602-4660"/>
    <s v="CH3000N"/>
    <s v="CHASSIS NO COVERS 3RU"/>
    <s v="20116482"/>
    <s v="6.1"/>
    <n v="9753390"/>
    <n v="1949310"/>
    <d v="2016-10-12T14:09:02"/>
    <m/>
    <x v="11"/>
    <d v="2016-10-12T00:00:00"/>
    <d v="2016-10-12T23:59:00"/>
    <m/>
    <n v="2"/>
    <n v="2"/>
    <n v="440"/>
    <n v="440"/>
    <s v="N199"/>
    <s v="NWK ACCESS TECH"/>
    <s v="HEO"/>
    <s v="HEO MISC AURORA"/>
    <s v="N199"/>
    <s v="AS-STANDARD ORDER MIXED"/>
    <s v="A-SURFACE"/>
    <s v="OP"/>
    <n v="1241795"/>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23P07L4"/>
    <s v="SJ2_STAG"/>
    <s v="COMCAST CABLE C/O XPO LOGISTICS"/>
    <s v="2179 S COMMERCE CENTER DR"/>
    <s v="UT"/>
    <s v="West Valley City"/>
    <s v="84120-6426"/>
    <s v="HT3541H-D-A230-2-AS"/>
    <s v="XMTR DD 1.2GHZ FULL SPECTRUM 3"/>
    <s v="20116616"/>
    <s v="33.1"/>
    <n v="9753744"/>
    <n v="1950152"/>
    <d v="2016-10-13T10:15:50"/>
    <m/>
    <x v="12"/>
    <d v="2016-10-13T00:00:00"/>
    <d v="2016-10-13T23:59:00"/>
    <m/>
    <n v="20"/>
    <m/>
    <n v="27940"/>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23P09L2"/>
    <s v="SJ2_STAG"/>
    <s v="COMCAST CABLE C/O XPO LOGISTICS"/>
    <s v="2179 S COMMERCE CENTER DR"/>
    <s v="UT"/>
    <s v="West Valley City"/>
    <s v="84120-6426"/>
    <s v="HT3541H-D-A330-2-AS"/>
    <s v="XMTR DD 1.2GHZ FULL SPECTRUM 3"/>
    <s v="20116616"/>
    <s v="36.1"/>
    <n v="9753744"/>
    <n v="1950152"/>
    <d v="2016-10-13T10:15:50"/>
    <m/>
    <x v="12"/>
    <d v="2016-10-13T00:00:00"/>
    <d v="2016-10-13T23:59:00"/>
    <m/>
    <n v="1"/>
    <m/>
    <n v="1397"/>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23P04L3"/>
    <s v="SJ2_STAG"/>
    <s v="COMCAST CABLE C/O XPO LOGISTICS"/>
    <s v="2179 S COMMERCE CENTER DR"/>
    <s v="UT"/>
    <s v="West Valley City"/>
    <s v="84120-6426"/>
    <s v="HT3541H-D-A330-2-AS"/>
    <s v="XMTR DD 1.2GHZ FULL SPECTRUM 3"/>
    <s v="20116616"/>
    <s v="36.1"/>
    <n v="9753744"/>
    <n v="1950152"/>
    <d v="2016-10-13T10:15:50"/>
    <m/>
    <x v="12"/>
    <d v="2016-10-13T00:00:00"/>
    <d v="2016-10-13T23:59:00"/>
    <m/>
    <n v="3"/>
    <m/>
    <n v="4191"/>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23P03L2"/>
    <s v="SJ2_STAG"/>
    <s v="COMCAST CABLE C/O XPO LOGISTICS"/>
    <s v="2179 S COMMERCE CENTER DR"/>
    <s v="UT"/>
    <s v="West Valley City"/>
    <s v="84120-6426"/>
    <s v="HT3541H-D-A330-2-AS"/>
    <s v="XMTR DD 1.2GHZ FULL SPECTRUM 3"/>
    <s v="20116616"/>
    <s v="36.1"/>
    <n v="9753744"/>
    <n v="1950152"/>
    <d v="2016-10-13T10:15:50"/>
    <m/>
    <x v="12"/>
    <d v="2016-10-13T00:00:00"/>
    <d v="2016-10-13T23:59:00"/>
    <m/>
    <n v="2"/>
    <m/>
    <n v="2794"/>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EC1"/>
    <s v="SJ2_STAG"/>
    <s v="COMCAST CABLE C/O XPO LOGISTICS"/>
    <s v="2179 S COMMERCE CENTER DR"/>
    <s v="UT"/>
    <s v="West Valley City"/>
    <s v="84120-6426"/>
    <s v="HT3541H-D-A330-2-AS"/>
    <s v="XMTR DD 1.2GHZ FULL SPECTRUM 3"/>
    <s v="20116616"/>
    <s v="36.1"/>
    <n v="9753744"/>
    <n v="1950152"/>
    <d v="2016-10-13T10:15:50"/>
    <m/>
    <x v="12"/>
    <d v="2016-10-13T00:00:00"/>
    <d v="2016-10-13T23:59:00"/>
    <m/>
    <n v="9"/>
    <m/>
    <n v="12573"/>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15P31L2"/>
    <s v="SJ2_STAG"/>
    <s v="COMCAST CABLE C/O XPO LOGISTICS"/>
    <s v="2179 S COMMERCE CENTER DR"/>
    <s v="UT"/>
    <s v="West Valley City"/>
    <s v="84120-6426"/>
    <s v="HT3541H-D-A330-2-AS"/>
    <s v="XMTR DD 1.2GHZ FULL SPECTRUM 3"/>
    <s v="20116616"/>
    <s v="36.1"/>
    <n v="9753744"/>
    <n v="1950152"/>
    <d v="2016-10-13T10:15:50"/>
    <m/>
    <x v="12"/>
    <d v="2016-10-13T00:00:00"/>
    <d v="2016-10-13T23:59:00"/>
    <m/>
    <n v="6"/>
    <m/>
    <n v="8382"/>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23P58L4"/>
    <s v="SJ2_STAG"/>
    <s v="COMCAST CABLE C/O XPO LOGISTICS"/>
    <s v="2179 S COMMERCE CENTER DR"/>
    <s v="UT"/>
    <s v="West Valley City"/>
    <s v="84120-6426"/>
    <s v="HT3541H-D-A330-2-AS"/>
    <s v="XMTR DD 1.2GHZ FULL SPECTRUM 3"/>
    <s v="20116616"/>
    <s v="36.1"/>
    <n v="9753744"/>
    <n v="1950152"/>
    <d v="2016-10-13T10:15:50"/>
    <m/>
    <x v="12"/>
    <d v="2016-10-13T00:00:00"/>
    <d v="2016-10-13T23:59:00"/>
    <m/>
    <n v="1"/>
    <m/>
    <n v="1397"/>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23P13L2"/>
    <s v="SJ2_STAG"/>
    <s v="COMCAST CABLE C/O XPO LOGISTICS"/>
    <s v="2179 S COMMERCE CENTER DR"/>
    <s v="UT"/>
    <s v="West Valley City"/>
    <s v="84120-6426"/>
    <s v="HT3541H-D-A330-2-AS"/>
    <s v="XMTR DD 1.2GHZ FULL SPECTRUM 3"/>
    <s v="20116616"/>
    <s v="36.1"/>
    <n v="9753744"/>
    <n v="1950152"/>
    <d v="2016-10-13T10:15:50"/>
    <m/>
    <x v="12"/>
    <d v="2016-10-13T00:00:00"/>
    <d v="2016-10-13T23:59:00"/>
    <m/>
    <n v="13"/>
    <m/>
    <n v="18161"/>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23P11L4"/>
    <s v="SJ2_STAG"/>
    <s v="COMCAST CABLE C/O XPO LOGISTICS"/>
    <s v="2179 S COMMERCE CENTER DR"/>
    <s v="UT"/>
    <s v="West Valley City"/>
    <s v="84120-6426"/>
    <s v="HT3541H-D-A330-2-AS"/>
    <s v="XMTR DD 1.2GHZ FULL SPECTRUM 3"/>
    <s v="20116616"/>
    <s v="36.1"/>
    <n v="9753744"/>
    <n v="1950152"/>
    <d v="2016-10-13T10:15:50"/>
    <m/>
    <x v="12"/>
    <d v="2016-10-13T00:00:00"/>
    <d v="2016-10-13T23:59:00"/>
    <m/>
    <n v="5"/>
    <m/>
    <n v="6985"/>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15P59L1"/>
    <s v="SJ2_STAG"/>
    <s v="COMCAST CABLE C/O XPO LOGISTICS"/>
    <s v="2179 S COMMERCE CENTER DR"/>
    <s v="UT"/>
    <s v="West Valley City"/>
    <s v="84120-6426"/>
    <s v="PF3000C-FM-00"/>
    <s v="PASSIVE FRAME 4RU FBR MGT COVE"/>
    <s v="20116616"/>
    <s v="4.1"/>
    <n v="9753744"/>
    <n v="1950152"/>
    <d v="2016-10-13T10:15:50"/>
    <m/>
    <x v="12"/>
    <d v="2016-10-13T00:00:00"/>
    <d v="2016-10-13T23:59:00"/>
    <m/>
    <n v="20"/>
    <m/>
    <n v="3960"/>
    <m/>
    <s v="N224"/>
    <s v="NWK ACCESS TECH"/>
    <s v="ACCESS OTHER"/>
    <s v="OTHER AURORA"/>
    <s v="N224"/>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EC1"/>
    <s v="SJ2_STAG"/>
    <s v="COMCAST CABLE C/O XPO LOGISTICS"/>
    <s v="2179 S COMMERCE CENTER DR"/>
    <s v="UT"/>
    <s v="West Valley City"/>
    <s v="84120-6426"/>
    <s v="OP95D4-CF2-103-R2-AS"/>
    <s v="DEMUX DWDM 100GHZ 4 CH 03 F-CA"/>
    <s v="20116616"/>
    <s v="46.1"/>
    <n v="9753744"/>
    <n v="1950154"/>
    <d v="2016-10-13T10:15:50"/>
    <m/>
    <x v="12"/>
    <d v="2016-10-13T00:00:00"/>
    <d v="2016-10-13T23:59:00"/>
    <m/>
    <n v="2"/>
    <m/>
    <n v="1514"/>
    <m/>
    <s v="N160"/>
    <s v="NWK ACCESS TECH"/>
    <s v="OPTICAL PASSIVES"/>
    <s v="OUTDOOR PASSIVES AURORA"/>
    <s v="N160"/>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16P14L1B02"/>
    <s v="SJ2_STAG"/>
    <s v="COMCAST CABLE C/O XPO LOGISTICS"/>
    <s v="2179 S COMMERCE CENTER DR"/>
    <s v="UT"/>
    <s v="West Valley City"/>
    <s v="84120-6426"/>
    <s v="PF3000N-FM-00"/>
    <s v="PASSIVE FRAME 4RU FBR MGT NO C"/>
    <s v="20116616"/>
    <s v="5.1"/>
    <n v="9753744"/>
    <n v="1950153"/>
    <d v="2016-10-13T10:15:50"/>
    <m/>
    <x v="12"/>
    <d v="2016-10-13T00:00:00"/>
    <d v="2016-10-13T23:59:00"/>
    <m/>
    <n v="5"/>
    <m/>
    <n v="605"/>
    <m/>
    <s v="N224"/>
    <s v="NWK ACCESS TECH"/>
    <s v="ACCESS OTHER"/>
    <s v="OTHER AURORA"/>
    <s v="N224"/>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17P62L2"/>
    <s v="SJ2_STAG"/>
    <s v="COMCAST CABLE C/O XPO LOGISTICS"/>
    <s v="2179 S COMMERCE CENTER DR"/>
    <s v="UT"/>
    <s v="West Valley City"/>
    <s v="84120-6426"/>
    <s v="BP-A2"/>
    <s v="BACKPLATE OPTICAL INP RF OUT D"/>
    <s v="20116616"/>
    <s v="65.1"/>
    <n v="9753744"/>
    <n v="1950153"/>
    <d v="2016-10-13T10:15:50"/>
    <m/>
    <x v="12"/>
    <d v="2016-10-13T00:00:00"/>
    <d v="2016-10-13T23:59:00"/>
    <m/>
    <n v="9"/>
    <m/>
    <n v="306"/>
    <m/>
    <s v="N224"/>
    <s v="NWK ACCESS TECH"/>
    <s v="ACCESS OTHER"/>
    <s v="OTHER AURORA"/>
    <s v="N224"/>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23P50L2"/>
    <s v="SJ2_STAG"/>
    <s v="COMCAST CABLE C/O XPO LOGISTICS"/>
    <s v="2179 S COMMERCE CENTER DR"/>
    <s v="UT"/>
    <s v="West Valley City"/>
    <s v="84120-6426"/>
    <s v="BP-A2"/>
    <s v="BACKPLATE OPTICAL INP RF OUT D"/>
    <s v="20116616"/>
    <s v="65.1"/>
    <n v="9753744"/>
    <n v="1950153"/>
    <d v="2016-10-13T10:15:50"/>
    <m/>
    <x v="12"/>
    <d v="2016-10-13T00:00:00"/>
    <d v="2016-10-13T23:59:00"/>
    <m/>
    <n v="1"/>
    <m/>
    <n v="34"/>
    <m/>
    <s v="N224"/>
    <s v="NWK ACCESS TECH"/>
    <s v="ACCESS OTHER"/>
    <s v="OTHER AURORA"/>
    <s v="N224"/>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WEST VALLEY CITY"/>
    <s v="R016P33L1B02"/>
    <s v="SJ2_STAG"/>
    <s v="COMCAST CABLE C/O XPO LOGISTICS"/>
    <s v="2179 S COMMERCE CENTER DR"/>
    <s v="UT"/>
    <s v="West Valley City"/>
    <s v="84120-6426"/>
    <s v="WH4020"/>
    <s v="WIRING HARNESS 2 COAX ONLY"/>
    <s v="20116616"/>
    <s v="67.1"/>
    <n v="9753744"/>
    <n v="1950153"/>
    <d v="2016-10-13T10:15:50"/>
    <m/>
    <x v="12"/>
    <d v="2016-10-13T00:00:00"/>
    <d v="2016-10-13T23:59:00"/>
    <m/>
    <n v="70"/>
    <m/>
    <n v="1190"/>
    <m/>
    <s v="N224"/>
    <s v="NWK ACCESS TECH"/>
    <s v="ACCESS OTHER"/>
    <s v="OTHER AURORA"/>
    <s v="N224"/>
    <s v="AS-STANDARD ORDER MIXED"/>
    <s v="A-SURFACE"/>
    <s v="OP"/>
    <n v="1242339"/>
    <s v="A-SURFACE"/>
    <m/>
    <m/>
    <m/>
    <s v="A-SURFACE"/>
    <s v="LTL"/>
    <s v="EXW"/>
    <s v="Collect"/>
    <m/>
    <m/>
    <s v="UNDER 200LBS UNPALLETIZED OR SINGLE BOX UNDER 150LBS USE FEDEX #128153870 OVER 200LBS USE OMNI LOGISTICS ACCT COMCASTLSS-COMCASTLSS@OMNILOGISTICS.COM 866-247-6664"/>
    <m/>
    <m/>
  </r>
  <r>
    <s v="SJ2"/>
    <s v="5000445"/>
    <s v="COMCAST"/>
    <s v="LEBANON (MISC)"/>
    <s v="R015P64L2"/>
    <s v="SJ2_STAG"/>
    <s v="COMCAST CABLE"/>
    <s v="1233 Cumberland St"/>
    <s v="PA"/>
    <s v="Lebanon"/>
    <s v="17042-4527"/>
    <s v="NC412A1S2A1-U0000000"/>
    <s v="NODE 5-42/51-1GHz JXP HG RX DT"/>
    <s v="20116656"/>
    <s v="1.1"/>
    <n v="9753794"/>
    <n v="1950228"/>
    <d v="2016-10-13T12:00:36"/>
    <m/>
    <x v="13"/>
    <d v="2016-10-13T00:00:00"/>
    <d v="2016-10-13T23:59:00"/>
    <m/>
    <n v="3"/>
    <m/>
    <n v="4995"/>
    <m/>
    <s v="N034"/>
    <s v="NWK ACCESS TECH"/>
    <s v="NODE"/>
    <s v="NC4000 AURORA"/>
    <s v="N03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24P03L1B01"/>
    <s v="SJ2_STAG"/>
    <s v="COMCAST CABLE"/>
    <s v="1233 Cumberland St"/>
    <s v="PA"/>
    <s v="Lebanon"/>
    <s v="17042-4527"/>
    <s v="BD31A4-100-H12F-0-AS"/>
    <s v="OPT PASSTHRU BD 4 XMTR 4 BC 4"/>
    <s v="20116656"/>
    <s v="10.1"/>
    <n v="9753794"/>
    <n v="1950226"/>
    <d v="2016-10-13T12:00:36"/>
    <m/>
    <x v="13"/>
    <d v="2016-10-13T00:00:00"/>
    <d v="2016-10-13T23:59:00"/>
    <m/>
    <n v="6"/>
    <m/>
    <n v="3528"/>
    <m/>
    <s v="N258"/>
    <s v="NWK ACCESS TECH"/>
    <s v="HEO"/>
    <s v="TRANSMITTERS AURORA"/>
    <s v="HDTX"/>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EC1"/>
    <s v="SJ2_STAG"/>
    <s v="COMCAST CABLE"/>
    <s v="1233 Cumberland St"/>
    <s v="PA"/>
    <s v="Lebanon"/>
    <s v="17042-4527"/>
    <s v="CX3002"/>
    <s v="COMMUNICATIONS MODULE"/>
    <s v="20116656"/>
    <s v="13.1"/>
    <n v="9753794"/>
    <n v="1950237"/>
    <d v="2016-10-13T12:00:36"/>
    <m/>
    <x v="13"/>
    <d v="2016-10-13T00:00:00"/>
    <d v="2016-10-13T23:59:00"/>
    <m/>
    <n v="2"/>
    <m/>
    <n v="572"/>
    <m/>
    <s v="N080"/>
    <s v="NWK ACCESS TECH"/>
    <s v="HEO"/>
    <s v="HEO MISC AURORA"/>
    <s v="N080"/>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23P12L2"/>
    <s v="SJ2_STAG"/>
    <s v="COMCAST CABLE"/>
    <s v="1233 Cumberland St"/>
    <s v="PA"/>
    <s v="Lebanon"/>
    <s v="17042-4527"/>
    <s v="HT3541H-D-A200-2-AS"/>
    <s v="XMTR DD 1.2GHZ FULL SPECTRUM 3"/>
    <s v="20116656"/>
    <s v="14.1"/>
    <n v="9753794"/>
    <n v="1950226"/>
    <d v="2016-10-13T12:00:36"/>
    <m/>
    <x v="13"/>
    <d v="2016-10-13T00:00:00"/>
    <d v="2016-10-13T23:59:00"/>
    <m/>
    <n v="3"/>
    <m/>
    <n v="4191"/>
    <m/>
    <s v="HE64"/>
    <s v="NWK ACCESS TECH"/>
    <s v="HEO"/>
    <s v="TRANSMITTER"/>
    <s v="HT"/>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23P04L2"/>
    <s v="SJ2_STAG"/>
    <s v="COMCAST CABLE"/>
    <s v="1233 Cumberland St"/>
    <s v="PA"/>
    <s v="Lebanon"/>
    <s v="17042-4527"/>
    <s v="HT3541H-D-A200-2-AS"/>
    <s v="XMTR DD 1.2GHZ FULL SPECTRUM 3"/>
    <s v="20116656"/>
    <s v="14.1"/>
    <n v="9753794"/>
    <n v="1950226"/>
    <d v="2016-10-13T12:00:36"/>
    <m/>
    <x v="13"/>
    <d v="2016-10-13T00:00:00"/>
    <d v="2016-10-13T23:59:00"/>
    <m/>
    <n v="7"/>
    <m/>
    <n v="9779"/>
    <m/>
    <s v="HE64"/>
    <s v="NWK ACCESS TECH"/>
    <s v="HEO"/>
    <s v="TRANSMITTER"/>
    <s v="HT"/>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23P13L2"/>
    <s v="SJ2_STAG"/>
    <s v="COMCAST CABLE"/>
    <s v="1233 Cumberland St"/>
    <s v="PA"/>
    <s v="Lebanon"/>
    <s v="17042-4527"/>
    <s v="HT3541H-D-A290-2-AS"/>
    <s v="XMTR DD 1.2GHZ FULL SPECTRUM 3"/>
    <s v="20116656"/>
    <s v="17.1"/>
    <n v="9753794"/>
    <n v="1950226"/>
    <d v="2016-10-13T12:00:36"/>
    <m/>
    <x v="13"/>
    <d v="2016-10-13T00:00:00"/>
    <d v="2016-10-13T23:59:00"/>
    <m/>
    <n v="1"/>
    <m/>
    <n v="1397"/>
    <m/>
    <s v="HE64"/>
    <s v="NWK ACCESS TECH"/>
    <s v="HEO"/>
    <s v="TRANSMITTER"/>
    <s v="HT"/>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23P11L4"/>
    <s v="SJ2_STAG"/>
    <s v="COMCAST CABLE"/>
    <s v="1233 Cumberland St"/>
    <s v="PA"/>
    <s v="Lebanon"/>
    <s v="17042-4527"/>
    <s v="HT3541H-D-A290-2-AS"/>
    <s v="XMTR DD 1.2GHZ FULL SPECTRUM 3"/>
    <s v="20116656"/>
    <s v="17.1"/>
    <n v="9753794"/>
    <n v="1950226"/>
    <d v="2016-10-13T12:00:36"/>
    <m/>
    <x v="13"/>
    <d v="2016-10-13T00:00:00"/>
    <d v="2016-10-13T23:59:00"/>
    <m/>
    <n v="1"/>
    <m/>
    <n v="1397"/>
    <m/>
    <s v="HE64"/>
    <s v="NWK ACCESS TECH"/>
    <s v="HEO"/>
    <s v="TRANSMITTER"/>
    <s v="HT"/>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15P02L1"/>
    <s v="SJ2_STAG"/>
    <s v="COMCAST CABLE"/>
    <s v="1233 Cumberland St"/>
    <s v="PA"/>
    <s v="Lebanon"/>
    <s v="17042-4527"/>
    <s v="BP3400C-00"/>
    <s v="BACKPLATE 4.25 GB/S 1-FER/2-FE"/>
    <s v="20116656"/>
    <s v="18.1"/>
    <n v="9753794"/>
    <n v="1950226"/>
    <d v="2016-10-13T12:00:36"/>
    <m/>
    <x v="13"/>
    <d v="2016-10-13T00:00:00"/>
    <d v="2016-10-13T23:59:00"/>
    <m/>
    <n v="2"/>
    <m/>
    <n v="784"/>
    <m/>
    <s v="N076"/>
    <s v="NWK ACCESS TECH"/>
    <s v="HEO"/>
    <s v="HEO MISC AURORA"/>
    <s v="N076"/>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16P02L3B01"/>
    <s v="SJ2_STAG"/>
    <s v="COMCAST CABLE"/>
    <s v="1233 Cumberland St"/>
    <s v="PA"/>
    <s v="Lebanon"/>
    <s v="17042-4527"/>
    <s v="DR3450N-50-00"/>
    <s v="DIGITAL RECEIVER Q-RX 2.125GBP"/>
    <s v="20116656"/>
    <s v="19.1"/>
    <n v="9753794"/>
    <n v="1950228"/>
    <d v="2016-10-13T12:00:36"/>
    <m/>
    <x v="13"/>
    <d v="2016-10-13T00:00:00"/>
    <d v="2016-10-13T23:59:00"/>
    <m/>
    <n v="6"/>
    <m/>
    <n v="7200"/>
    <m/>
    <s v="N275"/>
    <s v="NWK ACCESS TECH"/>
    <s v="HEO"/>
    <s v="RECEIVERS AURORA"/>
    <s v="N275"/>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15P66L3"/>
    <s v="SJ2_STAG"/>
    <s v="COMCAST CABLE"/>
    <s v="1233 Cumberland St"/>
    <s v="PA"/>
    <s v="Lebanon"/>
    <s v="17042-4527"/>
    <s v="NC412A2S2A5-U0000000"/>
    <s v="NODE 5-42/51-1GHz JXP 2X2 SEG"/>
    <s v="20116656"/>
    <s v="2.1"/>
    <n v="9753794"/>
    <n v="1950228"/>
    <d v="2016-10-13T12:00:36"/>
    <m/>
    <x v="13"/>
    <d v="2016-10-13T00:00:00"/>
    <d v="2016-10-13T23:59:00"/>
    <m/>
    <n v="5"/>
    <m/>
    <n v="10205"/>
    <m/>
    <s v="N034"/>
    <s v="NWK ACCESS TECH"/>
    <s v="NODE"/>
    <s v="NC4000 AURORA"/>
    <s v="N03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15P59L1"/>
    <s v="SJ2_STAG"/>
    <s v="COMCAST CABLE"/>
    <s v="1233 Cumberland St"/>
    <s v="PA"/>
    <s v="Lebanon"/>
    <s v="17042-4527"/>
    <s v="PF3000C-FM-00"/>
    <s v="PASSIVE FRAME 4RU FBR MGT COVE"/>
    <s v="20116656"/>
    <s v="22.1"/>
    <n v="9753794"/>
    <n v="1950226"/>
    <d v="2016-10-13T12:00:36"/>
    <m/>
    <x v="13"/>
    <d v="2016-10-13T00:00:00"/>
    <d v="2016-10-13T23:59:00"/>
    <m/>
    <n v="2"/>
    <m/>
    <n v="396"/>
    <m/>
    <s v="N224"/>
    <s v="NWK ACCESS TECH"/>
    <s v="ACCESS OTHER"/>
    <s v="OTHER AURORA"/>
    <s v="N22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15P68L1"/>
    <s v="SJ2_STAG"/>
    <s v="COMCAST CABLE"/>
    <s v="1233 Cumberland St"/>
    <s v="PA"/>
    <s v="Lebanon"/>
    <s v="17042-4527"/>
    <s v="CH3000U-FM-00"/>
    <s v="ADAPTER FIBER MGT FOR CH3000 C"/>
    <s v="20116656"/>
    <s v="23.1"/>
    <n v="9753794"/>
    <n v="1950226"/>
    <d v="2016-10-13T12:00:36"/>
    <m/>
    <x v="13"/>
    <d v="2016-10-13T00:00:00"/>
    <d v="2016-10-13T23:59:00"/>
    <m/>
    <n v="3"/>
    <m/>
    <n v="165"/>
    <m/>
    <s v="N199"/>
    <s v="NWK ACCESS TECH"/>
    <s v="HEO"/>
    <s v="HEO MISC AURORA"/>
    <s v="N199"/>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23P10L6"/>
    <s v="SJ2_STAG"/>
    <s v="COMCAST CABLE"/>
    <s v="1233 Cumberland St"/>
    <s v="PA"/>
    <s v="Lebanon"/>
    <s v="17042-4527"/>
    <s v="OP34F1D-1590-0-00-AS"/>
    <s v="CWDM FLTR DUAL 1590NM SC/APC 3"/>
    <s v="20116656"/>
    <s v="24.1"/>
    <n v="9753794"/>
    <n v="1950226"/>
    <d v="2016-10-13T12:00:36"/>
    <m/>
    <x v="13"/>
    <d v="2016-10-13T00:00:00"/>
    <d v="2016-10-13T23:59:00"/>
    <m/>
    <n v="1"/>
    <m/>
    <n v="291"/>
    <m/>
    <s v="N156"/>
    <s v="NWK ACCESS TECH"/>
    <s v="ACCESS OTHER"/>
    <s v="OTHER AURORA"/>
    <s v="N156"/>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15P43L5"/>
    <s v="SJ2_STAG"/>
    <s v="COMCAST CABLE"/>
    <s v="1233 Cumberland St"/>
    <s v="PA"/>
    <s v="Lebanon"/>
    <s v="17042-4527"/>
    <s v="NC412A4S2A4-UU000000"/>
    <s v="NODE 5-42/51-1GHz JXP 4x4 SEG"/>
    <s v="20116656"/>
    <s v="3.1"/>
    <n v="9753794"/>
    <n v="1950228"/>
    <d v="2016-10-13T12:00:36"/>
    <m/>
    <x v="13"/>
    <d v="2016-10-13T00:00:00"/>
    <d v="2016-10-13T23:59:00"/>
    <m/>
    <n v="2"/>
    <m/>
    <n v="6156"/>
    <m/>
    <s v="N034"/>
    <s v="NWK ACCESS TECH"/>
    <s v="NODE"/>
    <s v="NC4000 AURORA"/>
    <s v="N03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15P19L2"/>
    <s v="SJ2_STAG"/>
    <s v="COMCAST CABLE"/>
    <s v="1233 Cumberland St"/>
    <s v="PA"/>
    <s v="Lebanon"/>
    <s v="17042-4527"/>
    <s v="CH3000N"/>
    <s v="CHASSIS NO COVERS 3RU"/>
    <s v="20116656"/>
    <s v="7.1"/>
    <n v="9753794"/>
    <n v="1950228"/>
    <d v="2016-10-13T12:00:36"/>
    <m/>
    <x v="13"/>
    <d v="2016-10-13T00:00:00"/>
    <d v="2016-10-13T23:59:00"/>
    <m/>
    <n v="2"/>
    <m/>
    <n v="440"/>
    <m/>
    <s v="N199"/>
    <s v="NWK ACCESS TECH"/>
    <s v="HEO"/>
    <s v="HEO MISC AURORA"/>
    <s v="N199"/>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16P23L1B01"/>
    <s v="SJ2_STAG"/>
    <s v="COMCAST CABLE"/>
    <s v="1233 Cumberland St"/>
    <s v="PA"/>
    <s v="Lebanon"/>
    <s v="17042-4527"/>
    <s v="PS3148D"/>
    <s v="POWER SUPPLY W/DISPLAY -48VDC"/>
    <s v="20116656"/>
    <s v="8.1"/>
    <n v="9753794"/>
    <n v="1950228"/>
    <d v="2016-10-13T12:00:36"/>
    <m/>
    <x v="13"/>
    <d v="2016-10-13T00:00:00"/>
    <d v="2016-10-13T23:59:00"/>
    <m/>
    <n v="2"/>
    <m/>
    <n v="1228"/>
    <m/>
    <s v="N204"/>
    <s v="NWK ACCESS TECH"/>
    <s v="ACCESS OTHER"/>
    <s v="OTHER AURORA"/>
    <s v="N20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LEBANON (MISC)"/>
    <s v="R015P22L4"/>
    <s v="SJ2_STAG"/>
    <s v="COMCAST CABLE"/>
    <s v="1233 Cumberland St"/>
    <s v="PA"/>
    <s v="Lebanon"/>
    <s v="17042-4527"/>
    <s v="PS3148N"/>
    <s v="POWER SUPPLY NO DISPLAY -48VDC"/>
    <s v="20116656"/>
    <s v="9.1"/>
    <n v="9753794"/>
    <n v="1950226"/>
    <d v="2016-10-13T12:00:36"/>
    <m/>
    <x v="13"/>
    <d v="2016-10-13T00:00:00"/>
    <d v="2016-10-13T23:59:00"/>
    <m/>
    <n v="2"/>
    <m/>
    <n v="1056"/>
    <m/>
    <s v="N204"/>
    <s v="NWK ACCESS TECH"/>
    <s v="ACCESS OTHER"/>
    <s v="OTHER AURORA"/>
    <s v="N20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READING10553"/>
    <s v="R015P64L2"/>
    <s v="SJ2_STAG"/>
    <s v="COMCAST CABLE COMM MGMT, LLC"/>
    <s v="400 Riverfront Dr"/>
    <s v="PA"/>
    <s v="Reading"/>
    <s v="19602-2600"/>
    <s v="NC412A1S2A1-U0000000"/>
    <s v="NODE 5-42/51-1GHz JXP HG RX DT"/>
    <s v="20116659"/>
    <s v="1.1"/>
    <n v="9753811"/>
    <n v="1950280"/>
    <d v="2016-10-13T12:11:14"/>
    <m/>
    <x v="14"/>
    <d v="2016-10-13T00:00:00"/>
    <d v="2016-10-13T23:59:00"/>
    <m/>
    <n v="1"/>
    <m/>
    <n v="1665"/>
    <m/>
    <s v="N034"/>
    <s v="NWK ACCESS TECH"/>
    <s v="NODE"/>
    <s v="NC4000 AURORA"/>
    <s v="N034"/>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24P03L1B01"/>
    <s v="SJ2_STAG"/>
    <s v="COMCAST CABLE COMM MGMT, LLC"/>
    <s v="400 Riverfront Dr"/>
    <s v="PA"/>
    <s v="Reading"/>
    <s v="19602-2600"/>
    <s v="BD31A4-100-H12F-0-AS"/>
    <s v="OPT PASSTHRU BD 4 XMTR 4 BC 4"/>
    <s v="20116659"/>
    <s v="10.1"/>
    <n v="9753811"/>
    <n v="1950279"/>
    <d v="2016-10-13T12:11:14"/>
    <m/>
    <x v="14"/>
    <d v="2016-10-13T00:00:00"/>
    <d v="2016-10-13T23:59:00"/>
    <m/>
    <n v="15"/>
    <m/>
    <n v="8820"/>
    <m/>
    <s v="N258"/>
    <s v="NWK ACCESS TECH"/>
    <s v="HEO"/>
    <s v="TRANSMITTERS AURORA"/>
    <s v="HDTX"/>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EC1"/>
    <s v="SJ2_STAG"/>
    <s v="COMCAST CABLE COMM MGMT, LLC"/>
    <s v="400 Riverfront Dr"/>
    <s v="PA"/>
    <s v="Reading"/>
    <s v="19602-2600"/>
    <s v="CX3002"/>
    <s v="COMMUNICATIONS MODULE"/>
    <s v="20116659"/>
    <s v="13.1"/>
    <n v="9753811"/>
    <n v="1950279"/>
    <d v="2016-10-13T12:11:14"/>
    <m/>
    <x v="14"/>
    <d v="2016-10-13T00:00:00"/>
    <d v="2016-10-13T23:59:00"/>
    <m/>
    <n v="5"/>
    <m/>
    <n v="1430"/>
    <m/>
    <s v="N080"/>
    <s v="NWK ACCESS TECH"/>
    <s v="HEO"/>
    <s v="HEO MISC AURORA"/>
    <s v="N080"/>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23P12L2"/>
    <s v="SJ2_STAG"/>
    <s v="COMCAST CABLE COMM MGMT, LLC"/>
    <s v="400 Riverfront Dr"/>
    <s v="PA"/>
    <s v="Reading"/>
    <s v="19602-2600"/>
    <s v="HT3541H-D-A200-2-AS"/>
    <s v="XMTR DD 1.2GHZ FULL SPECTRUM 3"/>
    <s v="20116659"/>
    <s v="14.1"/>
    <n v="9753811"/>
    <n v="1950279"/>
    <d v="2016-10-13T12:11:14"/>
    <m/>
    <x v="14"/>
    <d v="2016-10-13T00:00:00"/>
    <d v="2016-10-13T23:59:00"/>
    <m/>
    <n v="26"/>
    <m/>
    <n v="36322"/>
    <m/>
    <s v="HE64"/>
    <s v="NWK ACCESS TECH"/>
    <s v="HEO"/>
    <s v="TRANSMITTER"/>
    <s v="HT"/>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23P13L2"/>
    <s v="SJ2_STAG"/>
    <s v="COMCAST CABLE COMM MGMT, LLC"/>
    <s v="400 Riverfront Dr"/>
    <s v="PA"/>
    <s v="Reading"/>
    <s v="19602-2600"/>
    <s v="HT3541H-D-A290-2-AS"/>
    <s v="XMTR DD 1.2GHZ FULL SPECTRUM 3"/>
    <s v="20116659"/>
    <s v="17.1"/>
    <n v="9753811"/>
    <n v="1950279"/>
    <d v="2016-10-13T12:11:14"/>
    <m/>
    <x v="14"/>
    <d v="2016-10-13T00:00:00"/>
    <d v="2016-10-13T23:59:00"/>
    <m/>
    <n v="4"/>
    <m/>
    <n v="5588"/>
    <m/>
    <s v="HE64"/>
    <s v="NWK ACCESS TECH"/>
    <s v="HEO"/>
    <s v="TRANSMITTER"/>
    <s v="HT"/>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15P02L1"/>
    <s v="SJ2_STAG"/>
    <s v="COMCAST CABLE COMM MGMT, LLC"/>
    <s v="400 Riverfront Dr"/>
    <s v="PA"/>
    <s v="Reading"/>
    <s v="19602-2600"/>
    <s v="BP3400C-00"/>
    <s v="BACKPLATE 4.25 GB/S 1-FER/2-FE"/>
    <s v="20116659"/>
    <s v="18.1"/>
    <n v="9753811"/>
    <n v="1950279"/>
    <d v="2016-10-13T12:11:14"/>
    <m/>
    <x v="14"/>
    <d v="2016-10-13T00:00:00"/>
    <d v="2016-10-13T23:59:00"/>
    <m/>
    <n v="4"/>
    <m/>
    <n v="1568"/>
    <m/>
    <s v="N076"/>
    <s v="NWK ACCESS TECH"/>
    <s v="HEO"/>
    <s v="HEO MISC AURORA"/>
    <s v="N076"/>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16P02L3B01"/>
    <s v="SJ2_STAG"/>
    <s v="COMCAST CABLE COMM MGMT, LLC"/>
    <s v="400 Riverfront Dr"/>
    <s v="PA"/>
    <s v="Reading"/>
    <s v="19602-2600"/>
    <s v="DR3450N-50-00"/>
    <s v="DIGITAL RECEIVER Q-RX 2.125GBP"/>
    <s v="20116659"/>
    <s v="19.1"/>
    <n v="9753811"/>
    <n v="1950280"/>
    <d v="2016-10-13T12:11:14"/>
    <m/>
    <x v="14"/>
    <d v="2016-10-13T00:00:00"/>
    <d v="2016-10-13T23:59:00"/>
    <m/>
    <n v="15"/>
    <m/>
    <n v="18000"/>
    <m/>
    <s v="N275"/>
    <s v="NWK ACCESS TECH"/>
    <s v="HEO"/>
    <s v="RECEIVERS AURORA"/>
    <s v="N275"/>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15P59L1"/>
    <s v="SJ2_STAG"/>
    <s v="COMCAST CABLE COMM MGMT, LLC"/>
    <s v="400 Riverfront Dr"/>
    <s v="PA"/>
    <s v="Reading"/>
    <s v="19602-2600"/>
    <s v="PF3000C-FM-00"/>
    <s v="PASSIVE FRAME 4RU FBR MGT COVE"/>
    <s v="20116659"/>
    <s v="22.1"/>
    <n v="9753811"/>
    <n v="1950279"/>
    <d v="2016-10-13T12:11:14"/>
    <m/>
    <x v="14"/>
    <d v="2016-10-13T00:00:00"/>
    <d v="2016-10-13T23:59:00"/>
    <m/>
    <n v="3"/>
    <m/>
    <n v="594"/>
    <m/>
    <s v="N224"/>
    <s v="NWK ACCESS TECH"/>
    <s v="ACCESS OTHER"/>
    <s v="OTHER AURORA"/>
    <s v="N224"/>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23P10L6"/>
    <s v="SJ2_STAG"/>
    <s v="COMCAST CABLE COMM MGMT, LLC"/>
    <s v="400 Riverfront Dr"/>
    <s v="PA"/>
    <s v="Reading"/>
    <s v="19602-2600"/>
    <s v="OP34F1D-1590-0-00-AS"/>
    <s v="CWDM FLTR DUAL 1590NM SC/APC 3"/>
    <s v="20116659"/>
    <s v="23.1"/>
    <n v="9753811"/>
    <n v="1950279"/>
    <d v="2016-10-13T12:11:14"/>
    <m/>
    <x v="14"/>
    <d v="2016-10-13T00:00:00"/>
    <d v="2016-10-13T23:59:00"/>
    <m/>
    <n v="2"/>
    <m/>
    <n v="582"/>
    <m/>
    <s v="N156"/>
    <s v="NWK ACCESS TECH"/>
    <s v="ACCESS OTHER"/>
    <s v="OTHER AURORA"/>
    <s v="N156"/>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15P43L5"/>
    <s v="SJ2_STAG"/>
    <s v="COMCAST CABLE COMM MGMT, LLC"/>
    <s v="400 Riverfront Dr"/>
    <s v="PA"/>
    <s v="Reading"/>
    <s v="19602-2600"/>
    <s v="NC412A4S2A4-UU000000"/>
    <s v="NODE 5-42/51-1GHz JXP 4x4 SEG"/>
    <s v="20116659"/>
    <s v="3.1"/>
    <n v="9753811"/>
    <n v="1950280"/>
    <d v="2016-10-13T12:11:14"/>
    <m/>
    <x v="14"/>
    <d v="2016-10-13T00:00:00"/>
    <d v="2016-10-13T23:59:00"/>
    <m/>
    <n v="4"/>
    <m/>
    <n v="12312"/>
    <m/>
    <s v="N034"/>
    <s v="NWK ACCESS TECH"/>
    <s v="NODE"/>
    <s v="NC4000 AURORA"/>
    <s v="N034"/>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23P11L6"/>
    <s v="SJ2_STAG"/>
    <s v="COMCAST CABLE COMM MGMT, LLC"/>
    <s v="400 Riverfront Dr"/>
    <s v="PA"/>
    <s v="Reading"/>
    <s v="19602-2600"/>
    <s v="CH3000N"/>
    <s v="CHASSIS NO COVERS 3RU"/>
    <s v="20116659"/>
    <s v="7.1"/>
    <n v="9753811"/>
    <n v="1950280"/>
    <d v="2016-10-13T12:11:14"/>
    <m/>
    <x v="14"/>
    <d v="2016-10-13T00:00:00"/>
    <d v="2016-10-13T23:59:00"/>
    <m/>
    <n v="1"/>
    <m/>
    <n v="220"/>
    <m/>
    <s v="N199"/>
    <s v="NWK ACCESS TECH"/>
    <s v="HEO"/>
    <s v="HEO MISC AURORA"/>
    <s v="N199"/>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15P19L2"/>
    <s v="SJ2_STAG"/>
    <s v="COMCAST CABLE COMM MGMT, LLC"/>
    <s v="400 Riverfront Dr"/>
    <s v="PA"/>
    <s v="Reading"/>
    <s v="19602-2600"/>
    <s v="CH3000N"/>
    <s v="CHASSIS NO COVERS 3RU"/>
    <s v="20116659"/>
    <s v="7.1"/>
    <n v="9753811"/>
    <n v="1950280"/>
    <d v="2016-10-13T12:11:14"/>
    <m/>
    <x v="14"/>
    <d v="2016-10-13T00:00:00"/>
    <d v="2016-10-13T23:59:00"/>
    <m/>
    <n v="4"/>
    <m/>
    <n v="880"/>
    <m/>
    <s v="N199"/>
    <s v="NWK ACCESS TECH"/>
    <s v="HEO"/>
    <s v="HEO MISC AURORA"/>
    <s v="N199"/>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16P23L1B01"/>
    <s v="SJ2_STAG"/>
    <s v="COMCAST CABLE COMM MGMT, LLC"/>
    <s v="400 Riverfront Dr"/>
    <s v="PA"/>
    <s v="Reading"/>
    <s v="19602-2600"/>
    <s v="PS3148D"/>
    <s v="POWER SUPPLY W/DISPLAY -48VDC"/>
    <s v="20116659"/>
    <s v="8.1"/>
    <n v="9753811"/>
    <n v="1950280"/>
    <d v="2016-10-13T12:11:14"/>
    <m/>
    <x v="14"/>
    <d v="2016-10-13T00:00:00"/>
    <d v="2016-10-13T23:59:00"/>
    <m/>
    <n v="5"/>
    <m/>
    <n v="3070"/>
    <m/>
    <s v="N204"/>
    <s v="NWK ACCESS TECH"/>
    <s v="ACCESS OTHER"/>
    <s v="OTHER AURORA"/>
    <s v="N204"/>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READING10553"/>
    <s v="R015P22L4"/>
    <s v="SJ2_STAG"/>
    <s v="COMCAST CABLE COMM MGMT, LLC"/>
    <s v="400 Riverfront Dr"/>
    <s v="PA"/>
    <s v="Reading"/>
    <s v="19602-2600"/>
    <s v="PS3148N"/>
    <s v="POWER SUPPLY NO DISPLAY -48VDC"/>
    <s v="20116659"/>
    <s v="9.1"/>
    <n v="9753811"/>
    <n v="1950279"/>
    <d v="2016-10-13T12:11:14"/>
    <m/>
    <x v="14"/>
    <d v="2016-10-13T00:00:00"/>
    <d v="2016-10-13T23:59:00"/>
    <m/>
    <n v="5"/>
    <m/>
    <n v="2640"/>
    <m/>
    <s v="N204"/>
    <s v="NWK ACCESS TECH"/>
    <s v="ACCESS OTHER"/>
    <s v="OTHER AURORA"/>
    <s v="N204"/>
    <s v="AS-STANDARD ORDER MIXED"/>
    <s v="A-SURFACE"/>
    <s v="OP"/>
    <n v="1242390"/>
    <s v="A-SURFACE"/>
    <m/>
    <m/>
    <m/>
    <s v="A-SURFACE"/>
    <s v="LTL"/>
    <s v="EXW"/>
    <s v="Collect"/>
    <m/>
    <m/>
    <s v="UNDER 200LBS UNPALLETIZED OR SINGLE BOX UNDER 150LBS USE FEDEX #128153870 OVER 200LBS USE OMNI LOGISTICS ACCT COMCASTLSS-COMCASTLSS@OMNILOGISTICS.COM 866-247-6664"/>
    <m/>
    <m/>
  </r>
  <r>
    <s v="SJ2"/>
    <s v="5000445"/>
    <s v="COMCAST"/>
    <s v="HARRISBURG (RUBY)"/>
    <s v="R015P66L3"/>
    <s v="SJ2_STAG"/>
    <s v="COMCAST CABLE"/>
    <s v="4601 SMITH ST"/>
    <s v="PA"/>
    <s v="HARRISBURG"/>
    <s v="17109"/>
    <s v="NC412A2S2A5-U0000000"/>
    <s v="NODE 5-42/51-1GHz JXP 2X2 SEG"/>
    <s v="20116672"/>
    <s v="1.1"/>
    <n v="9753793"/>
    <n v="1950229"/>
    <d v="2016-10-13T12:46:08"/>
    <m/>
    <x v="13"/>
    <d v="2016-10-13T00:00:00"/>
    <d v="2016-10-13T23:59:00"/>
    <m/>
    <n v="2"/>
    <m/>
    <n v="4082"/>
    <m/>
    <s v="N034"/>
    <s v="NWK ACCESS TECH"/>
    <s v="NODE"/>
    <s v="NC4000 AURORA"/>
    <s v="N03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HARRISBURG (RUBY)"/>
    <s v="REC1"/>
    <s v="SJ2_STAG"/>
    <s v="COMCAST CABLE"/>
    <s v="4601 SMITH ST"/>
    <s v="PA"/>
    <s v="HARRISBURG"/>
    <s v="17109"/>
    <s v="CX3002"/>
    <s v="COMMUNICATIONS MODULE"/>
    <s v="20116672"/>
    <s v="10.1"/>
    <n v="9753793"/>
    <n v="1950227"/>
    <d v="2016-10-13T12:46:08"/>
    <m/>
    <x v="13"/>
    <d v="2016-10-13T00:00:00"/>
    <d v="2016-10-13T23:59:00"/>
    <m/>
    <n v="2"/>
    <m/>
    <n v="572"/>
    <m/>
    <s v="N080"/>
    <s v="NWK ACCESS TECH"/>
    <s v="HEO"/>
    <s v="HEO MISC AURORA"/>
    <s v="N080"/>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HARRISBURG (RUBY)"/>
    <s v="R023P12L2"/>
    <s v="SJ2_STAG"/>
    <s v="COMCAST CABLE"/>
    <s v="4601 SMITH ST"/>
    <s v="PA"/>
    <s v="HARRISBURG"/>
    <s v="17109"/>
    <s v="HT3541H-D-A200-2-AS"/>
    <s v="XMTR DD 1.2GHZ FULL SPECTRUM 3"/>
    <s v="20116672"/>
    <s v="11.1"/>
    <n v="9753793"/>
    <n v="1950227"/>
    <d v="2016-10-13T12:46:08"/>
    <m/>
    <x v="13"/>
    <d v="2016-10-13T00:00:00"/>
    <d v="2016-10-13T23:59:00"/>
    <m/>
    <n v="2"/>
    <m/>
    <n v="2794"/>
    <m/>
    <s v="HE64"/>
    <s v="NWK ACCESS TECH"/>
    <s v="HEO"/>
    <s v="TRANSMITTER"/>
    <s v="HT"/>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HARRISBURG (RUBY)"/>
    <s v="R015P02L1"/>
    <s v="SJ2_STAG"/>
    <s v="COMCAST CABLE"/>
    <s v="4601 SMITH ST"/>
    <s v="PA"/>
    <s v="HARRISBURG"/>
    <s v="17109"/>
    <s v="BP3400C-00"/>
    <s v="BACKPLATE 4.25 GB/S 1-FER/2-FE"/>
    <s v="20116672"/>
    <s v="13.1"/>
    <n v="9753793"/>
    <n v="1950227"/>
    <d v="2016-10-13T12:46:08"/>
    <m/>
    <x v="13"/>
    <d v="2016-10-13T00:00:00"/>
    <d v="2016-10-13T23:59:00"/>
    <m/>
    <n v="1"/>
    <m/>
    <n v="392"/>
    <m/>
    <s v="N076"/>
    <s v="NWK ACCESS TECH"/>
    <s v="HEO"/>
    <s v="HEO MISC AURORA"/>
    <s v="N076"/>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HARRISBURG (RUBY)"/>
    <s v="R016P02L3B01"/>
    <s v="SJ2_STAG"/>
    <s v="COMCAST CABLE"/>
    <s v="4601 SMITH ST"/>
    <s v="PA"/>
    <s v="HARRISBURG"/>
    <s v="17109"/>
    <s v="DR3450N-50-00"/>
    <s v="DIGITAL RECEIVER Q-RX 2.125GBP"/>
    <s v="20116672"/>
    <s v="14.1"/>
    <n v="9753793"/>
    <n v="1950229"/>
    <d v="2016-10-13T12:46:08"/>
    <m/>
    <x v="13"/>
    <d v="2016-10-13T00:00:00"/>
    <d v="2016-10-13T23:59:00"/>
    <m/>
    <n v="1"/>
    <m/>
    <n v="1200"/>
    <m/>
    <s v="N275"/>
    <s v="NWK ACCESS TECH"/>
    <s v="HEO"/>
    <s v="RECEIVERS AURORA"/>
    <s v="N275"/>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HARRISBURG (RUBY)"/>
    <s v="R015P59L1"/>
    <s v="SJ2_STAG"/>
    <s v="COMCAST CABLE"/>
    <s v="4601 SMITH ST"/>
    <s v="PA"/>
    <s v="HARRISBURG"/>
    <s v="17109"/>
    <s v="PF3000C-FM-00"/>
    <s v="PASSIVE FRAME 4RU FBR MGT COVE"/>
    <s v="20116672"/>
    <s v="17.1"/>
    <n v="9753793"/>
    <n v="1950227"/>
    <d v="2016-10-13T12:46:08"/>
    <m/>
    <x v="13"/>
    <d v="2016-10-13T00:00:00"/>
    <d v="2016-10-13T23:59:00"/>
    <m/>
    <n v="1"/>
    <m/>
    <n v="198"/>
    <m/>
    <s v="N224"/>
    <s v="NWK ACCESS TECH"/>
    <s v="ACCESS OTHER"/>
    <s v="OTHER AURORA"/>
    <s v="N22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HARRISBURG (RUBY)"/>
    <s v="R015P19L2"/>
    <s v="SJ2_STAG"/>
    <s v="COMCAST CABLE"/>
    <s v="4601 SMITH ST"/>
    <s v="PA"/>
    <s v="HARRISBURG"/>
    <s v="17109"/>
    <s v="CH3000N"/>
    <s v="CHASSIS NO COVERS 3RU"/>
    <s v="20116672"/>
    <s v="4.1"/>
    <n v="9753793"/>
    <n v="1950229"/>
    <d v="2016-10-13T12:46:08"/>
    <m/>
    <x v="13"/>
    <d v="2016-10-13T00:00:00"/>
    <d v="2016-10-13T23:59:00"/>
    <m/>
    <n v="2"/>
    <m/>
    <n v="440"/>
    <m/>
    <s v="N199"/>
    <s v="NWK ACCESS TECH"/>
    <s v="HEO"/>
    <s v="HEO MISC AURORA"/>
    <s v="N199"/>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HARRISBURG (RUBY)"/>
    <s v="R016P23L1B01"/>
    <s v="SJ2_STAG"/>
    <s v="COMCAST CABLE"/>
    <s v="4601 SMITH ST"/>
    <s v="PA"/>
    <s v="HARRISBURG"/>
    <s v="17109"/>
    <s v="PS3148D"/>
    <s v="POWER SUPPLY W/DISPLAY -48VDC"/>
    <s v="20116672"/>
    <s v="5.1"/>
    <n v="9753793"/>
    <n v="1950229"/>
    <d v="2016-10-13T12:46:08"/>
    <m/>
    <x v="13"/>
    <d v="2016-10-13T00:00:00"/>
    <d v="2016-10-13T23:59:00"/>
    <m/>
    <n v="2"/>
    <m/>
    <n v="1228"/>
    <m/>
    <s v="N204"/>
    <s v="NWK ACCESS TECH"/>
    <s v="ACCESS OTHER"/>
    <s v="OTHER AURORA"/>
    <s v="N20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HARRISBURG (RUBY)"/>
    <s v="R015P22L4"/>
    <s v="SJ2_STAG"/>
    <s v="COMCAST CABLE"/>
    <s v="4601 SMITH ST"/>
    <s v="PA"/>
    <s v="HARRISBURG"/>
    <s v="17109"/>
    <s v="PS3148N"/>
    <s v="POWER SUPPLY NO DISPLAY -48VDC"/>
    <s v="20116672"/>
    <s v="6.1"/>
    <n v="9753793"/>
    <n v="1950227"/>
    <d v="2016-10-13T12:46:08"/>
    <m/>
    <x v="13"/>
    <d v="2016-10-13T00:00:00"/>
    <d v="2016-10-13T23:59:00"/>
    <m/>
    <n v="2"/>
    <m/>
    <n v="1056"/>
    <m/>
    <s v="N204"/>
    <s v="NWK ACCESS TECH"/>
    <s v="ACCESS OTHER"/>
    <s v="OTHER AURORA"/>
    <s v="N20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HARRISBURG (RUBY)"/>
    <s v="R024P03L1B01"/>
    <s v="SJ2_STAG"/>
    <s v="COMCAST CABLE"/>
    <s v="4601 SMITH ST"/>
    <s v="PA"/>
    <s v="HARRISBURG"/>
    <s v="17109"/>
    <s v="BD31A4-100-H12F-0-AS"/>
    <s v="OPT PASSTHRU BD 4 XMTR 4 BC 4"/>
    <s v="20116672"/>
    <s v="7.1"/>
    <n v="9753793"/>
    <n v="1950227"/>
    <d v="2016-10-13T12:46:08"/>
    <m/>
    <x v="13"/>
    <d v="2016-10-13T00:00:00"/>
    <d v="2016-10-13T23:59:00"/>
    <m/>
    <n v="1"/>
    <m/>
    <n v="588"/>
    <m/>
    <s v="N258"/>
    <s v="NWK ACCESS TECH"/>
    <s v="HEO"/>
    <s v="TRANSMITTERS AURORA"/>
    <s v="HDTX"/>
    <s v="AS-STANDARD ORDER MIXED"/>
    <s v="A-SURFACE"/>
    <s v="OP"/>
    <n v="1242370"/>
    <s v="A-SURFACE"/>
    <m/>
    <m/>
    <m/>
    <s v="A-SURFACE"/>
    <s v="LTL"/>
    <s v="EXW"/>
    <s v="Collect"/>
    <m/>
    <m/>
    <s v="UNDER 200LBS UNPALLETIZED OR SINGLE BOX UNDER 150LBS USE FEDEX #128153870 OVER 200LBS USE OMNI LOGISTICS ACCT COMCASTLSS-COMCASTLSS@OMNILOGISTICS.COM 866-247-6664"/>
    <m/>
    <m/>
  </r>
  <r>
    <s v="SJ2"/>
    <s v="5000445"/>
    <s v="COMCAST"/>
    <s v="167871"/>
    <s v="R015P40L1"/>
    <s v="SJ2_STAG"/>
    <s v="COMCAST CABLE COMMUNICATIONS"/>
    <s v="1707 Imperial Way"/>
    <s v="NJ"/>
    <s v="West Deptford"/>
    <s v="08066-1818"/>
    <s v="FA4524S-01-AS"/>
    <s v="EDFA 24DBM FOR VH4000/NC4000 S"/>
    <s v="6900890"/>
    <s v="14.2"/>
    <n v="9745878"/>
    <n v="1932642"/>
    <d v="2016-07-18T00:00:00"/>
    <m/>
    <x v="15"/>
    <d v="2016-07-20T00:00:00"/>
    <d v="2016-09-28T23:59:00"/>
    <m/>
    <n v="14"/>
    <m/>
    <n v="66570"/>
    <m/>
    <s v="N127"/>
    <s v="NWK ACCESS TECH"/>
    <s v="HPON"/>
    <s v="VHUB AURORA"/>
    <s v="N127"/>
    <s v="AUR-STANDARD ORDER MIXED"/>
    <s v="A-SURFACE"/>
    <s v="OP"/>
    <n v="1231632"/>
    <s v="A-SURFACE"/>
    <m/>
    <m/>
    <m/>
    <s v="A-SURFACE"/>
    <s v="LTL"/>
    <s v="EXW"/>
    <s v="Collect"/>
    <m/>
    <m/>
    <s v="Shipments under 200 lbs. FedEx 128153870 over 200# Omni Acct# Comcast212 Comcast@omnilogistics.com 866-247-6664, cc omnisfoops@omnilogistics.com on all OMNI pickup requests"/>
    <m/>
    <m/>
  </r>
  <r>
    <s v="SJ2"/>
    <s v="5000602"/>
    <s v="CABLEMAS, S.A. DE C.V."/>
    <s v="TULTITLAN"/>
    <s v="R016P05L1B02"/>
    <s v="SJ2_STAG"/>
    <s v="CEDIS CENTRO-SUR"/>
    <s v="CALLE BENITO JUAREZ NO 20"/>
    <s v="MEXICO"/>
    <s v="TULTITLAN"/>
    <s v="54948"/>
    <s v="CH3000N"/>
    <s v="CHASSIS NO COVERS 3RU"/>
    <s v="20111098"/>
    <s v="1.1"/>
    <n v="9750306"/>
    <n v="1942457"/>
    <d v="2016-09-14T14:15:11"/>
    <m/>
    <x v="16"/>
    <d v="2016-10-03T00:00:00"/>
    <d v="2016-10-04T23:59:00"/>
    <m/>
    <n v="4"/>
    <n v="4"/>
    <n v="1040"/>
    <n v="1040"/>
    <s v="N199"/>
    <s v="NWK ACCESS TECH"/>
    <s v="HEO"/>
    <s v="HEO MISC AURORA"/>
    <s v="N199"/>
    <s v="AS-STANDARD ORDER MIXED"/>
    <s v="A-SURFACE"/>
    <s v="OP"/>
    <n v="12368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r>
  <r>
    <s v="SJ2"/>
    <s v="5000602"/>
    <s v="CABLEMAS, S.A. DE C.V."/>
    <s v="TULTITLAN"/>
    <s v="R023P12L4"/>
    <s v="SJ2_STAG"/>
    <s v="CEDIS CENTRO-SUR"/>
    <s v="CALLE BENITO JUAREZ NO 20"/>
    <s v="MEXICO"/>
    <s v="TULTITLAN"/>
    <s v="54948"/>
    <s v="OP95D4-CF3-103-R2-AS"/>
    <s v="DEMUX DWDM 100GHZ 4 CH 03 F-CA"/>
    <s v="20111098"/>
    <s v="15.1"/>
    <n v="9752597"/>
    <n v="1947358"/>
    <d v="2016-09-14T14:15:11"/>
    <m/>
    <x v="17"/>
    <d v="2016-10-03T00:00:00"/>
    <d v="2016-10-13T23:59:00"/>
    <m/>
    <n v="11"/>
    <n v="11"/>
    <n v="11495"/>
    <n v="11495"/>
    <s v="N160"/>
    <s v="NWK ACCESS TECH"/>
    <s v="OPTICAL PASSIVES"/>
    <s v="OUTDOOR PASSIVES AURORA"/>
    <s v="N160"/>
    <s v="AS-STANDARD ORDER MIXED"/>
    <s v="A-SURFACE"/>
    <s v="OP"/>
    <n v="1240761"/>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r>
  <r>
    <s v="SJ2"/>
    <s v="5000602"/>
    <s v="CABLEMAS, S.A. DE C.V."/>
    <s v="TULTITLAN"/>
    <s v="R015P68L3"/>
    <s v="SJ2_STAG"/>
    <s v="CEDIS CENTRO-SUR"/>
    <s v="CALLE BENITO JUAREZ NO 20"/>
    <s v="MEXICO"/>
    <s v="TULTITLAN"/>
    <s v="54948"/>
    <s v="PS3148D"/>
    <s v="POWER SUPPLY W/DISPLAY -48VDC"/>
    <s v="20111098"/>
    <s v="2.1"/>
    <n v="9750864"/>
    <n v="1943629"/>
    <d v="2016-09-14T14:15:11"/>
    <m/>
    <x v="18"/>
    <d v="2016-10-03T00:00:00"/>
    <d v="2016-10-05T23:59:00"/>
    <m/>
    <n v="4"/>
    <n v="4"/>
    <n v="3328"/>
    <n v="3328"/>
    <s v="N204"/>
    <s v="NWK ACCESS TECH"/>
    <s v="ACCESS OTHER"/>
    <s v="OTHER AURORA"/>
    <s v="N204"/>
    <s v="AS-STANDARD ORDER MIXED"/>
    <s v="A-SURFACE"/>
    <s v="OP"/>
    <n v="1237481"/>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r>
  <r>
    <s v="SJ2"/>
    <s v="5000602"/>
    <s v="CABLEMAS, S.A. DE C.V."/>
    <s v="TULTITLAN"/>
    <s v="R016P24L2B01"/>
    <s v="SJ2_STAG"/>
    <s v="CEDIS CENTRO-SUR"/>
    <s v="CALLE BENITO JUAREZ NO 20"/>
    <s v="MEXICO"/>
    <s v="TULTITLAN"/>
    <s v="54948"/>
    <s v="PF3000C-FM-00"/>
    <s v="PASSIVE FRAME 4RU FBR MGT COVE"/>
    <s v="20111098"/>
    <s v="20.1"/>
    <n v="9750306"/>
    <n v="1942457"/>
    <d v="2016-09-14T14:15:11"/>
    <m/>
    <x v="16"/>
    <d v="2016-10-03T00:00:00"/>
    <d v="2016-10-04T23:59:00"/>
    <m/>
    <n v="1"/>
    <n v="1"/>
    <n v="276"/>
    <n v="276"/>
    <s v="N224"/>
    <s v="NWK ACCESS TECH"/>
    <s v="ACCESS OTHER"/>
    <s v="OTHER AURORA"/>
    <s v="N224"/>
    <s v="AS-STANDARD ORDER MIXED"/>
    <s v="A-SURFACE"/>
    <s v="OP"/>
    <n v="12368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r>
  <r>
    <s v="SJ2"/>
    <s v="5000602"/>
    <s v="CABLEMAS, S.A. DE C.V."/>
    <s v="TULTITLAN"/>
    <s v="R016P43L1B01"/>
    <s v="SJ2_STAG"/>
    <s v="CEDIS CENTRO-SUR"/>
    <s v="CALLE BENITO JUAREZ NO 20"/>
    <s v="MEXICO"/>
    <s v="TULTITLAN"/>
    <s v="54948"/>
    <s v="PS3148N"/>
    <s v="POWER SUPPLY NO DISPLAY -48VDC"/>
    <s v="20111098"/>
    <s v="3.1"/>
    <n v="9750306"/>
    <n v="1942457"/>
    <d v="2016-09-14T14:15:11"/>
    <m/>
    <x v="16"/>
    <d v="2016-10-03T00:00:00"/>
    <d v="2016-10-04T23:59:00"/>
    <m/>
    <n v="4"/>
    <n v="4"/>
    <n v="2700"/>
    <n v="2700"/>
    <s v="N204"/>
    <s v="NWK ACCESS TECH"/>
    <s v="ACCESS OTHER"/>
    <s v="OTHER AURORA"/>
    <s v="N204"/>
    <s v="AS-STANDARD ORDER MIXED"/>
    <s v="A-SURFACE"/>
    <s v="OP"/>
    <n v="12368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r>
  <r>
    <s v="SJ2"/>
    <s v="5000602"/>
    <s v="CABLEMAS, S.A. DE C.V."/>
    <s v="TULTITLAN"/>
    <s v="R016P16L2B01"/>
    <s v="SJ2_STAG"/>
    <s v="CEDIS CENTRO-SUR"/>
    <s v="CALLE BENITO JUAREZ NO 20"/>
    <s v="MEXICO"/>
    <s v="TULTITLAN"/>
    <s v="54948"/>
    <s v="AR4203G-AS"/>
    <s v="OPTICAL RECEIVER 51-1002MHz FW"/>
    <s v="20111098"/>
    <s v="4.1"/>
    <n v="9750306"/>
    <n v="1942458"/>
    <d v="2016-09-14T14:15:11"/>
    <m/>
    <x v="16"/>
    <d v="2016-10-03T00:00:00"/>
    <d v="2016-10-04T23:59:00"/>
    <m/>
    <n v="33"/>
    <n v="33"/>
    <n v="12276"/>
    <n v="12276"/>
    <s v="N222"/>
    <s v="NWK ACCESS TECH"/>
    <s v="HPON"/>
    <s v="VHUB AURORA"/>
    <s v="N222"/>
    <s v="AS-STANDARD ORDER MIXED"/>
    <s v="A-SURFACE"/>
    <s v="OP"/>
    <n v="12368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r>
  <r>
    <s v="SJ2"/>
    <s v="5000602"/>
    <s v="CABLEMAS, S.A. DE C.V."/>
    <s v="163423"/>
    <s v="R015P25L3"/>
    <s v="SJ2_STAG"/>
    <s v="Cablemas Telecomunicaciones"/>
    <s v="CEDIS Centro-Sur Calle Benito Juarez No. 20"/>
    <s v=".."/>
    <s v="TULTITLAN"/>
    <s v="C.P. 54948"/>
    <s v="OP94F1S-1610-R2-AS"/>
    <s v="FILTER CWDM S-CASE 2MM SC/APC"/>
    <s v="6900851"/>
    <s v="22.2"/>
    <n v="9752798"/>
    <n v="1947860"/>
    <d v="2016-08-04T00:00:00"/>
    <m/>
    <x v="19"/>
    <d v="2016-08-04T00:00:00"/>
    <d v="2016-10-11T23:59:00"/>
    <m/>
    <n v="35"/>
    <n v="35"/>
    <n v="4585"/>
    <n v="4585"/>
    <s v="N156"/>
    <s v="NWK ACCESS TECH"/>
    <s v="ACCESS OTHER"/>
    <s v="OTHER AURORA"/>
    <s v="N156"/>
    <s v="AUR-STANDARD ORDER MIXED"/>
    <s v="See Shipping Instructions"/>
    <s v="OP"/>
    <n v="1241025"/>
    <s v="SSI"/>
    <m/>
    <m/>
    <m/>
    <s v="See Shipping Instructions"/>
    <s v="LTL"/>
    <s v="EXW"/>
    <s v="Collect"/>
    <m/>
    <m/>
    <s v="Call for Pick Up: Herlinda Marquez Cedillo - hmarquez@izzi.mx - Andres Del Rosario Perez - adelrosario@cablemas.com.mx - Tel#: 011 52 55 4122 8870 - WOOD PALLETS ONLY"/>
    <m/>
    <m/>
  </r>
  <r>
    <s v="SJ2"/>
    <s v="5000602"/>
    <s v="CABLEMAS, S.A. DE C.V."/>
    <s v="164324"/>
    <s v="R016P18L2B01"/>
    <s v="SJ2_STAG"/>
    <s v="Cablemas Telecomunicaciones"/>
    <s v="Almacen Regional Norte 1 Calle 1 113"/>
    <m/>
    <s v="Tijuana"/>
    <s v="CP: 22435"/>
    <s v="AR4003G-AS"/>
    <s v="OPTICAL RECEIVER 54-1002MHz FW"/>
    <s v="6901031"/>
    <s v="2.1"/>
    <n v="9752799"/>
    <n v="1947856"/>
    <d v="2016-08-02T00:00:00"/>
    <m/>
    <x v="19"/>
    <d v="2016-10-03T00:00:00"/>
    <d v="2016-10-11T23:59:00"/>
    <m/>
    <n v="150"/>
    <m/>
    <n v="55800"/>
    <m/>
    <s v="N222"/>
    <s v="NWK ACCESS TECH"/>
    <s v="HPON"/>
    <s v="VHUB AURORA"/>
    <s v="N222"/>
    <s v="AUR-STANDARD ORDER MIXED"/>
    <s v="See Shipping Instructions"/>
    <s v="OP"/>
    <n v="1241025"/>
    <s v="SSI"/>
    <m/>
    <m/>
    <m/>
    <s v="See Shipping Instructions"/>
    <s v="LTL"/>
    <s v="EXW"/>
    <s v="Collect"/>
    <m/>
    <m/>
    <s v="Call for Pick Up: Herlinda Marquez Cedillo - hmarquez@izzi.mx - Andres Del Rosario Perez - adelrosario@cablemas.com.mx - Tel#: 011 52 55 4122 8870 - WOOD PALLETS ONLY"/>
    <m/>
    <m/>
  </r>
  <r>
    <s v="SJ2"/>
    <s v="5001170"/>
    <s v="TELMEX COLOMBIA S.A."/>
    <s v="CRA 7"/>
    <s v="R041P05L1"/>
    <s v="SJ2_STAG"/>
    <s v="TELMEX COLOMBIA S.A."/>
    <s v="CRA. 7 NO.63-44"/>
    <m/>
    <s v="BOGOTA"/>
    <s v="6500300"/>
    <s v="AT3535G-47-1-AS"/>
    <s v="TRANSMITTER 1GHZ 80 QAM CHAN 4"/>
    <s v="20106954"/>
    <s v="5.1"/>
    <n v="9751367"/>
    <n v="1944578"/>
    <d v="2016-08-24T10:30:24"/>
    <m/>
    <x v="20"/>
    <d v="2016-08-25T00:00:00"/>
    <d v="2016-10-06T23:59:00"/>
    <m/>
    <n v="1"/>
    <n v="1"/>
    <n v="2484"/>
    <n v="2484"/>
    <s v="N004"/>
    <s v="NWK ACCESS TECH"/>
    <s v="HEO"/>
    <s v="TRANSMITTERS AURORA"/>
    <s v="N004"/>
    <s v="AS-STANDARD ORDER MIXED"/>
    <s v="A-CUST P/U"/>
    <s v="OP"/>
    <n v="1238034"/>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r>
  <r>
    <s v="SJ2"/>
    <s v="5001170"/>
    <s v="TELMEX COLOMBIA S.A."/>
    <s v="CRA 7"/>
    <s v="R041P05L2"/>
    <s v="SJ2_STAG"/>
    <s v="TELMEX COLOMBIA S.A."/>
    <s v="CRA. 7 NO.63-44"/>
    <m/>
    <s v="BOGOTA"/>
    <s v="6500300"/>
    <s v="AT3535G-46-1-AS"/>
    <s v="TRANSMITTER 1GHZ 80 QAM CHAN 4"/>
    <s v="20106954"/>
    <s v="6.1"/>
    <n v="9751367"/>
    <n v="1944578"/>
    <d v="2016-08-24T10:30:24"/>
    <m/>
    <x v="20"/>
    <d v="2016-08-25T00:00:00"/>
    <d v="2016-10-06T23:59:00"/>
    <m/>
    <n v="1"/>
    <n v="1"/>
    <n v="2484"/>
    <n v="2484"/>
    <s v="N004"/>
    <s v="NWK ACCESS TECH"/>
    <s v="HEO"/>
    <s v="TRANSMITTERS AURORA"/>
    <s v="N004"/>
    <s v="AS-STANDARD ORDER MIXED"/>
    <s v="A-CUST P/U"/>
    <s v="OP"/>
    <n v="1238034"/>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r>
  <r>
    <s v="SJ2"/>
    <s v="5001170"/>
    <s v="TELMEX COLOMBIA S.A."/>
    <s v="CRA 7"/>
    <s v="R016P39L2B01"/>
    <s v="SJ2_STAG"/>
    <s v="TELMEX COLOMBIA S.A."/>
    <s v="CRA. 7 NO.63-44"/>
    <m/>
    <s v="BOGOTA"/>
    <s v="6500300"/>
    <s v="NH4000-VHP2"/>
    <s v="HOUSING VHUB DUAL PWR SPLY FBR"/>
    <s v="20112750"/>
    <s v="7.1"/>
    <n v="9751368"/>
    <n v="1944578"/>
    <d v="2016-09-22T15:01:12"/>
    <m/>
    <x v="20"/>
    <d v="2016-10-06T00:00:00"/>
    <d v="2016-10-06T23:59:00"/>
    <m/>
    <n v="1"/>
    <n v="1"/>
    <n v="867"/>
    <n v="867"/>
    <s v="N224"/>
    <s v="NWK ACCESS TECH"/>
    <s v="ACCESS OTHER"/>
    <s v="OTHER AURORA"/>
    <s v="N224"/>
    <s v="AS-STANDARD ORDER MIXED"/>
    <s v="A-CUST P/U"/>
    <s v="OP"/>
    <n v="1238034"/>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r>
  <r>
    <s v="SJ2"/>
    <s v="5001170"/>
    <s v="TELMEX COLOMBIA S.A."/>
    <s v="161502"/>
    <s v="R015P29L2"/>
    <s v="SJ2_STAG"/>
    <s v="TELMEX COLOMBIA S.A."/>
    <s v="NIT 830.053.800-4 Sede Administrativa"/>
    <m/>
    <s v="BOGOTA"/>
    <s v="110921"/>
    <s v="PS3148N"/>
    <s v="POWER SUPPLY NO DISPLAY -48VDC"/>
    <s v="6901455"/>
    <s v="10.1"/>
    <n v="9751369"/>
    <n v="1944579"/>
    <d v="2016-08-29T09:35:59"/>
    <m/>
    <x v="20"/>
    <d v="2016-08-29T00:00:00"/>
    <d v="2016-10-06T23:59:00"/>
    <m/>
    <n v="20"/>
    <n v="20"/>
    <n v="14940"/>
    <n v="14940"/>
    <s v="N204"/>
    <s v="NWK ACCESS TECH"/>
    <s v="ACCESS OTHER"/>
    <s v="OTHER AURORA"/>
    <s v="N204"/>
    <s v="AUR-STANDARD ORDER MIXED"/>
    <s v="A-SURFACE"/>
    <s v="OP"/>
    <n v="1238034"/>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r>
  <r>
    <s v="SJ2"/>
    <s v="5001170"/>
    <s v="TELMEX COLOMBIA S.A."/>
    <s v="161502"/>
    <s v="R015P68L3"/>
    <s v="SJ2_STAG"/>
    <s v="TELMEX COLOMBIA S.A."/>
    <s v="NIT 830.053.800-4 Sede Administrativa"/>
    <m/>
    <s v="BOGOTA"/>
    <s v="110921"/>
    <s v="PS3148D"/>
    <s v="POWER SUPPLY W/DISPLAY -48VDC"/>
    <s v="6901455"/>
    <s v="9.1"/>
    <n v="9751369"/>
    <n v="1944579"/>
    <d v="2016-08-29T09:35:59"/>
    <m/>
    <x v="20"/>
    <d v="2016-08-29T00:00:00"/>
    <d v="2016-10-06T23:59:00"/>
    <m/>
    <n v="20"/>
    <n v="20"/>
    <n v="16660"/>
    <n v="16660"/>
    <s v="N204"/>
    <s v="NWK ACCESS TECH"/>
    <s v="ACCESS OTHER"/>
    <s v="OTHER AURORA"/>
    <s v="N204"/>
    <s v="AUR-STANDARD ORDER MIXED"/>
    <s v="A-SURFACE"/>
    <s v="OP"/>
    <n v="1238034"/>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r>
  <r>
    <s v="SJ2"/>
    <s v="5001222"/>
    <s v="VTR"/>
    <s v="VTR.COM-PARINACOTA"/>
    <s v="R015P26L1"/>
    <s v="SJ2_FOB"/>
    <s v="VTR.COM SPA"/>
    <s v="PARINACOTA 401"/>
    <s v="SANTIAGO"/>
    <s v="QUILICURA"/>
    <m/>
    <s v="RS4002-00"/>
    <s v="COMBINER DUAL RETURN PATH PLUG"/>
    <s v="20111078"/>
    <s v="25.1"/>
    <n v="9751131"/>
    <n v="1944205"/>
    <d v="2016-09-14T13:32:52"/>
    <m/>
    <x v="21"/>
    <d v="2016-09-16T00:00:00"/>
    <d v="2016-10-06T23:59:00"/>
    <m/>
    <n v="16"/>
    <n v="16"/>
    <n v="295.2"/>
    <n v="295.2"/>
    <s v="N224"/>
    <s v="NWK ACCESS TECH"/>
    <s v="ACCESS OTHER"/>
    <s v="OTHER AURORA"/>
    <s v="N224"/>
    <s v="AS-STANDARD ORDER MIXED"/>
    <s v="A-OCEAN"/>
    <s v="OP"/>
    <n v="1237794"/>
    <s v="A-OCEAN"/>
    <m/>
    <m/>
    <m/>
    <s v="A-OCEAN"/>
    <s v="P2D"/>
    <s v="CIF"/>
    <s v="Prepaid"/>
    <m/>
    <m/>
    <s v="SHIP CIF PPD OCEAN TO (PORT) PUERTO CHILE VALPARAISO. CUSTOMERS BROKER IN CHILE-Agencia de aduanas Patricio Larranaga y Cia Limitada-Matias Cousino 150 Of 540 Santiago.Email-ccaqueo@plk.cl and jponce@plk.cl. PH:01156226766251 "/>
    <s v="Chile Free Trade Agreement Certificate of Origin (if apply) when sending documentation. IF SHIPPING WOOD PALLETS MUST INCLUDE STAMP FOR CERTIFICATION OF FUMIGATION"/>
    <m/>
  </r>
  <r>
    <s v="SJ2"/>
    <s v="5001222"/>
    <s v="VTR"/>
    <s v="VTR.COM-PARINACOTA"/>
    <s v="R015P44L4"/>
    <s v="SJ2_FOB"/>
    <s v="VTR.COM SPA"/>
    <s v="PARINACOTA 401"/>
    <s v="SANTIAGO"/>
    <s v="QUILICURA"/>
    <m/>
    <s v="DT4250N-50-00"/>
    <s v="DGTL XCVR ENH MULTI-MODES OF O"/>
    <s v="20111078"/>
    <s v="3.1"/>
    <n v="9751131"/>
    <n v="1944206"/>
    <d v="2016-09-14T13:32:52"/>
    <m/>
    <x v="21"/>
    <d v="2016-09-16T00:00:00"/>
    <d v="2016-10-06T23:59:00"/>
    <m/>
    <n v="8"/>
    <n v="8"/>
    <n v="2460"/>
    <n v="2460"/>
    <s v="N065"/>
    <s v="NWK ACCESS TECH"/>
    <s v="NODE"/>
    <s v="NODE MISC AURORA"/>
    <s v="N065"/>
    <s v="AS-STANDARD ORDER MIXED"/>
    <s v="A-OCEAN"/>
    <s v="OP"/>
    <n v="1237794"/>
    <s v="A-OCEAN"/>
    <m/>
    <m/>
    <m/>
    <s v="A-OCEAN"/>
    <s v="P2D"/>
    <s v="CIF"/>
    <s v="Prepaid"/>
    <m/>
    <m/>
    <s v="SHIP CIF PPD OCEAN TO (PORT) PUERTO CHILE VALPARAISO. CUSTOMERS BROKER IN CHILE-Agencia de aduanas Patricio Larranaga y Cia Limitada-Matias Cousino 150 Of 540 Santiago.Email-ccaqueo@plk.cl and jponce@plk.cl. PH:01156226766251 "/>
    <s v="Chile Free Trade Agreement Certificate of Origin (if apply) when sending documentation. IF SHIPPING WOOD PALLETS MUST INCLUDE STAMP FOR CERTIFICATION OF FUMIGATION"/>
    <m/>
  </r>
  <r>
    <s v="SJ2"/>
    <s v="5001222"/>
    <s v="VTR"/>
    <s v="VTR.COM-PARINACOTA"/>
    <s v="R016P16L2B01"/>
    <s v="SJ2_FOB"/>
    <s v="VTR.COM SPA"/>
    <s v="PARINACOTA 401"/>
    <s v="SANTIAGO"/>
    <s v="QUILICURA"/>
    <m/>
    <s v="AR4203G-AS"/>
    <s v="OPTICAL RECEIVER 51-1002MHz FW"/>
    <s v="20111078"/>
    <s v="30.1"/>
    <n v="9751131"/>
    <n v="1944205"/>
    <d v="2016-09-14T13:32:52"/>
    <m/>
    <x v="21"/>
    <d v="2016-09-16T00:00:00"/>
    <d v="2016-10-06T23:59:00"/>
    <m/>
    <n v="8"/>
    <n v="8"/>
    <n v="2952"/>
    <n v="2952"/>
    <s v="N222"/>
    <s v="NWK ACCESS TECH"/>
    <s v="HPON"/>
    <s v="VHUB AURORA"/>
    <s v="N222"/>
    <s v="AS-STANDARD ORDER MIXED"/>
    <s v="A-OCEAN"/>
    <s v="OP"/>
    <n v="1237794"/>
    <s v="A-OCEAN"/>
    <m/>
    <m/>
    <m/>
    <s v="A-OCEAN"/>
    <s v="P2D"/>
    <s v="CIF"/>
    <s v="Prepaid"/>
    <m/>
    <m/>
    <s v="SHIP CIF PPD OCEAN TO (PORT) PUERTO CHILE VALPARAISO. CUSTOMERS BROKER IN CHILE-Agencia de aduanas Patricio Larranaga y Cia Limitada-Matias Cousino 150 Of 540 Santiago.Email-ccaqueo@plk.cl and jponce@plk.cl. PH:01156226766251 "/>
    <s v="Chile Free Trade Agreement Certificate of Origin (if apply) when sending documentation. IF SHIPPING WOOD PALLETS MUST INCLUDE STAMP FOR CERTIFICATION OF FUMIGATION"/>
    <m/>
  </r>
  <r>
    <s v="SJ2"/>
    <s v="5001222"/>
    <s v="VTR"/>
    <s v="VTR.COM-PARINACOTA"/>
    <s v="R023P05L4"/>
    <s v="SJ2_FOB"/>
    <s v="VTR.COM SPA"/>
    <s v="PARINACOTA 401"/>
    <s v="SANTIAGO"/>
    <s v="QUILICURA"/>
    <m/>
    <s v="OP91S3S-EQ-N0-00"/>
    <s v="FIELD COUPLER 1X3 BAL N-CASE 0"/>
    <s v="20111078"/>
    <s v="43.1"/>
    <n v="9752651"/>
    <n v="1947463"/>
    <d v="2016-09-14T13:32:52"/>
    <m/>
    <x v="0"/>
    <d v="2016-09-16T00:00:00"/>
    <d v="2016-10-11T23:59:00"/>
    <m/>
    <n v="24"/>
    <n v="24"/>
    <n v="1820.4"/>
    <n v="1820.4"/>
    <s v="N156"/>
    <s v="NWK ACCESS TECH"/>
    <s v="ACCESS OTHER"/>
    <s v="OTHER AURORA"/>
    <s v="N156"/>
    <s v="AS-STANDARD ORDER MIXED"/>
    <s v="A-OCEAN"/>
    <s v="OP"/>
    <n v="1240808"/>
    <s v="A-OCEAN"/>
    <m/>
    <m/>
    <m/>
    <s v="A-OCEAN"/>
    <s v="P2D"/>
    <s v="CIF"/>
    <s v="Prepaid"/>
    <m/>
    <m/>
    <s v="SHIP CIF PPD OCEAN TO (PORT) PUERTO CHILE VALPARAISO. CUSTOMERS BROKER IN CHILE-Agencia de aduanas Patricio Larranaga y Cia Limitada-Matias Cousino 150 Of 540 Santiago.Email-ccaqueo@plk.cl and jponce@plk.cl. PH:01156226766251 "/>
    <s v="Chile Free Trade Agreement Certificate of Origin (if apply) when sending documentation. IF SHIPPING WOOD PALLETS MUST INCLUDE STAMP FOR CERTIFICATION OF FUMIGATION"/>
    <m/>
  </r>
  <r>
    <s v="SJ2"/>
    <s v="5001320"/>
    <s v="NATIONAL CABLE TELEVISION COOP"/>
    <s v="SUN LAKES3637"/>
    <s v="R015P19L2"/>
    <s v="SJ2_STAG"/>
    <s v="WESTERN BROADBAND LLC"/>
    <s v="9666 E RIGGS RD STE 108 (WES140)"/>
    <s v="AZ"/>
    <s v="SUN LAKES"/>
    <s v="85248-7403"/>
    <s v="CH3000N"/>
    <s v="CHASSIS NO COVERS 3RU"/>
    <s v="20116604"/>
    <s v="1.1"/>
    <n v="9753704"/>
    <n v="1950099"/>
    <d v="2016-10-13T08:32:26"/>
    <m/>
    <x v="22"/>
    <d v="2016-10-13T00:00:00"/>
    <d v="2016-10-13T23:59:00"/>
    <m/>
    <n v="1"/>
    <m/>
    <n v="247"/>
    <m/>
    <s v="N199"/>
    <s v="NWK ACCESS TECH"/>
    <s v="HEO"/>
    <s v="HEO MISC AURORA"/>
    <s v="N199"/>
    <s v="AS-STANDARD ORDER MIXED"/>
    <s v="A-SURFACE"/>
    <s v="OP"/>
    <n v="1242316"/>
    <s v="A-SURFACE"/>
    <m/>
    <m/>
    <m/>
    <s v="A-SURFACE"/>
    <s v="LTL"/>
    <s v="EXW"/>
    <s v="Prepay &amp; Add"/>
    <m/>
    <m/>
    <s v="JERRY SCULLAWL 480-895-8010"/>
    <m/>
    <m/>
  </r>
  <r>
    <s v="SJ2"/>
    <s v="5001320"/>
    <s v="NATIONAL CABLE TELEVISION COOP"/>
    <s v="SUN LAKES3637"/>
    <s v="R016P02L3B01"/>
    <s v="SJ2_STAG"/>
    <s v="WESTERN BROADBAND LLC"/>
    <s v="9666 E RIGGS RD STE 108 (WES140)"/>
    <s v="AZ"/>
    <s v="SUN LAKES"/>
    <s v="85248-7403"/>
    <s v="DR3450N-50-00"/>
    <s v="DIGITAL RECEIVER Q-RX 2.125GBP"/>
    <s v="20116604"/>
    <s v="11.1"/>
    <n v="9753704"/>
    <n v="1950099"/>
    <d v="2016-10-13T08:32:26"/>
    <m/>
    <x v="22"/>
    <d v="2016-10-13T00:00:00"/>
    <d v="2016-10-13T23:59:00"/>
    <m/>
    <n v="1"/>
    <m/>
    <n v="1235"/>
    <m/>
    <s v="N275"/>
    <s v="NWK ACCESS TECH"/>
    <s v="HEO"/>
    <s v="RECEIVERS AURORA"/>
    <s v="N275"/>
    <s v="AS-STANDARD ORDER MIXED"/>
    <s v="A-SURFACE"/>
    <s v="OP"/>
    <n v="1242316"/>
    <s v="A-SURFACE"/>
    <m/>
    <m/>
    <m/>
    <s v="A-SURFACE"/>
    <s v="LTL"/>
    <s v="EXW"/>
    <s v="Prepay &amp; Add"/>
    <m/>
    <m/>
    <s v="JERRY SCULLAWL 480-895-8010"/>
    <m/>
    <m/>
  </r>
  <r>
    <s v="SJ2"/>
    <s v="5001320"/>
    <s v="NATIONAL CABLE TELEVISION COOP"/>
    <s v="SUN LAKES3637"/>
    <s v="R015P43L5"/>
    <s v="SJ2_STAG"/>
    <s v="WESTERN BROADBAND LLC"/>
    <s v="9666 E RIGGS RD STE 108 (WES140)"/>
    <s v="AZ"/>
    <s v="SUN LAKES"/>
    <s v="85248-7403"/>
    <s v="NC4121S2A1-00000000"/>
    <s v="BASE NODE 5-42/51-1GHz JXP 1"/>
    <s v="20116604"/>
    <s v="13.1"/>
    <n v="9753704"/>
    <n v="1950099"/>
    <d v="2016-10-13T08:32:26"/>
    <m/>
    <x v="22"/>
    <d v="2016-10-13T00:00:00"/>
    <d v="2016-10-13T23:59:00"/>
    <m/>
    <n v="2"/>
    <m/>
    <n v="3310"/>
    <m/>
    <s v="N034"/>
    <s v="NWK ACCESS TECH"/>
    <s v="NODE"/>
    <s v="NC4000 AURORA"/>
    <s v="N034"/>
    <s v="AS-STANDARD ORDER MIXED"/>
    <s v="A-SURFACE"/>
    <s v="OP"/>
    <n v="1242316"/>
    <s v="A-SURFACE"/>
    <m/>
    <m/>
    <m/>
    <s v="A-SURFACE"/>
    <s v="LTL"/>
    <s v="EXW"/>
    <s v="Prepay &amp; Add"/>
    <m/>
    <m/>
    <s v="JERRY SCULLAWL 480-895-8010"/>
    <m/>
    <m/>
  </r>
  <r>
    <s v="SJ2"/>
    <s v="5001320"/>
    <s v="NATIONAL CABLE TELEVISION COOP"/>
    <s v="SUN LAKES3637"/>
    <s v="R016P16L2B01"/>
    <s v="SJ2_STAG"/>
    <s v="WESTERN BROADBAND LLC"/>
    <s v="9666 E RIGGS RD STE 108 (WES140)"/>
    <s v="AZ"/>
    <s v="SUN LAKES"/>
    <s v="85248-7403"/>
    <s v="AR4203G-AS"/>
    <s v="OPTICAL RECEIVER 51-1002MHz FW"/>
    <s v="20116604"/>
    <s v="14.1"/>
    <n v="9753704"/>
    <n v="1950099"/>
    <d v="2016-10-13T08:32:26"/>
    <m/>
    <x v="22"/>
    <d v="2016-10-13T00:00:00"/>
    <d v="2016-10-13T23:59:00"/>
    <m/>
    <n v="2"/>
    <m/>
    <n v="742"/>
    <m/>
    <s v="N222"/>
    <s v="NWK ACCESS TECH"/>
    <s v="HPON"/>
    <s v="VHUB AURORA"/>
    <s v="N222"/>
    <s v="AS-STANDARD ORDER MIXED"/>
    <s v="A-SURFACE"/>
    <s v="OP"/>
    <n v="1242316"/>
    <s v="A-SURFACE"/>
    <m/>
    <m/>
    <m/>
    <s v="A-SURFACE"/>
    <s v="LTL"/>
    <s v="EXW"/>
    <s v="Prepay &amp; Add"/>
    <m/>
    <m/>
    <s v="JERRY SCULLAWL 480-895-8010"/>
    <m/>
    <m/>
  </r>
  <r>
    <s v="SJ2"/>
    <s v="5001320"/>
    <s v="NATIONAL CABLE TELEVISION COOP"/>
    <s v="SUN LAKES3637"/>
    <s v="R016P05L1B02"/>
    <s v="SJ2_STAG"/>
    <s v="WESTERN BROADBAND LLC"/>
    <s v="9666 E RIGGS RD STE 108 (WES140)"/>
    <s v="AZ"/>
    <s v="SUN LAKES"/>
    <s v="85248-7403"/>
    <s v="DT4250N-50-00"/>
    <s v="DGTL XCVR ENH MULTI-MODES OF O"/>
    <s v="20116604"/>
    <s v="15.1"/>
    <n v="9753704"/>
    <n v="1950099"/>
    <d v="2016-10-13T08:32:26"/>
    <m/>
    <x v="22"/>
    <d v="2016-10-13T00:00:00"/>
    <d v="2016-10-13T23:59:00"/>
    <m/>
    <n v="2"/>
    <m/>
    <n v="618"/>
    <m/>
    <s v="N065"/>
    <s v="NWK ACCESS TECH"/>
    <s v="NODE"/>
    <s v="NODE MISC AURORA"/>
    <s v="N065"/>
    <s v="AS-STANDARD ORDER MIXED"/>
    <s v="A-SURFACE"/>
    <s v="OP"/>
    <n v="1242316"/>
    <s v="A-SURFACE"/>
    <m/>
    <m/>
    <m/>
    <s v="A-SURFACE"/>
    <s v="LTL"/>
    <s v="EXW"/>
    <s v="Prepay &amp; Add"/>
    <m/>
    <m/>
    <s v="JERRY SCULLAWL 480-895-8010"/>
    <m/>
    <m/>
  </r>
  <r>
    <s v="SJ2"/>
    <s v="5001320"/>
    <s v="NATIONAL CABLE TELEVISION COOP"/>
    <s v="SUN LAKES3637"/>
    <s v="R015P26L1"/>
    <s v="SJ2_STAG"/>
    <s v="WESTERN BROADBAND LLC"/>
    <s v="9666 E RIGGS RD STE 108 (WES140)"/>
    <s v="AZ"/>
    <s v="SUN LAKES"/>
    <s v="85248-7403"/>
    <s v="RS4002-00"/>
    <s v="COMBINER DUAL RETURN PATH PLUG"/>
    <s v="20116604"/>
    <s v="16.1"/>
    <n v="9753704"/>
    <n v="1950099"/>
    <d v="2016-10-13T08:32:26"/>
    <m/>
    <x v="22"/>
    <d v="2016-10-13T00:00:00"/>
    <d v="2016-10-13T23:59:00"/>
    <m/>
    <n v="2"/>
    <m/>
    <n v="38"/>
    <m/>
    <s v="N224"/>
    <s v="NWK ACCESS TECH"/>
    <s v="ACCESS OTHER"/>
    <s v="OTHER AURORA"/>
    <s v="N224"/>
    <s v="AS-STANDARD ORDER MIXED"/>
    <s v="A-SURFACE"/>
    <s v="OP"/>
    <n v="1242316"/>
    <s v="A-SURFACE"/>
    <m/>
    <m/>
    <m/>
    <s v="A-SURFACE"/>
    <s v="LTL"/>
    <s v="EXW"/>
    <s v="Prepay &amp; Add"/>
    <m/>
    <m/>
    <s v="JERRY SCULLAWL 480-895-8010"/>
    <m/>
    <m/>
  </r>
  <r>
    <s v="SJ2"/>
    <s v="5001320"/>
    <s v="NATIONAL CABLE TELEVISION COOP"/>
    <s v="SUN LAKES3637"/>
    <s v="R023P14L1"/>
    <s v="SJ2_STAG"/>
    <s v="WESTERN BROADBAND LLC"/>
    <s v="9666 E RIGGS RD STE 108 (WES140)"/>
    <s v="AZ"/>
    <s v="SUN LAKES"/>
    <s v="85248-7403"/>
    <s v="OP95D4-CF1-102-R2-AS"/>
    <s v="DEMUX DWDM 100GHZ 4 CH F-CASE"/>
    <s v="20116604"/>
    <s v="18.1"/>
    <n v="9753704"/>
    <n v="1950099"/>
    <d v="2016-10-13T08:32:26"/>
    <m/>
    <x v="22"/>
    <d v="2016-10-13T00:00:00"/>
    <d v="2016-10-13T23:59:00"/>
    <m/>
    <n v="2"/>
    <m/>
    <n v="1606"/>
    <m/>
    <s v="N160"/>
    <s v="NWK ACCESS TECH"/>
    <s v="OPTICAL PASSIVES"/>
    <s v="OUTDOOR PASSIVES AURORA"/>
    <s v="N160"/>
    <s v="AS-STANDARD ORDER MIXED"/>
    <s v="A-SURFACE"/>
    <s v="OP"/>
    <n v="1242316"/>
    <s v="A-SURFACE"/>
    <m/>
    <m/>
    <m/>
    <s v="A-SURFACE"/>
    <s v="LTL"/>
    <s v="EXW"/>
    <s v="Prepay &amp; Add"/>
    <m/>
    <m/>
    <s v="JERRY SCULLAWL 480-895-8010"/>
    <m/>
    <m/>
  </r>
  <r>
    <s v="SJ2"/>
    <s v="5001320"/>
    <s v="NATIONAL CABLE TELEVISION COOP"/>
    <s v="SUN LAKES3637"/>
    <s v="R015P68L1"/>
    <s v="SJ2_STAG"/>
    <s v="WESTERN BROADBAND LLC"/>
    <s v="9666 E RIGGS RD STE 108 (WES140)"/>
    <s v="AZ"/>
    <s v="SUN LAKES"/>
    <s v="85248-7403"/>
    <s v="CH3000U-FM-00"/>
    <s v="ADAPTER FIBER MGT FOR CH3000 C"/>
    <s v="20116604"/>
    <s v="2.1"/>
    <n v="9753704"/>
    <n v="1950100"/>
    <d v="2016-10-13T08:32:26"/>
    <m/>
    <x v="22"/>
    <d v="2016-10-13T00:00:00"/>
    <d v="2016-10-13T23:59:00"/>
    <m/>
    <n v="1"/>
    <m/>
    <n v="62"/>
    <m/>
    <s v="N199"/>
    <s v="NWK ACCESS TECH"/>
    <s v="HEO"/>
    <s v="HEO MISC AURORA"/>
    <s v="N199"/>
    <s v="AS-STANDARD ORDER MIXED"/>
    <s v="A-SURFACE"/>
    <s v="OP"/>
    <n v="1242316"/>
    <s v="A-SURFACE"/>
    <m/>
    <m/>
    <m/>
    <s v="A-SURFACE"/>
    <s v="LTL"/>
    <s v="EXW"/>
    <s v="Prepay &amp; Add"/>
    <m/>
    <m/>
    <s v="JERRY SCULLAWL 480-895-8010"/>
    <m/>
    <m/>
  </r>
  <r>
    <s v="SJ2"/>
    <s v="5001320"/>
    <s v="NATIONAL CABLE TELEVISION COOP"/>
    <s v="SUN LAKES3637"/>
    <s v="R023P04L1"/>
    <s v="SJ2_STAG"/>
    <s v="WESTERN BROADBAND LLC"/>
    <s v="9666 E RIGGS RD STE 108 (WES140)"/>
    <s v="AZ"/>
    <s v="SUN LAKES"/>
    <s v="85248-7403"/>
    <s v="TL3000-EJ-00"/>
    <s v="TOOL EXTRACTOR HANDLE CH3000"/>
    <s v="20116604"/>
    <s v="24.1"/>
    <n v="9753704"/>
    <n v="1950100"/>
    <d v="2016-10-13T08:32:26"/>
    <m/>
    <x v="22"/>
    <d v="2016-10-13T00:00:00"/>
    <d v="2016-10-13T23:59:00"/>
    <m/>
    <n v="1"/>
    <m/>
    <n v="7"/>
    <m/>
    <s v="N185"/>
    <s v="NWK ACCESS TECH"/>
    <s v="ACCESS OTHER"/>
    <s v="OTHER AURORA"/>
    <s v="N185"/>
    <s v="AS-STANDARD ORDER MIXED"/>
    <s v="A-SURFACE"/>
    <s v="OP"/>
    <n v="1242316"/>
    <s v="A-SURFACE"/>
    <m/>
    <m/>
    <m/>
    <s v="A-SURFACE"/>
    <s v="LTL"/>
    <s v="EXW"/>
    <s v="Prepay &amp; Add"/>
    <m/>
    <m/>
    <s v="JERRY SCULLAWL 480-895-8010"/>
    <m/>
    <m/>
  </r>
  <r>
    <s v="SJ2"/>
    <s v="5001320"/>
    <s v="NATIONAL CABLE TELEVISION COOP"/>
    <s v="SUN LAKES3637"/>
    <s v="R015P22L3"/>
    <s v="SJ2_STAG"/>
    <s v="WESTERN BROADBAND LLC"/>
    <s v="9666 E RIGGS RD STE 108 (WES140)"/>
    <s v="AZ"/>
    <s v="SUN LAKES"/>
    <s v="85248-7403"/>
    <s v="PS3005D"/>
    <s v="POWER SUPPLY 250W CE TUV W/DIS"/>
    <s v="20116604"/>
    <s v="3.1"/>
    <n v="9753704"/>
    <n v="1950100"/>
    <d v="2016-10-13T08:32:26"/>
    <m/>
    <x v="22"/>
    <d v="2016-10-13T00:00:00"/>
    <d v="2016-10-13T23:59:00"/>
    <m/>
    <n v="1"/>
    <m/>
    <n v="618"/>
    <m/>
    <s v="N204"/>
    <s v="NWK ACCESS TECH"/>
    <s v="ACCESS OTHER"/>
    <s v="OTHER AURORA"/>
    <s v="N204"/>
    <s v="AS-STANDARD ORDER MIXED"/>
    <s v="A-SURFACE"/>
    <s v="OP"/>
    <n v="1242316"/>
    <s v="A-SURFACE"/>
    <m/>
    <m/>
    <m/>
    <s v="A-SURFACE"/>
    <s v="LTL"/>
    <s v="EXW"/>
    <s v="Prepay &amp; Add"/>
    <m/>
    <m/>
    <s v="JERRY SCULLAWL 480-895-8010"/>
    <m/>
    <m/>
  </r>
  <r>
    <s v="SJ2"/>
    <s v="5001320"/>
    <s v="NATIONAL CABLE TELEVISION COOP"/>
    <s v="SUN LAKES3637"/>
    <s v="R015P64L2"/>
    <s v="SJ2_STAG"/>
    <s v="WESTERN BROADBAND LLC"/>
    <s v="9666 E RIGGS RD STE 108 (WES140)"/>
    <s v="AZ"/>
    <s v="SUN LAKES"/>
    <s v="85248-7403"/>
    <s v="PS3005N"/>
    <s v="POWER SUPPLY 250W CE TUV W/O D"/>
    <s v="20116604"/>
    <s v="4.1"/>
    <n v="9753704"/>
    <n v="1950100"/>
    <d v="2016-10-13T08:32:26"/>
    <m/>
    <x v="22"/>
    <d v="2016-10-13T00:00:00"/>
    <d v="2016-10-13T23:59:00"/>
    <m/>
    <n v="1"/>
    <m/>
    <n v="519"/>
    <m/>
    <s v="N204"/>
    <s v="NWK ACCESS TECH"/>
    <s v="ACCESS OTHER"/>
    <s v="OTHER AURORA"/>
    <s v="N204"/>
    <s v="AS-STANDARD ORDER MIXED"/>
    <s v="A-SURFACE"/>
    <s v="OP"/>
    <n v="1242316"/>
    <s v="A-SURFACE"/>
    <m/>
    <m/>
    <m/>
    <s v="A-SURFACE"/>
    <s v="LTL"/>
    <s v="EXW"/>
    <s v="Prepay &amp; Add"/>
    <m/>
    <m/>
    <s v="JERRY SCULLAWL 480-895-8010"/>
    <m/>
    <m/>
  </r>
  <r>
    <s v="SJ2"/>
    <s v="5001320"/>
    <s v="NATIONAL CABLE TELEVISION COOP"/>
    <s v="SUN LAKES3637"/>
    <s v="R015P02L1"/>
    <s v="SJ2_STAG"/>
    <s v="WESTERN BROADBAND LLC"/>
    <s v="9666 E RIGGS RD STE 108 (WES140)"/>
    <s v="AZ"/>
    <s v="SUN LAKES"/>
    <s v="85248-7403"/>
    <s v="BP3400C-00"/>
    <s v="BACKPLATE 4.25 GB/S 1-FER/2-FE"/>
    <s v="20116604"/>
    <s v="5.1"/>
    <n v="9753704"/>
    <n v="1950100"/>
    <d v="2016-10-13T08:32:26"/>
    <m/>
    <x v="22"/>
    <d v="2016-10-13T00:00:00"/>
    <d v="2016-10-13T23:59:00"/>
    <m/>
    <n v="1"/>
    <m/>
    <n v="494"/>
    <m/>
    <s v="N076"/>
    <s v="NWK ACCESS TECH"/>
    <s v="HEO"/>
    <s v="HEO MISC AURORA"/>
    <s v="N076"/>
    <s v="AS-STANDARD ORDER MIXED"/>
    <s v="A-SURFACE"/>
    <s v="OP"/>
    <n v="1242316"/>
    <s v="A-SURFACE"/>
    <m/>
    <m/>
    <m/>
    <s v="A-SURFACE"/>
    <s v="LTL"/>
    <s v="EXW"/>
    <s v="Prepay &amp; Add"/>
    <m/>
    <m/>
    <s v="JERRY SCULLAWL 480-895-8010"/>
    <m/>
    <m/>
  </r>
  <r>
    <s v="SJ2"/>
    <s v="5001320"/>
    <s v="NATIONAL CABLE TELEVISION COOP"/>
    <s v="SUN LAKES3637"/>
    <s v="R015P22L3"/>
    <s v="SJ2_STAG"/>
    <s v="WESTERN BROADBAND LLC"/>
    <s v="9666 E RIGGS RD STE 108 (WES140)"/>
    <s v="AZ"/>
    <s v="SUN LAKES"/>
    <s v="85248-7403"/>
    <s v="BP-35M4-CF1-1-002-AS"/>
    <s v="OPT MUX BP 100GHZ A2 ITU CH 20"/>
    <s v="20116604"/>
    <s v="6.1"/>
    <n v="9753704"/>
    <n v="1950099"/>
    <d v="2016-10-13T08:32:26"/>
    <m/>
    <x v="22"/>
    <d v="2016-10-13T00:00:00"/>
    <d v="2016-10-13T23:59:00"/>
    <m/>
    <n v="2"/>
    <m/>
    <n v="2198"/>
    <m/>
    <s v="N133"/>
    <s v="NWK ACCESS TECH"/>
    <s v="HEO"/>
    <s v="HEO MISC AURORA"/>
    <s v="N133"/>
    <s v="AS-STANDARD ORDER MIXED"/>
    <s v="A-SURFACE"/>
    <s v="OP"/>
    <n v="1242316"/>
    <s v="A-SURFACE"/>
    <m/>
    <m/>
    <m/>
    <s v="A-SURFACE"/>
    <s v="LTL"/>
    <s v="EXW"/>
    <s v="Prepay &amp; Add"/>
    <m/>
    <m/>
    <s v="JERRY SCULLAWL 480-895-8010"/>
    <m/>
    <m/>
  </r>
  <r>
    <s v="SJ2"/>
    <s v="5001320"/>
    <s v="NATIONAL CABLE TELEVISION COOP"/>
    <s v="SUN LAKES3637"/>
    <s v="REC1"/>
    <s v="SJ2_STAG"/>
    <s v="WESTERN BROADBAND LLC"/>
    <s v="9666 E RIGGS RD STE 108 (WES140)"/>
    <s v="AZ"/>
    <s v="SUN LAKES"/>
    <s v="85248-7403"/>
    <s v="CX3002"/>
    <s v="COMMUNICATIONS MODULE"/>
    <s v="20116604"/>
    <s v="7.1"/>
    <n v="9753704"/>
    <n v="1950100"/>
    <d v="2016-10-13T08:32:26"/>
    <m/>
    <x v="22"/>
    <d v="2016-10-13T00:00:00"/>
    <d v="2016-10-13T23:59:00"/>
    <m/>
    <n v="1"/>
    <m/>
    <n v="420"/>
    <m/>
    <s v="N080"/>
    <s v="NWK ACCESS TECH"/>
    <s v="HEO"/>
    <s v="HEO MISC AURORA"/>
    <s v="N080"/>
    <s v="AS-STANDARD ORDER MIXED"/>
    <s v="A-SURFACE"/>
    <s v="OP"/>
    <n v="1242316"/>
    <s v="A-SURFACE"/>
    <m/>
    <m/>
    <m/>
    <s v="A-SURFACE"/>
    <s v="LTL"/>
    <s v="EXW"/>
    <s v="Prepay &amp; Add"/>
    <m/>
    <m/>
    <s v="JERRY SCULLAWL 480-895-8010"/>
    <m/>
    <m/>
  </r>
  <r>
    <s v="SJ2"/>
    <s v="5001320"/>
    <s v="NATIONAL CABLE TELEVISION COOP"/>
    <s v="JUNEAU001"/>
    <s v="R016P37L2B02"/>
    <s v="SJ2_STAG"/>
    <s v="GENERAL COMMUNICATIONS - GCI"/>
    <s v="1759 Anka St"/>
    <s v="AK"/>
    <s v="Juneau"/>
    <s v="99801-9504"/>
    <s v="NOM3121A-42-3L"/>
    <s v="RF MOD NOM3121A-42 1GHZ NODE"/>
    <s v="20116700"/>
    <s v="1.1"/>
    <n v="9753747"/>
    <n v="1950151"/>
    <d v="2016-10-13T14:14:04"/>
    <m/>
    <x v="23"/>
    <d v="2016-10-13T00:00:00"/>
    <d v="2016-10-13T23:59:00"/>
    <m/>
    <n v="3"/>
    <m/>
    <n v="1140"/>
    <m/>
    <s v="N053"/>
    <s v="NWK ACCESS TECH"/>
    <s v="NODE"/>
    <s v="HLN3144 AURORA"/>
    <s v="N053"/>
    <s v="AS-STANDARD ORDER MIXED"/>
    <s v="A-SURFACE"/>
    <s v="OP"/>
    <n v="1242339"/>
    <s v="A-SURFACE"/>
    <m/>
    <m/>
    <m/>
    <s v="A-SURFACE"/>
    <s v="LTL"/>
    <s v="EXW"/>
    <s v="Prepay &amp; Add"/>
    <m/>
    <m/>
    <s v="MICHAEL HERBERT C/O JAN GOAD 907-868-7165"/>
    <m/>
    <m/>
  </r>
  <r>
    <s v="SJ2"/>
    <s v="5001320"/>
    <s v="NATIONAL CABLE TELEVISION COOP"/>
    <s v="HAGERSTOWN5354"/>
    <s v="R015P13L1"/>
    <s v="SJ2_STAG"/>
    <s v="ANTIETAM CABLE TELEVISION (ANT010)"/>
    <s v="1000 Willow Cir"/>
    <s v="MD"/>
    <s v="Hagerstown"/>
    <s v="21740-6829"/>
    <s v="MC2710B"/>
    <s v="MEDIA COMMUNICATIONS MODULE GE"/>
    <s v="20116742"/>
    <s v="3.1"/>
    <n v="9753796"/>
    <n v="1950225"/>
    <d v="2016-10-13T15:23:07"/>
    <m/>
    <x v="24"/>
    <d v="2016-10-13T00:00:00"/>
    <d v="2016-10-13T23:59:00"/>
    <m/>
    <n v="6"/>
    <m/>
    <n v="3750"/>
    <m/>
    <s v="N090"/>
    <s v="NWK ACCESS TECH"/>
    <s v="PON"/>
    <s v="ONU MISC AURORA"/>
    <s v="N090"/>
    <s v="AS-STANDARD ORDER MIXED"/>
    <s v="A-SURFACE"/>
    <s v="OP"/>
    <n v="1242370"/>
    <s v="A-SURFACE"/>
    <m/>
    <m/>
    <m/>
    <s v="A-SURFACE"/>
    <s v="LTL"/>
    <s v="EXW"/>
    <s v="Prepay &amp; Add"/>
    <m/>
    <m/>
    <s v="DONALD STONE 240-420-3654 (REAR DOCK AREA)"/>
    <m/>
    <m/>
  </r>
  <r>
    <s v="SJ2"/>
    <s v="5001320"/>
    <s v="NATIONAL CABLE TELEVISION COOP"/>
    <s v="166701"/>
    <s v="R015P37L1"/>
    <s v="SJ2_STAG"/>
    <s v="Wave Broadband"/>
    <s v="1031 Triangle Ct"/>
    <s v="CA"/>
    <s v="West Sacramento"/>
    <s v="95605"/>
    <s v="CP801TU-01-00"/>
    <s v="CPE RFOG SDU OBI FIXED 1610 5-"/>
    <s v="6900482"/>
    <s v="1.1"/>
    <n v="9752141"/>
    <n v="1946591"/>
    <d v="2016-07-05T00:00:00"/>
    <m/>
    <x v="7"/>
    <d v="2016-07-05T00:00:00"/>
    <d v="2016-10-12T23:59:00"/>
    <m/>
    <n v="3"/>
    <m/>
    <n v="822"/>
    <m/>
    <s v="N262"/>
    <s v="NWK ACCESS TECH"/>
    <s v="ACCESS OTHER"/>
    <s v="OTHER AURORA"/>
    <s v="N262"/>
    <s v="AUR-STANDARD ORDER MIXED"/>
    <s v="A-SURFACE"/>
    <s v="OP"/>
    <n v="1240131"/>
    <s v="A-SURFACE"/>
    <m/>
    <m/>
    <m/>
    <s v="A-SURFACE"/>
    <s v="LTL"/>
    <s v="EXW"/>
    <s v="Prepay &amp; Add"/>
    <m/>
    <m/>
    <m/>
    <m/>
    <m/>
  </r>
  <r>
    <s v="SJ2"/>
    <s v="5001414"/>
    <s v="CABLE LINK INC"/>
    <s v="163235"/>
    <s v="R023P05L4"/>
    <s v="SJ2_STAG"/>
    <s v="Cable Link Phillippines"/>
    <s v="8210 Dr. A Santos Ave Sucat"/>
    <s v=".."/>
    <s v="Paranaque City"/>
    <s v="1700"/>
    <s v="OP91S3S-EQ-N0-00"/>
    <s v="FIELD COUPLER 1X3 BAL N-CASE 0"/>
    <s v="6900585"/>
    <s v="20.1"/>
    <n v="9753703"/>
    <n v="1950076"/>
    <d v="2016-04-25T00:00:00"/>
    <m/>
    <x v="22"/>
    <d v="2016-09-23T00:00:00"/>
    <d v="2016-10-13T23:59:00"/>
    <m/>
    <n v="2"/>
    <m/>
    <n v="146"/>
    <m/>
    <s v="N156"/>
    <s v="NWK ACCESS TECH"/>
    <s v="ACCESS OTHER"/>
    <s v="OTHER AURORA"/>
    <s v="N156"/>
    <s v="AUR-STANDARD ORDER MIXED"/>
    <s v="A-SURFACE"/>
    <s v="OP"/>
    <n v="1242316"/>
    <s v="A-SURFACE"/>
    <m/>
    <m/>
    <m/>
    <s v="A-SURFACE"/>
    <s v="LTL"/>
    <s v="EXW"/>
    <s v="Collect"/>
    <m/>
    <m/>
    <s v="Contact freight forwarder for pick-up ; ACSI Transport; c/o Mr. Tom Gonzales ; 650-225-9040; ; F 650.225.9042 ; C 415.335.0759; T 650.225.9040 F 650.225.9042 ; C 415.335.0759 Email: acsi-sfo@acsitrans.com; Alt. Email: acsitrans@gmail.com;"/>
    <m/>
    <m/>
  </r>
  <r>
    <s v="SJ2"/>
    <s v="5001468"/>
    <s v="BUCKEYE CABLE"/>
    <s v="TOLEDO 4818"/>
    <s v="R023P09L2"/>
    <s v="SJ2_STAG"/>
    <s v="BUCKEYE CABLEVISION"/>
    <s v="4818 Angola Rd"/>
    <s v="OH"/>
    <s v="Toledo"/>
    <s v="43615-6411"/>
    <s v="FA3521H-00-AS"/>
    <s v="FBROPT AMPL SGL 21DBM GAIN FLA"/>
    <s v="20113079"/>
    <s v="11.1"/>
    <n v="9751667"/>
    <n v="1945369"/>
    <d v="2016-09-23T16:50:27"/>
    <m/>
    <x v="25"/>
    <d v="2016-09-23T00:00:00"/>
    <d v="2016-10-07T23:59:00"/>
    <m/>
    <n v="2"/>
    <m/>
    <n v="11700"/>
    <m/>
    <s v="N125"/>
    <s v="NWK ACCESS TECH"/>
    <s v="HEO"/>
    <s v="HEO MISC AURORA"/>
    <s v="EDFA"/>
    <s v="AS-STANDARD ORDER MIXED"/>
    <s v="A-SURFACE"/>
    <s v="OP"/>
    <n v="1238413"/>
    <s v="A-SURFACE"/>
    <m/>
    <m/>
    <m/>
    <s v="A-SURFACE"/>
    <s v="LTL"/>
    <s v="EXW"/>
    <s v="Prepay &amp; Add"/>
    <m/>
    <m/>
    <m/>
    <m/>
    <m/>
  </r>
  <r>
    <s v="SJ2"/>
    <s v="5001490"/>
    <s v="MEDIACOM"/>
    <s v="MOLINE (4507)"/>
    <s v="R023P03L3"/>
    <s v="SJ2_STAG"/>
    <s v="MEDIACOM COMMUNICTIONS CORP"/>
    <s v="4507 49th Ave"/>
    <s v="IL"/>
    <s v="Moline"/>
    <s v="61265-7578"/>
    <s v="AT3535G-20-1-AS"/>
    <s v="TRANSMITTER 1GHZ 80 QAM CHAN 2"/>
    <s v="20112586"/>
    <s v="1.1"/>
    <n v="9749787"/>
    <n v="1940876"/>
    <d v="2016-09-21T18:06:40"/>
    <m/>
    <x v="26"/>
    <d v="2016-09-23T00:00:00"/>
    <d v="2016-10-03T23:59:00"/>
    <m/>
    <n v="2"/>
    <n v="2"/>
    <n v="3456"/>
    <n v="3456"/>
    <s v="N004"/>
    <s v="NWK ACCESS TECH"/>
    <s v="HEO"/>
    <s v="TRANSMITTERS AURORA"/>
    <s v="N004"/>
    <s v="AS-STANDARD ORDER MIXED"/>
    <s v="A-SURFACE"/>
    <s v="OP"/>
    <n v="1236138"/>
    <s v="A-SURFACE"/>
    <m/>
    <m/>
    <m/>
    <s v="A-SURFACE"/>
    <s v="LTL"/>
    <s v="EXW"/>
    <s v="Collect"/>
    <m/>
    <m/>
    <s v="Parcel ships &lt;150 lbs use UPS #2E2866. LTL ships EM ECHO at mediacom@echo.com or call 312-488-2753"/>
    <m/>
    <m/>
  </r>
  <r>
    <s v="SJ2"/>
    <s v="5001490"/>
    <s v="MEDIACOM"/>
    <s v="URBANDALE1569"/>
    <s v="R023P03L3"/>
    <s v="SJ2_STAG"/>
    <s v="MEDIACOM"/>
    <s v="12060 Meredith Dr"/>
    <s v="IA"/>
    <s v="Urbandale"/>
    <s v="50323-1501"/>
    <s v="AT3535G-20-1-AS"/>
    <s v="TRANSMITTER 1GHZ 80 QAM CHAN 2"/>
    <s v="20113474"/>
    <s v="1.1"/>
    <n v="9749482"/>
    <n v="1939500"/>
    <d v="2016-09-26T16:23:38"/>
    <m/>
    <x v="27"/>
    <d v="2016-10-06T00:00:00"/>
    <d v="2016-10-03T23:59:00"/>
    <m/>
    <n v="2"/>
    <n v="2"/>
    <n v="3456"/>
    <n v="3456"/>
    <s v="N004"/>
    <s v="NWK ACCESS TECH"/>
    <s v="HEO"/>
    <s v="TRANSMITTERS AURORA"/>
    <s v="N004"/>
    <s v="AS-STANDARD ORDER MIXED"/>
    <s v="A-SURFACE"/>
    <s v="OP"/>
    <n v="1234822"/>
    <s v="A-SURFACE"/>
    <m/>
    <m/>
    <m/>
    <s v="A-SURFACE"/>
    <s v="LTL"/>
    <s v="EXW"/>
    <s v="Collect"/>
    <m/>
    <m/>
    <s v="Parcel ships &lt;150 lbs use UPS #2E2866. LTL ships EM ECHO at mediacom@echo.com or call 312-488-2753"/>
    <m/>
    <m/>
  </r>
  <r>
    <s v="SJ2"/>
    <s v="5001490"/>
    <s v="MEDIACOM"/>
    <s v="162040"/>
    <s v="R016P05L1B02"/>
    <s v="SJ2_STAG"/>
    <s v="MEDIACOM"/>
    <s v="1613 Nantahala Beach Rd"/>
    <s v="FL"/>
    <s v="Gulf Breeze"/>
    <s v="32563-8944"/>
    <s v="DT4250N-50-00"/>
    <s v="DGTL XCVR ENH MULTI-MODES OF O"/>
    <s v="6900517"/>
    <s v="10.1"/>
    <n v="9753792"/>
    <n v="1950196"/>
    <d v="2016-05-11T00:00:00"/>
    <m/>
    <x v="13"/>
    <d v="2016-05-11T00:00:00"/>
    <d v="2016-10-13T23:59:00"/>
    <m/>
    <n v="1"/>
    <m/>
    <n v="320"/>
    <m/>
    <s v="N065"/>
    <s v="NWK ACCESS TECH"/>
    <s v="NODE"/>
    <s v="NODE MISC AURORA"/>
    <s v="N065"/>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r>
  <r>
    <s v="SJ2"/>
    <s v="5001490"/>
    <s v="MEDIACOM"/>
    <s v="162040"/>
    <s v="R015P02L1"/>
    <s v="SJ2_STAG"/>
    <s v="MEDIACOM"/>
    <s v="1613 Nantahala Beach Rd"/>
    <s v="FL"/>
    <s v="Gulf Breeze"/>
    <s v="32563-8944"/>
    <s v="BP3400C-00"/>
    <s v="BACKPLATE 4.25 GB/S 1-FER/2-FE"/>
    <s v="6900517"/>
    <s v="13.1"/>
    <n v="9753792"/>
    <n v="1950205"/>
    <d v="2016-05-11T00:00:00"/>
    <m/>
    <x v="13"/>
    <d v="2016-05-11T00:00:00"/>
    <d v="2016-10-13T23:59:00"/>
    <m/>
    <n v="1"/>
    <m/>
    <n v="512"/>
    <m/>
    <s v="N076"/>
    <s v="NWK ACCESS TECH"/>
    <s v="HEO"/>
    <s v="HEO MISC AURORA"/>
    <s v="N076"/>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r>
  <r>
    <s v="SJ2"/>
    <s v="5001490"/>
    <s v="MEDIACOM"/>
    <s v="162040"/>
    <s v="R016P02L3B01"/>
    <s v="SJ2_STAG"/>
    <s v="MEDIACOM"/>
    <s v="1613 Nantahala Beach Rd"/>
    <s v="FL"/>
    <s v="Gulf Breeze"/>
    <s v="32563-8944"/>
    <s v="DR3450N-50-00"/>
    <s v="DIGITAL RECEIVER Q-RX 2.125GBP"/>
    <s v="6900517"/>
    <s v="14.1"/>
    <n v="9753792"/>
    <n v="1950196"/>
    <d v="2016-05-11T00:00:00"/>
    <m/>
    <x v="13"/>
    <d v="2016-05-11T00:00:00"/>
    <d v="2016-10-13T23:59:00"/>
    <m/>
    <n v="1"/>
    <m/>
    <n v="1280"/>
    <m/>
    <s v="N275"/>
    <s v="NWK ACCESS TECH"/>
    <s v="HEO"/>
    <s v="RECEIVERS AURORA"/>
    <s v="N275"/>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r>
  <r>
    <s v="SJ2"/>
    <s v="5001490"/>
    <s v="MEDIACOM"/>
    <s v="162040"/>
    <s v="R015P43L5"/>
    <s v="SJ2_STAG"/>
    <s v="MEDIACOM"/>
    <s v="1613 Nantahala Beach Rd"/>
    <s v="FL"/>
    <s v="Gulf Breeze"/>
    <s v="32563-8944"/>
    <s v="NC4121S2A1-00000000"/>
    <s v="BASE NODE 5-42/51-1GHz JXP 1"/>
    <s v="6900517"/>
    <s v="15.1"/>
    <n v="9753792"/>
    <n v="1950196"/>
    <d v="2016-05-11T00:00:00"/>
    <m/>
    <x v="13"/>
    <d v="2016-05-11T00:00:00"/>
    <d v="2016-10-13T23:59:00"/>
    <m/>
    <n v="1"/>
    <m/>
    <n v="1715"/>
    <m/>
    <s v="N034"/>
    <s v="NWK ACCESS TECH"/>
    <s v="NODE"/>
    <s v="NC4000 AURORA"/>
    <s v="N034"/>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r>
  <r>
    <s v="SJ2"/>
    <s v="5001490"/>
    <s v="MEDIACOM"/>
    <s v="162040"/>
    <s v="R015P26L1"/>
    <s v="SJ2_STAG"/>
    <s v="MEDIACOM"/>
    <s v="1613 Nantahala Beach Rd"/>
    <s v="FL"/>
    <s v="Gulf Breeze"/>
    <s v="32563-8944"/>
    <s v="RS4002-00"/>
    <s v="COMBINER DUAL RETURN PATH PLUG"/>
    <s v="6900517"/>
    <s v="2.1"/>
    <n v="9753792"/>
    <n v="1950196"/>
    <d v="2016-05-11T00:00:00"/>
    <m/>
    <x v="13"/>
    <d v="2016-05-11T00:00:00"/>
    <d v="2016-10-13T23:59:00"/>
    <m/>
    <n v="1"/>
    <m/>
    <n v="19"/>
    <m/>
    <s v="N224"/>
    <s v="NWK ACCESS TECH"/>
    <s v="ACCESS OTHER"/>
    <s v="OTHER AURORA"/>
    <s v="N224"/>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r>
  <r>
    <s v="SJ2"/>
    <s v="5001725"/>
    <s v="MIDCONTINENT COMMUNICATIONS"/>
    <s v="163909"/>
    <s v="R016P40L1B01"/>
    <s v="SJ2_STAG"/>
    <s v="Midcontinent Communications"/>
    <s v="2012 Great Northern Dr N"/>
    <s v="ND"/>
    <s v="Fargo"/>
    <s v="58102-3251"/>
    <s v="NC219A1HGE1-0000000"/>
    <s v="NODE 5-85MHZ RVS 102-1GHZ FWD"/>
    <s v="6900250"/>
    <s v="1.1"/>
    <n v="9752241"/>
    <n v="1946874"/>
    <d v="2016-06-14T00:00:00"/>
    <m/>
    <x v="28"/>
    <d v="2016-07-20T00:00:00"/>
    <d v="2016-10-10T23:59:00"/>
    <m/>
    <n v="5"/>
    <m/>
    <n v="5395"/>
    <m/>
    <s v="N276"/>
    <s v="NWK ACCESS TECH"/>
    <s v="NODE"/>
    <s v="NC2000 AURORA"/>
    <s v="N276"/>
    <s v="AUR-STANDARD ORDER MIXED"/>
    <s v="A-SURFACE"/>
    <s v="OP"/>
    <n v="1240376"/>
    <s v="A-SURFACE"/>
    <m/>
    <m/>
    <m/>
    <s v="A-SURFACE"/>
    <s v="LTL"/>
    <s v="EXW"/>
    <s v="Prepay &amp; Add"/>
    <m/>
    <m/>
    <m/>
    <m/>
    <m/>
  </r>
  <r>
    <s v="SJ2"/>
    <s v="5001725"/>
    <s v="MIDCONTINENT COMMUNICATIONS"/>
    <s v="163909"/>
    <s v="R016P38L1B01"/>
    <s v="SJ2_STAG"/>
    <s v="Midcontinent Communications"/>
    <s v="2012 Great Northern Dr N"/>
    <s v="ND"/>
    <s v="Fargo"/>
    <s v="58102-3251"/>
    <s v="NC219A1HGE1-0000000"/>
    <s v="NODE 5-85MHZ RVS 102-1GHZ FWD"/>
    <s v="6900250"/>
    <s v="1.1"/>
    <n v="9752241"/>
    <n v="1946874"/>
    <d v="2016-06-14T00:00:00"/>
    <m/>
    <x v="28"/>
    <d v="2016-07-20T00:00:00"/>
    <d v="2016-10-10T23:59:00"/>
    <m/>
    <n v="5"/>
    <m/>
    <n v="5395"/>
    <m/>
    <s v="N276"/>
    <s v="NWK ACCESS TECH"/>
    <s v="NODE"/>
    <s v="NC2000 AURORA"/>
    <s v="N276"/>
    <s v="AUR-STANDARD ORDER MIXED"/>
    <s v="A-SURFACE"/>
    <s v="OP"/>
    <n v="1240376"/>
    <s v="A-SURFACE"/>
    <m/>
    <m/>
    <m/>
    <s v="A-SURFACE"/>
    <s v="LTL"/>
    <s v="EXW"/>
    <s v="Prepay &amp; Add"/>
    <m/>
    <m/>
    <m/>
    <m/>
    <m/>
  </r>
  <r>
    <s v="SJ2"/>
    <s v="5001732"/>
    <s v="CABLE ONE"/>
    <s v="BOISE4953"/>
    <m/>
    <s v="SJ2_STAG"/>
    <s v="CABLE ONE"/>
    <s v="8400 W Westpark St"/>
    <s v="ID"/>
    <s v="Boise"/>
    <s v="83704-8365"/>
    <s v="OP15D40U-0-99-AS"/>
    <s v="OPT DEMUX 100GHZ CH 20-59 1RU"/>
    <s v="20109817"/>
    <s v="57.1"/>
    <n v="9752140"/>
    <n v="1946595"/>
    <d v="2016-09-07T19:04:21"/>
    <m/>
    <x v="7"/>
    <d v="2016-09-07T00:00:00"/>
    <d v="2016-10-12T23:59:00"/>
    <m/>
    <n v="2"/>
    <m/>
    <n v="16498"/>
    <m/>
    <s v="N157"/>
    <s v="NWK ACCESS TECH"/>
    <s v="OPTICAL PASSIVES"/>
    <s v="INDOOR PASSIVES AURORA"/>
    <s v="N157"/>
    <s v="AS-STANDARD ORDER MIXED"/>
    <s v="A-SURFACE"/>
    <s v="OP"/>
    <n v="1240131"/>
    <s v="A-SURFACE"/>
    <m/>
    <m/>
    <m/>
    <s v="A-SURFACE"/>
    <s v="LTL"/>
    <s v="EXW"/>
    <s v="Prepay &amp; Add"/>
    <m/>
    <m/>
    <m/>
    <m/>
    <m/>
  </r>
  <r>
    <s v="SJ2"/>
    <s v="5001732"/>
    <s v="CABLE ONE"/>
    <s v="BOISE4953"/>
    <s v="R023P11L2"/>
    <s v="SJ2_STAG"/>
    <s v="CABLE ONE"/>
    <s v="8400 W Westpark St"/>
    <s v="ID"/>
    <s v="Boise"/>
    <s v="83704-8365"/>
    <s v="BD35M4-A0T-H02F-3-AS"/>
    <s v="OPT MUX BD 100GHZ D ITU CH 52-"/>
    <s v="20109817"/>
    <s v="7.1"/>
    <n v="9752140"/>
    <n v="1946596"/>
    <d v="2016-09-07T19:04:21"/>
    <m/>
    <x v="7"/>
    <d v="2016-09-07T00:00:00"/>
    <d v="2016-10-12T23:59:00"/>
    <m/>
    <n v="2"/>
    <m/>
    <n v="4290"/>
    <m/>
    <s v="N258"/>
    <s v="NWK ACCESS TECH"/>
    <s v="HEO"/>
    <s v="TRANSMITTERS AURORA"/>
    <s v="HDTX"/>
    <s v="AS-STANDARD ORDER MIXED"/>
    <s v="A-SURFACE"/>
    <s v="OP"/>
    <n v="1240131"/>
    <s v="A-SURFACE"/>
    <m/>
    <m/>
    <m/>
    <s v="A-SURFACE"/>
    <s v="LTL"/>
    <s v="EXW"/>
    <s v="Prepay &amp; Add"/>
    <m/>
    <m/>
    <m/>
    <m/>
    <m/>
  </r>
  <r>
    <s v="SJ2"/>
    <s v="5001732"/>
    <s v="CABLE ONE"/>
    <s v="BOISE4953"/>
    <s v="R023P07L3"/>
    <s v="SJ2_STAG"/>
    <s v="CABLE ONE"/>
    <s v="8400 W Westpark St"/>
    <s v="ID"/>
    <s v="Boise"/>
    <s v="83704-8365"/>
    <s v="OP95D4-CF3-103-R1-00"/>
    <s v="DEMUX DWDM 100GHZ 4 CH 03 F-CA"/>
    <s v="20112588"/>
    <s v="10.1"/>
    <n v="9753812"/>
    <n v="1950264"/>
    <d v="2016-09-21T18:12:45"/>
    <m/>
    <x v="14"/>
    <d v="2016-09-21T00:00:00"/>
    <d v="2016-10-14T23:59:00"/>
    <m/>
    <n v="1"/>
    <m/>
    <n v="780"/>
    <m/>
    <s v="N160"/>
    <s v="NWK ACCESS TECH"/>
    <s v="OPTICAL PASSIVES"/>
    <s v="OUTDOOR PASSIVES AURORA"/>
    <s v="N160"/>
    <s v="AS-STANDARD ORDER MIXED"/>
    <s v="A-SURFACE"/>
    <s v="OP"/>
    <n v="1242390"/>
    <s v="A-SURFACE"/>
    <m/>
    <m/>
    <m/>
    <s v="A-SURFACE"/>
    <s v="LTL"/>
    <s v="EXW"/>
    <s v="Prepay &amp; Add"/>
    <m/>
    <m/>
    <m/>
    <m/>
    <m/>
  </r>
  <r>
    <s v="SJ2"/>
    <s v="5001732"/>
    <s v="CABLE ONE"/>
    <s v="PASCAGOULA4969"/>
    <s v="R015P68L1"/>
    <s v="SJ2_STAG"/>
    <s v="CABLE ONE"/>
    <s v="5100 Macphelah Rd"/>
    <s v="MS"/>
    <s v="Pascagoula"/>
    <s v="39567-1162"/>
    <s v="CH3000U-FM-00"/>
    <s v="ADAPTER FIBER MGT FOR CH3000 C"/>
    <s v="20115606"/>
    <s v="1.1"/>
    <n v="9751497"/>
    <n v="1944949"/>
    <d v="2016-10-06T18:14:26"/>
    <m/>
    <x v="29"/>
    <d v="2016-10-06T00:00:00"/>
    <d v="2016-10-06T23:59:00"/>
    <m/>
    <n v="1"/>
    <n v="1"/>
    <n v="65"/>
    <n v="65"/>
    <s v="N199"/>
    <s v="NWK ACCESS TECH"/>
    <s v="HEO"/>
    <s v="HEO MISC AURORA"/>
    <s v="N199"/>
    <s v="AS-STANDARD ORDER MIXED"/>
    <s v="A-SURFACE"/>
    <s v="OP"/>
    <n v="1238208"/>
    <s v="A-SURFACE"/>
    <m/>
    <m/>
    <m/>
    <s v="A-SURFACE"/>
    <s v="LTL"/>
    <s v="EXW"/>
    <s v="Prepay &amp; Add"/>
    <m/>
    <m/>
    <m/>
    <m/>
    <m/>
  </r>
  <r>
    <s v="SJ2"/>
    <s v="5001732"/>
    <s v="CABLE ONE"/>
    <s v="PASCAGOULA4969"/>
    <s v="R015P59L5"/>
    <s v="SJ2_STAG"/>
    <s v="CABLE ONE"/>
    <s v="5100 Macphelah Rd"/>
    <s v="MS"/>
    <s v="Pascagoula"/>
    <s v="39567-1162"/>
    <s v="CH3000U-FM-00"/>
    <s v="ADAPTER FIBER MGT FOR CH3000 C"/>
    <s v="20115606"/>
    <s v="1.1"/>
    <n v="9751497"/>
    <n v="1944949"/>
    <d v="2016-10-06T18:14:26"/>
    <m/>
    <x v="29"/>
    <d v="2016-10-06T00:00:00"/>
    <d v="2016-10-06T23:59:00"/>
    <m/>
    <n v="2"/>
    <n v="2"/>
    <n v="130"/>
    <n v="130"/>
    <s v="N199"/>
    <s v="NWK ACCESS TECH"/>
    <s v="HEO"/>
    <s v="HEO MISC AURORA"/>
    <s v="N199"/>
    <s v="AS-STANDARD ORDER MIXED"/>
    <s v="A-SURFACE"/>
    <s v="OP"/>
    <n v="1238208"/>
    <s v="A-SURFACE"/>
    <m/>
    <m/>
    <m/>
    <s v="A-SURFACE"/>
    <s v="LTL"/>
    <s v="EXW"/>
    <s v="Prepay &amp; Add"/>
    <m/>
    <m/>
    <m/>
    <m/>
    <m/>
  </r>
  <r>
    <s v="SJ2"/>
    <s v="5001732"/>
    <s v="CABLE ONE"/>
    <s v="PASCAGOULA4969"/>
    <s v="R016P12L3B01"/>
    <s v="SJ2_STAG"/>
    <s v="CABLE ONE"/>
    <s v="5100 Macphelah Rd"/>
    <s v="MS"/>
    <s v="Pascagoula"/>
    <s v="39567-1162"/>
    <s v="DR3450N-50-00"/>
    <s v="DIGITAL RECEIVER Q-RX 2.125GBP"/>
    <s v="20115606"/>
    <s v="11.1"/>
    <n v="9751497"/>
    <n v="1944950"/>
    <d v="2016-10-06T18:14:26"/>
    <m/>
    <x v="29"/>
    <d v="2016-10-06T00:00:00"/>
    <d v="2016-10-06T23:59:00"/>
    <m/>
    <n v="2"/>
    <n v="2"/>
    <n v="2600"/>
    <n v="2600"/>
    <s v="N275"/>
    <s v="NWK ACCESS TECH"/>
    <s v="HEO"/>
    <s v="RECEIVERS AURORA"/>
    <s v="N275"/>
    <s v="AS-STANDARD ORDER MIXED"/>
    <s v="A-SURFACE"/>
    <s v="OP"/>
    <n v="1238208"/>
    <s v="A-SURFACE"/>
    <m/>
    <m/>
    <m/>
    <s v="A-SURFACE"/>
    <s v="LTL"/>
    <s v="EXW"/>
    <s v="Prepay &amp; Add"/>
    <m/>
    <m/>
    <m/>
    <m/>
    <m/>
  </r>
  <r>
    <s v="SJ2"/>
    <s v="5001732"/>
    <s v="CABLE ONE"/>
    <s v="PASCAGOULA4969"/>
    <s v="R016P45L4B01"/>
    <s v="SJ2_STAG"/>
    <s v="CABLE ONE"/>
    <s v="5100 Macphelah Rd"/>
    <s v="MS"/>
    <s v="Pascagoula"/>
    <s v="39567-1162"/>
    <s v="NC4121S251-00000000"/>
    <s v="NODE 5-42/51-870MHz JXP 1X1 SE"/>
    <s v="20115606"/>
    <s v="13.1"/>
    <n v="9751497"/>
    <n v="1944950"/>
    <d v="2016-10-06T18:14:26"/>
    <m/>
    <x v="29"/>
    <d v="2016-10-06T00:00:00"/>
    <d v="2016-10-06T23:59:00"/>
    <m/>
    <n v="3"/>
    <n v="3"/>
    <n v="5226"/>
    <n v="5226"/>
    <s v="N034"/>
    <s v="NWK ACCESS TECH"/>
    <s v="NODE"/>
    <s v="NC4000 AURORA"/>
    <s v="N034"/>
    <s v="AS-STANDARD ORDER MIXED"/>
    <s v="A-SURFACE"/>
    <s v="OP"/>
    <n v="1238208"/>
    <s v="A-SURFACE"/>
    <m/>
    <m/>
    <m/>
    <s v="A-SURFACE"/>
    <s v="LTL"/>
    <s v="EXW"/>
    <s v="Prepay &amp; Add"/>
    <m/>
    <m/>
    <m/>
    <m/>
    <m/>
  </r>
  <r>
    <s v="SJ2"/>
    <s v="5001732"/>
    <s v="CABLE ONE"/>
    <s v="PASCAGOULA4969"/>
    <s v="R015P26L1"/>
    <s v="SJ2_STAG"/>
    <s v="CABLE ONE"/>
    <s v="5100 Macphelah Rd"/>
    <s v="MS"/>
    <s v="Pascagoula"/>
    <s v="39567-1162"/>
    <s v="RS4002-00"/>
    <s v="COMBINER DUAL RETURN PATH PLUG"/>
    <s v="20115606"/>
    <s v="17.1"/>
    <n v="9751497"/>
    <n v="1944950"/>
    <d v="2016-10-06T18:14:26"/>
    <m/>
    <x v="29"/>
    <d v="2016-10-06T00:00:00"/>
    <d v="2016-10-06T23:59:00"/>
    <m/>
    <n v="1"/>
    <n v="1"/>
    <n v="20"/>
    <n v="20"/>
    <s v="N224"/>
    <s v="NWK ACCESS TECH"/>
    <s v="ACCESS OTHER"/>
    <s v="OTHER AURORA"/>
    <s v="N224"/>
    <s v="AS-STANDARD ORDER MIXED"/>
    <s v="A-SURFACE"/>
    <s v="OP"/>
    <n v="1238208"/>
    <s v="A-SURFACE"/>
    <m/>
    <m/>
    <m/>
    <s v="A-SURFACE"/>
    <s v="LTL"/>
    <s v="EXW"/>
    <s v="Prepay &amp; Add"/>
    <m/>
    <m/>
    <m/>
    <m/>
    <m/>
  </r>
  <r>
    <s v="SJ2"/>
    <s v="5001732"/>
    <s v="CABLE ONE"/>
    <s v="PASCAGOULA4969"/>
    <s v="R016P41L1B02"/>
    <s v="SJ2_STAG"/>
    <s v="CABLE ONE"/>
    <s v="5100 Macphelah Rd"/>
    <s v="MS"/>
    <s v="Pascagoula"/>
    <s v="39567-1162"/>
    <s v="CH3000N"/>
    <s v="CHASSIS NO COVERS 3RU"/>
    <s v="20115606"/>
    <s v="2.1"/>
    <n v="9751497"/>
    <n v="1944949"/>
    <d v="2016-10-06T18:14:26"/>
    <m/>
    <x v="29"/>
    <d v="2016-10-06T00:00:00"/>
    <d v="2016-10-06T23:59:00"/>
    <m/>
    <n v="3"/>
    <n v="3"/>
    <n v="780"/>
    <n v="780"/>
    <s v="N199"/>
    <s v="NWK ACCESS TECH"/>
    <s v="HEO"/>
    <s v="HEO MISC AURORA"/>
    <s v="N199"/>
    <s v="AS-STANDARD ORDER MIXED"/>
    <s v="A-SURFACE"/>
    <s v="OP"/>
    <n v="1238208"/>
    <s v="A-SURFACE"/>
    <m/>
    <m/>
    <m/>
    <s v="A-SURFACE"/>
    <s v="LTL"/>
    <s v="EXW"/>
    <s v="Prepay &amp; Add"/>
    <m/>
    <m/>
    <m/>
    <m/>
    <m/>
  </r>
  <r>
    <s v="SJ2"/>
    <s v="5001732"/>
    <s v="CABLE ONE"/>
    <s v="PASCAGOULA4969"/>
    <s v="R023P04L1"/>
    <s v="SJ2_STAG"/>
    <s v="CABLE ONE"/>
    <s v="5100 Macphelah Rd"/>
    <s v="MS"/>
    <s v="Pascagoula"/>
    <s v="39567-1162"/>
    <s v="TL3000-EJ-00"/>
    <s v="TOOL EXTRACTOR HANDLE CH3000"/>
    <s v="20115606"/>
    <s v="23.1"/>
    <n v="9751497"/>
    <n v="1944950"/>
    <d v="2016-10-06T18:14:26"/>
    <m/>
    <x v="29"/>
    <d v="2016-10-06T00:00:00"/>
    <d v="2016-10-06T23:59:00"/>
    <m/>
    <n v="1"/>
    <n v="1"/>
    <n v="7"/>
    <n v="7"/>
    <s v="N185"/>
    <s v="NWK ACCESS TECH"/>
    <s v="ACCESS OTHER"/>
    <s v="OTHER AURORA"/>
    <s v="N185"/>
    <s v="AS-STANDARD ORDER MIXED"/>
    <s v="A-SURFACE"/>
    <s v="OP"/>
    <n v="1238208"/>
    <s v="A-SURFACE"/>
    <m/>
    <m/>
    <m/>
    <s v="A-SURFACE"/>
    <s v="LTL"/>
    <s v="EXW"/>
    <s v="Prepay &amp; Add"/>
    <m/>
    <m/>
    <m/>
    <m/>
    <m/>
  </r>
  <r>
    <s v="SJ2"/>
    <s v="5001732"/>
    <s v="CABLE ONE"/>
    <s v="PASCAGOULA4969"/>
    <s v="R016P39L1B01"/>
    <s v="SJ2_STAG"/>
    <s v="CABLE ONE"/>
    <s v="5100 Macphelah Rd"/>
    <s v="MS"/>
    <s v="Pascagoula"/>
    <s v="39567-1162"/>
    <s v="JC1508-AS-50"/>
    <s v="CABLE SERVICE 8 SC/APC 50FT"/>
    <s v="20115606"/>
    <s v="26.1"/>
    <n v="9751497"/>
    <n v="1944949"/>
    <d v="2016-10-06T18:14:26"/>
    <m/>
    <x v="29"/>
    <d v="2016-10-06T00:00:00"/>
    <d v="2016-10-06T23:59:00"/>
    <m/>
    <n v="3"/>
    <n v="3"/>
    <n v="702"/>
    <n v="702"/>
    <s v="N223"/>
    <s v="NWK ACCESS TECH"/>
    <s v="OPTICAL PASSIVES"/>
    <s v="INDOOR PASSIVES AURORA"/>
    <s v="N223"/>
    <s v="AS-STANDARD ORDER MIXED"/>
    <s v="A-SURFACE"/>
    <s v="OP"/>
    <n v="1238208"/>
    <s v="A-SURFACE"/>
    <m/>
    <m/>
    <m/>
    <s v="A-SURFACE"/>
    <s v="LTL"/>
    <s v="EXW"/>
    <s v="Prepay &amp; Add"/>
    <m/>
    <m/>
    <m/>
    <m/>
    <m/>
  </r>
  <r>
    <s v="SJ2"/>
    <s v="5001732"/>
    <s v="CABLE ONE"/>
    <s v="PASCAGOULA4969"/>
    <s v="R015P25L2"/>
    <s v="SJ2_STAG"/>
    <s v="CABLE ONE"/>
    <s v="5100 Macphelah Rd"/>
    <s v="MS"/>
    <s v="Pascagoula"/>
    <s v="39567-1162"/>
    <s v="PS3005D"/>
    <s v="POWER SUPPLY 250W CE TUV W/DIS"/>
    <s v="20115606"/>
    <s v="3.1"/>
    <n v="9751497"/>
    <n v="1944949"/>
    <d v="2016-10-06T18:14:26"/>
    <m/>
    <x v="29"/>
    <d v="2016-10-06T00:00:00"/>
    <d v="2016-10-06T23:59:00"/>
    <m/>
    <n v="3"/>
    <n v="3"/>
    <n v="1950"/>
    <n v="1950"/>
    <s v="N204"/>
    <s v="NWK ACCESS TECH"/>
    <s v="ACCESS OTHER"/>
    <s v="OTHER AURORA"/>
    <s v="N204"/>
    <s v="AS-STANDARD ORDER MIXED"/>
    <s v="A-SURFACE"/>
    <s v="OP"/>
    <n v="1238208"/>
    <s v="A-SURFACE"/>
    <m/>
    <m/>
    <m/>
    <s v="A-SURFACE"/>
    <s v="LTL"/>
    <s v="EXW"/>
    <s v="Prepay &amp; Add"/>
    <m/>
    <m/>
    <m/>
    <m/>
    <m/>
  </r>
  <r>
    <s v="SJ2"/>
    <s v="5001732"/>
    <s v="CABLE ONE"/>
    <s v="PASCAGOULA4969"/>
    <s v="R016P39L4B02"/>
    <s v="SJ2_STAG"/>
    <s v="CABLE ONE"/>
    <s v="5100 Macphelah Rd"/>
    <s v="MS"/>
    <s v="Pascagoula"/>
    <s v="39567-1162"/>
    <s v="PS3005N"/>
    <s v="POWER SUPPLY 250W CE TUV W/O D"/>
    <s v="20115606"/>
    <s v="4.1"/>
    <n v="9751497"/>
    <n v="1944949"/>
    <d v="2016-10-06T18:14:26"/>
    <m/>
    <x v="29"/>
    <d v="2016-10-06T00:00:00"/>
    <d v="2016-10-06T23:59:00"/>
    <m/>
    <n v="3"/>
    <n v="3"/>
    <n v="1638"/>
    <n v="1638"/>
    <s v="N204"/>
    <s v="NWK ACCESS TECH"/>
    <s v="ACCESS OTHER"/>
    <s v="OTHER AURORA"/>
    <s v="N204"/>
    <s v="AS-STANDARD ORDER MIXED"/>
    <s v="A-SURFACE"/>
    <s v="OP"/>
    <n v="1238208"/>
    <s v="A-SURFACE"/>
    <m/>
    <m/>
    <m/>
    <s v="A-SURFACE"/>
    <s v="LTL"/>
    <s v="EXW"/>
    <s v="Prepay &amp; Add"/>
    <m/>
    <m/>
    <m/>
    <m/>
    <m/>
  </r>
  <r>
    <s v="SJ2"/>
    <s v="5001732"/>
    <s v="CABLE ONE"/>
    <s v="KIRKSVILLE4963"/>
    <m/>
    <s v="SJ2_STAG"/>
    <s v="CABLE ONE"/>
    <s v="402 N Main St"/>
    <s v="MO"/>
    <s v="Kirksville"/>
    <s v="63501-2848"/>
    <s v="CH3000N"/>
    <s v="CHASSIS NO COVERS 3RU"/>
    <s v="20115702"/>
    <s v="1.1"/>
    <n v="9752369"/>
    <n v="1947050"/>
    <d v="2016-10-07T13:00:14"/>
    <m/>
    <x v="30"/>
    <d v="2016-10-07T00:00:00"/>
    <d v="2016-10-10T23:59:00"/>
    <m/>
    <n v="2"/>
    <n v="2"/>
    <n v="520"/>
    <n v="520"/>
    <s v="N199"/>
    <s v="NWK ACCESS TECH"/>
    <s v="HEO"/>
    <s v="HEO MISC AURORA"/>
    <s v="N199"/>
    <s v="AS-STANDARD ORDER MIXED"/>
    <s v="A-SURFACE"/>
    <s v="OP"/>
    <n v="1240502"/>
    <s v="A-SURFACE"/>
    <m/>
    <m/>
    <m/>
    <s v="A-SURFACE"/>
    <s v="LTL"/>
    <s v="EXW"/>
    <s v="Prepay &amp; Add"/>
    <m/>
    <m/>
    <m/>
    <m/>
    <m/>
  </r>
  <r>
    <s v="SJ2"/>
    <s v="5001732"/>
    <s v="CABLE ONE"/>
    <s v="KIRKSVILLE4963"/>
    <m/>
    <s v="SJ2_STAG"/>
    <s v="CABLE ONE"/>
    <s v="402 N Main St"/>
    <s v="MO"/>
    <s v="Kirksville"/>
    <m/>
    <s v="DR3450N-50-00"/>
    <s v="DIGITAL RECEIVER Q-RX 2.125GBP"/>
    <s v="20115702"/>
    <s v="14.1"/>
    <n v="9752369"/>
    <n v="1947050"/>
    <d v="2016-10-07T13:00:14"/>
    <s v=""/>
    <x v="30"/>
    <d v="2016-10-07T00:00:00"/>
    <d v="2016-10-10T23:59:00"/>
    <s v=""/>
    <n v="2"/>
    <n v="2"/>
    <n v="2600"/>
    <n v="2600"/>
    <s v="N275"/>
    <s v="NWK ACCESS TECH"/>
    <s v="HEO"/>
    <s v="RECEIVERS AURORA"/>
    <s v="N275"/>
    <s v="AS-STANDARD ORDER MIXED"/>
    <s v="A-SURFACE"/>
    <s v="OP"/>
    <n v="1240502"/>
    <s v="A-SURFACE"/>
    <m/>
    <m/>
    <m/>
    <s v="A-SURFACE"/>
    <s v="LTL"/>
    <s v="EXW"/>
    <s v="Prepay &amp; Add"/>
    <m/>
    <s v=""/>
    <s v=""/>
    <s v=""/>
    <m/>
  </r>
  <r>
    <s v="SJ2"/>
    <s v="5001732"/>
    <s v="CABLE ONE"/>
    <s v="KIRKSVILLE4963"/>
    <m/>
    <s v="SJ2_STAG"/>
    <s v="CABLE ONE"/>
    <s v="402 N Main St"/>
    <s v="MO"/>
    <s v="Kirksville"/>
    <m/>
    <s v="DR3450N-50-00"/>
    <s v="DIGITAL RECEIVER Q-RX 2.125GBP"/>
    <s v="20115702"/>
    <s v="14.1"/>
    <n v="9752369"/>
    <n v="1947051"/>
    <m/>
    <m/>
    <x v="31"/>
    <m/>
    <m/>
    <m/>
    <n v="3"/>
    <n v="3"/>
    <n v="3900"/>
    <n v="3900"/>
    <m/>
    <m/>
    <m/>
    <m/>
    <m/>
    <m/>
    <m/>
    <m/>
    <n v="1240502"/>
    <m/>
    <m/>
    <m/>
    <m/>
    <m/>
    <m/>
    <m/>
    <m/>
    <m/>
    <m/>
    <m/>
    <m/>
    <m/>
  </r>
  <r>
    <s v="SJ2"/>
    <s v="5001732"/>
    <s v="CABLE ONE"/>
    <s v="KIRKSVILLE4963"/>
    <m/>
    <s v="SJ2_STAG"/>
    <s v="CABLE ONE"/>
    <s v="402 N Main St"/>
    <s v="MO"/>
    <s v="Kirksville"/>
    <m/>
    <s v="NC4121S2A1-00000000"/>
    <s v="BASE NODE 5-42/51-1GHz JXP 1"/>
    <s v="20115702"/>
    <s v="16.1"/>
    <n v="9752369"/>
    <n v="1947051"/>
    <d v="2016-10-07T13:00:14"/>
    <m/>
    <x v="30"/>
    <d v="2016-10-07T00:00:00"/>
    <d v="2016-10-10T23:59:00"/>
    <m/>
    <n v="7"/>
    <n v="7"/>
    <n v="12194"/>
    <n v="12194"/>
    <s v="N034"/>
    <s v="NWK ACCESS TECH"/>
    <s v="NODE"/>
    <s v="NC4000 AURORA"/>
    <s v="N034"/>
    <s v="AS-STANDARD ORDER MIXED"/>
    <s v="A-SURFACE"/>
    <s v="OP"/>
    <n v="1240502"/>
    <s v="A-SURFACE"/>
    <m/>
    <m/>
    <m/>
    <s v="A-SURFACE"/>
    <s v="LTL"/>
    <s v="EXW"/>
    <s v="Prepay &amp; Add"/>
    <m/>
    <m/>
    <m/>
    <m/>
    <m/>
  </r>
  <r>
    <s v="SJ2"/>
    <s v="5001732"/>
    <s v="CABLE ONE"/>
    <s v="KIRKSVILLE4963"/>
    <m/>
    <s v="SJ2_STAG"/>
    <s v="CABLE ONE"/>
    <s v="402 N Main St"/>
    <s v="MO"/>
    <s v="Kirksville"/>
    <m/>
    <s v="AR4203G-AS"/>
    <s v="OPTICAL RECEIVER 51-1002MHz FW"/>
    <s v="20115702"/>
    <s v="17.1"/>
    <n v="9752369"/>
    <n v="1947050"/>
    <d v="2016-10-07T13:00:14"/>
    <m/>
    <x v="30"/>
    <d v="2016-10-07T00:00:00"/>
    <d v="2016-10-10T23:59:00"/>
    <m/>
    <n v="6"/>
    <n v="6"/>
    <n v="2340"/>
    <n v="2340"/>
    <s v="N222"/>
    <s v="NWK ACCESS TECH"/>
    <s v="HPON"/>
    <s v="VHUB AURORA"/>
    <s v="N222"/>
    <s v="AS-STANDARD ORDER MIXED"/>
    <s v="A-SURFACE"/>
    <s v="OP"/>
    <n v="1240502"/>
    <s v="A-SURFACE"/>
    <m/>
    <m/>
    <m/>
    <s v="A-SURFACE"/>
    <s v="LTL"/>
    <s v="EXW"/>
    <s v="Prepay &amp; Add"/>
    <m/>
    <m/>
    <m/>
    <m/>
    <m/>
  </r>
  <r>
    <s v="SJ2"/>
    <s v="5001732"/>
    <s v="CABLE ONE"/>
    <s v="KIRKSVILLE4963"/>
    <m/>
    <s v="SJ2_STAG"/>
    <s v="CABLE ONE"/>
    <s v="402 N Main St"/>
    <s v="MO"/>
    <s v="Kirksville"/>
    <m/>
    <s v="DT4250N-50-00"/>
    <s v="DGTL XCVR ENH MULTI-MODES OF O"/>
    <s v="20115702"/>
    <s v="18.1"/>
    <n v="9752369"/>
    <n v="1947050"/>
    <d v="2016-10-07T13:00:14"/>
    <m/>
    <x v="30"/>
    <d v="2016-10-07T00:00:00"/>
    <d v="2016-10-10T23:59:00"/>
    <m/>
    <n v="8"/>
    <n v="8"/>
    <n v="2600"/>
    <n v="2600"/>
    <s v="N065"/>
    <s v="NWK ACCESS TECH"/>
    <s v="NODE"/>
    <s v="NODE MISC AURORA"/>
    <s v="N065"/>
    <s v="AS-STANDARD ORDER MIXED"/>
    <s v="A-SURFACE"/>
    <s v="OP"/>
    <n v="1240502"/>
    <s v="A-SURFACE"/>
    <m/>
    <m/>
    <m/>
    <s v="A-SURFACE"/>
    <s v="LTL"/>
    <s v="EXW"/>
    <s v="Prepay &amp; Add"/>
    <m/>
    <m/>
    <m/>
    <m/>
    <m/>
  </r>
  <r>
    <s v="SJ2"/>
    <s v="5001732"/>
    <s v="CABLE ONE"/>
    <s v="KIRKSVILLE4963"/>
    <m/>
    <s v="SJ2_STAG"/>
    <s v="CABLE ONE"/>
    <s v="402 N Main St"/>
    <s v="MO"/>
    <s v="Kirksville"/>
    <m/>
    <s v="RS4002-00"/>
    <s v="COMBINER DUAL RETURN PATH PLUG"/>
    <s v="20115702"/>
    <s v="19.1"/>
    <n v="9752369"/>
    <n v="1947050"/>
    <d v="2016-10-07T13:00:14"/>
    <m/>
    <x v="30"/>
    <d v="2016-10-07T00:00:00"/>
    <d v="2016-10-10T23:59:00"/>
    <m/>
    <n v="7"/>
    <n v="7"/>
    <n v="140"/>
    <n v="140"/>
    <s v="N224"/>
    <s v="NWK ACCESS TECH"/>
    <s v="ACCESS OTHER"/>
    <s v="OTHER AURORA"/>
    <s v="N224"/>
    <s v="AS-STANDARD ORDER MIXED"/>
    <s v="A-SURFACE"/>
    <s v="OP"/>
    <n v="1240502"/>
    <s v="A-SURFACE"/>
    <m/>
    <m/>
    <m/>
    <s v="A-SURFACE"/>
    <s v="LTL"/>
    <s v="EXW"/>
    <s v="Prepay &amp; Add"/>
    <m/>
    <m/>
    <m/>
    <m/>
    <m/>
  </r>
  <r>
    <s v="SJ2"/>
    <s v="5001732"/>
    <s v="CABLE ONE"/>
    <s v="KIRKSVILLE4963"/>
    <m/>
    <s v="SJ2_STAG"/>
    <s v="CABLE ONE"/>
    <s v="402 N Main St"/>
    <s v="MO"/>
    <s v="Kirksville"/>
    <m/>
    <s v="CH3000U-FM-00"/>
    <s v="ADAPTER FIBER MGT FOR CH3000 C"/>
    <s v="20115702"/>
    <s v="2.1"/>
    <n v="9752369"/>
    <n v="1947050"/>
    <d v="2016-10-07T13:00:14"/>
    <m/>
    <x v="30"/>
    <d v="2016-10-07T00:00:00"/>
    <d v="2016-10-10T23:59:00"/>
    <m/>
    <n v="2"/>
    <n v="2"/>
    <n v="130"/>
    <n v="130"/>
    <s v="N199"/>
    <s v="NWK ACCESS TECH"/>
    <s v="HEO"/>
    <s v="HEO MISC AURORA"/>
    <s v="N199"/>
    <s v="AS-STANDARD ORDER MIXED"/>
    <s v="A-SURFACE"/>
    <s v="OP"/>
    <n v="1240502"/>
    <s v="A-SURFACE"/>
    <m/>
    <m/>
    <m/>
    <s v="A-SURFACE"/>
    <s v="LTL"/>
    <s v="EXW"/>
    <s v="Prepay &amp; Add"/>
    <m/>
    <m/>
    <m/>
    <m/>
    <m/>
  </r>
  <r>
    <s v="SJ2"/>
    <s v="5001732"/>
    <s v="CABLE ONE"/>
    <s v="KIRKSVILLE4963"/>
    <m/>
    <s v="SJ2_STAG"/>
    <s v="CABLE ONE"/>
    <s v="402 N Main St"/>
    <s v="MO"/>
    <s v="Kirksville"/>
    <m/>
    <s v="PS3005D"/>
    <s v="POWER SUPPLY 250W CE TUV W/DIS"/>
    <s v="20115702"/>
    <s v="3.1"/>
    <n v="9752369"/>
    <n v="1947050"/>
    <d v="2016-10-07T13:00:14"/>
    <m/>
    <x v="30"/>
    <d v="2016-10-07T00:00:00"/>
    <d v="2016-10-10T23:59:00"/>
    <m/>
    <n v="2"/>
    <n v="2"/>
    <n v="1300"/>
    <n v="1300"/>
    <s v="N204"/>
    <s v="NWK ACCESS TECH"/>
    <s v="ACCESS OTHER"/>
    <s v="OTHER AURORA"/>
    <s v="N204"/>
    <s v="AS-STANDARD ORDER MIXED"/>
    <s v="A-SURFACE"/>
    <s v="OP"/>
    <n v="1240502"/>
    <s v="A-SURFACE"/>
    <m/>
    <m/>
    <m/>
    <s v="A-SURFACE"/>
    <s v="LTL"/>
    <s v="EXW"/>
    <s v="Prepay &amp; Add"/>
    <m/>
    <m/>
    <m/>
    <m/>
    <m/>
  </r>
  <r>
    <s v="SJ2"/>
    <s v="5001732"/>
    <s v="CABLE ONE"/>
    <s v="KIRKSVILLE4963"/>
    <m/>
    <s v="SJ2_STAG"/>
    <s v="CABLE ONE"/>
    <s v="402 N Main St"/>
    <s v="MO"/>
    <s v="Kirksville"/>
    <m/>
    <s v="JC1508-AS-100"/>
    <s v="CABLE SERVICE 8 SC/APC 100FT"/>
    <s v="20115702"/>
    <s v="32.1"/>
    <n v="9752369"/>
    <n v="1947050"/>
    <d v="2016-10-07T13:00:14"/>
    <m/>
    <x v="30"/>
    <d v="2016-10-07T00:00:00"/>
    <d v="2016-10-10T23:59:00"/>
    <m/>
    <n v="7"/>
    <n v="7"/>
    <n v="2002"/>
    <n v="2002"/>
    <s v="N223"/>
    <s v="NWK ACCESS TECH"/>
    <s v="OPTICAL PASSIVES"/>
    <s v="INDOOR PASSIVES AURORA"/>
    <s v="N223"/>
    <s v="AS-STANDARD ORDER MIXED"/>
    <s v="A-SURFACE"/>
    <s v="OP"/>
    <n v="1240502"/>
    <s v="A-SURFACE"/>
    <m/>
    <m/>
    <m/>
    <s v="A-SURFACE"/>
    <s v="LTL"/>
    <s v="EXW"/>
    <s v="Prepay &amp; Add"/>
    <m/>
    <m/>
    <m/>
    <m/>
    <m/>
  </r>
  <r>
    <s v="SJ2"/>
    <s v="5001732"/>
    <s v="CABLE ONE"/>
    <s v="KIRKSVILLE4963"/>
    <m/>
    <s v="SJ2_STAG"/>
    <s v="CABLE ONE"/>
    <s v="402 N Main St"/>
    <s v="MO"/>
    <s v="Kirksville"/>
    <m/>
    <s v="PS3005N"/>
    <s v="POWER SUPPLY 250W CE TUV W/O D"/>
    <s v="20115702"/>
    <s v="4.1"/>
    <n v="9752369"/>
    <n v="1947050"/>
    <d v="2016-10-07T13:00:14"/>
    <s v=""/>
    <x v="30"/>
    <d v="2016-10-07T00:00:00"/>
    <d v="2016-10-10T23:59:00"/>
    <s v=""/>
    <n v="1"/>
    <n v="1"/>
    <n v="546"/>
    <n v="546"/>
    <s v="N204"/>
    <s v="NWK ACCESS TECH"/>
    <s v="ACCESS OTHER"/>
    <s v="OTHER AURORA"/>
    <s v="N204"/>
    <s v="AS-STANDARD ORDER MIXED"/>
    <s v="A-SURFACE"/>
    <s v="OP"/>
    <n v="1240502"/>
    <s v="A-SURFACE"/>
    <m/>
    <m/>
    <m/>
    <s v="A-SURFACE"/>
    <s v="LTL"/>
    <s v="EXW"/>
    <s v="Prepay &amp; Add"/>
    <m/>
    <s v=""/>
    <s v=""/>
    <s v=""/>
    <m/>
  </r>
  <r>
    <s v="SJ2"/>
    <s v="5001732"/>
    <s v="CABLE ONE"/>
    <s v="KIRKSVILLE4963"/>
    <m/>
    <s v="SJ2_STAG"/>
    <s v="CABLE ONE"/>
    <s v="402 N Main St"/>
    <s v="MO"/>
    <s v="Kirksville"/>
    <m/>
    <s v="PS3005N"/>
    <s v="POWER SUPPLY 250W CE TUV W/O D"/>
    <s v="20115702"/>
    <s v="4.1"/>
    <n v="9752369"/>
    <n v="1947050"/>
    <m/>
    <m/>
    <x v="31"/>
    <m/>
    <m/>
    <m/>
    <n v="1"/>
    <n v="1"/>
    <n v="546"/>
    <n v="546"/>
    <m/>
    <m/>
    <m/>
    <m/>
    <m/>
    <m/>
    <m/>
    <m/>
    <n v="1240502"/>
    <m/>
    <m/>
    <m/>
    <m/>
    <m/>
    <m/>
    <m/>
    <m/>
    <m/>
    <m/>
    <m/>
    <m/>
    <m/>
  </r>
  <r>
    <s v="SJ2"/>
    <s v="5001732"/>
    <s v="CABLE ONE"/>
    <s v="FARGO4970"/>
    <s v="R015P11L3"/>
    <s v="SJ2_STAG"/>
    <s v="CABLE ONE"/>
    <s v="1024 Page Dr S"/>
    <s v="ND"/>
    <s v="Fargo"/>
    <s v="58103-2336"/>
    <s v="NC4111H3H9-00000000"/>
    <s v="NODE FD 2x2 5-45/54-1GHz UHG A"/>
    <s v="20116096"/>
    <s v="11.1"/>
    <n v="9752358"/>
    <n v="1947024"/>
    <d v="2016-10-10T13:49:54"/>
    <m/>
    <x v="32"/>
    <d v="2016-10-10T00:00:00"/>
    <d v="2016-10-10T23:59:00"/>
    <m/>
    <n v="2"/>
    <m/>
    <n v="3900"/>
    <m/>
    <s v="N032"/>
    <s v="NWK ACCESS TECH"/>
    <s v="NODE"/>
    <s v="NC4000 AURORA"/>
    <s v="N032"/>
    <s v="AS-STANDARD ORDER MIXED"/>
    <s v="A-SURFACE"/>
    <s v="OP"/>
    <n v="1240476"/>
    <s v="A-SURFACE"/>
    <m/>
    <m/>
    <m/>
    <s v="A-SURFACE"/>
    <s v="LTL"/>
    <s v="EXW"/>
    <s v="Prepay &amp; Add"/>
    <m/>
    <m/>
    <m/>
    <m/>
    <m/>
  </r>
  <r>
    <s v="SJ2"/>
    <s v="5001732"/>
    <s v="CABLE ONE"/>
    <s v="FARGO4970"/>
    <s v="R016P18L2B01"/>
    <s v="SJ2_STAG"/>
    <s v="CABLE ONE"/>
    <s v="1024 Page Dr S"/>
    <s v="ND"/>
    <s v="Fargo"/>
    <s v="58103-2336"/>
    <s v="AR4003G-AS"/>
    <s v="OPTICAL RECEIVER 54-1002MHz FW"/>
    <s v="20116096"/>
    <s v="12.1"/>
    <n v="9752358"/>
    <n v="1947024"/>
    <d v="2016-10-10T13:49:54"/>
    <m/>
    <x v="32"/>
    <d v="2016-10-10T00:00:00"/>
    <d v="2016-10-10T23:59:00"/>
    <m/>
    <n v="1"/>
    <m/>
    <n v="390"/>
    <m/>
    <s v="N222"/>
    <s v="NWK ACCESS TECH"/>
    <s v="HPON"/>
    <s v="VHUB AURORA"/>
    <s v="N222"/>
    <s v="AS-STANDARD ORDER MIXED"/>
    <s v="A-SURFACE"/>
    <s v="OP"/>
    <n v="1240476"/>
    <s v="A-SURFACE"/>
    <m/>
    <m/>
    <m/>
    <s v="A-SURFACE"/>
    <s v="LTL"/>
    <s v="EXW"/>
    <s v="Prepay &amp; Add"/>
    <m/>
    <m/>
    <m/>
    <m/>
    <m/>
  </r>
  <r>
    <s v="SJ2"/>
    <s v="5001732"/>
    <s v="CABLE ONE"/>
    <s v="FARGO4970"/>
    <s v="R015P44L4"/>
    <s v="SJ2_STAG"/>
    <s v="CABLE ONE"/>
    <s v="1024 Page Dr S"/>
    <s v="ND"/>
    <s v="Fargo"/>
    <s v="58103-2336"/>
    <s v="DT4250N-50-00"/>
    <s v="DGTL XCVR ENH MULTI-MODES OF O"/>
    <s v="20116096"/>
    <s v="13.1"/>
    <n v="9752358"/>
    <n v="1947023"/>
    <d v="2016-10-10T13:49:54"/>
    <m/>
    <x v="32"/>
    <d v="2016-10-10T00:00:00"/>
    <d v="2016-10-10T23:59:00"/>
    <m/>
    <n v="1"/>
    <m/>
    <n v="325"/>
    <m/>
    <s v="N065"/>
    <s v="NWK ACCESS TECH"/>
    <s v="NODE"/>
    <s v="NODE MISC AURORA"/>
    <s v="N065"/>
    <s v="AS-STANDARD ORDER MIXED"/>
    <s v="A-SURFACE"/>
    <s v="OP"/>
    <n v="1240476"/>
    <s v="A-SURFACE"/>
    <m/>
    <m/>
    <m/>
    <s v="A-SURFACE"/>
    <s v="LTL"/>
    <s v="EXW"/>
    <s v="Prepay &amp; Add"/>
    <m/>
    <m/>
    <m/>
    <m/>
    <m/>
  </r>
  <r>
    <s v="SJ2"/>
    <s v="5001732"/>
    <s v="CABLE ONE"/>
    <s v="FARGO4970"/>
    <s v="R023P11L5"/>
    <s v="SJ2_STAG"/>
    <s v="CABLE ONE"/>
    <s v="1024 Page Dr S"/>
    <s v="ND"/>
    <s v="Fargo"/>
    <s v="58103-2336"/>
    <s v="HT3541H-D-A510-2-AS"/>
    <s v="XMTR DD 1.2GHZ FULL SPECTRUM 3"/>
    <s v="20116096"/>
    <s v="5.1"/>
    <n v="9752358"/>
    <n v="1947023"/>
    <d v="2016-10-10T13:49:54"/>
    <m/>
    <x v="32"/>
    <d v="2016-10-10T00:00:00"/>
    <d v="2016-10-10T23:59:00"/>
    <m/>
    <n v="1"/>
    <m/>
    <n v="2080"/>
    <m/>
    <s v="HE64"/>
    <s v="NWK ACCESS TECH"/>
    <s v="HEO"/>
    <s v="TRANSMITTER"/>
    <s v="HT"/>
    <s v="AS-STANDARD ORDER MIXED"/>
    <s v="A-SURFACE"/>
    <s v="OP"/>
    <n v="1240476"/>
    <s v="A-SURFACE"/>
    <m/>
    <m/>
    <m/>
    <s v="A-SURFACE"/>
    <s v="LTL"/>
    <s v="EXW"/>
    <s v="Prepay &amp; Add"/>
    <m/>
    <m/>
    <m/>
    <m/>
    <m/>
  </r>
  <r>
    <s v="SJ2"/>
    <s v="5001732"/>
    <s v="CABLE ONE"/>
    <s v="163311"/>
    <s v="R023P04L3"/>
    <s v="SJ2_STAG"/>
    <s v="CableONE"/>
    <s v="1341 E Thornton Rd"/>
    <s v="AZ"/>
    <s v="Show Low"/>
    <s v="85901-3829"/>
    <s v="OP95D4-CF3-100-R2-AS"/>
    <s v="DEMUX DWDM 100GHZ 4 CH F-CASE"/>
    <s v="6901044"/>
    <s v="85.2"/>
    <n v="9753746"/>
    <n v="1950127"/>
    <d v="2016-07-25T00:00:00"/>
    <m/>
    <x v="12"/>
    <d v="2016-07-25T00:00:00"/>
    <d v="2016-10-13T23:59:00"/>
    <m/>
    <n v="2"/>
    <m/>
    <n v="1690"/>
    <m/>
    <s v="N160"/>
    <s v="NWK ACCESS TECH"/>
    <s v="OPTICAL PASSIVES"/>
    <s v="OUTDOOR PASSIVES AURORA"/>
    <s v="N160"/>
    <s v="AUR-STANDARD ORDER MIXED"/>
    <s v="A-SURFACE"/>
    <s v="OP"/>
    <n v="1242339"/>
    <s v="A-SURFACE"/>
    <m/>
    <m/>
    <m/>
    <s v="A-SURFACE"/>
    <s v="LTL"/>
    <s v="EXW"/>
    <s v="Prepay &amp; Add"/>
    <m/>
    <m/>
    <m/>
    <m/>
    <m/>
  </r>
  <r>
    <s v="SJ2"/>
    <s v="5002156"/>
    <s v="LIBERTY CABLEVISION OF PUERTO RICO, INC."/>
    <s v="SAN JUAN 1"/>
    <s v="R016P02L3B01"/>
    <s v="SJ2_STAG"/>
    <s v="LIBERTY CABLEVISION OF PUERTO RICO LLC"/>
    <s v="URB IND TRES MONJITAS"/>
    <s v="PUERTO RICO"/>
    <s v="SAN JUAN"/>
    <s v="00918"/>
    <s v="DR3450N-50-00"/>
    <s v="DIGITAL RECEIVER Q-RX 2.125GBP"/>
    <s v="20114932"/>
    <s v="11.1"/>
    <n v="9753795"/>
    <n v="1950219"/>
    <d v="2016-10-04T13:56:09"/>
    <m/>
    <x v="24"/>
    <d v="2016-10-06T00:00:00"/>
    <d v="2016-10-11T23:59:00"/>
    <m/>
    <n v="17"/>
    <m/>
    <n v="20400"/>
    <m/>
    <s v="N275"/>
    <s v="NWK ACCESS TECH"/>
    <s v="HEO"/>
    <s v="RECEIVERS AURORA"/>
    <s v="N275"/>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23P11L4"/>
    <s v="SJ2_STAG"/>
    <s v="LIBERTY CABLEVISION OF PUERTO RICO LLC"/>
    <s v="URB IND TRES MONJITAS"/>
    <s v="PUERTO RICO"/>
    <s v="SAN JUAN"/>
    <s v="00918"/>
    <s v="HT3541H-D-A290-2-AS"/>
    <s v="XMTR DD 1.2GHZ FULL SPECTRUM 3"/>
    <s v="20114932"/>
    <s v="14.1"/>
    <n v="9753795"/>
    <n v="1950211"/>
    <d v="2016-10-04T13:56:09"/>
    <m/>
    <x v="24"/>
    <d v="2016-10-06T00:00:00"/>
    <d v="2016-10-11T23:59:00"/>
    <m/>
    <n v="7"/>
    <m/>
    <n v="9520"/>
    <m/>
    <s v="HE64"/>
    <s v="NWK ACCESS TECH"/>
    <s v="HEO"/>
    <s v="TRANSMITTER"/>
    <s v="HT"/>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68L1"/>
    <s v="SJ2_STAG"/>
    <s v="LIBERTY CABLEVISION OF PUERTO RICO LLC"/>
    <s v="URB IND TRES MONJITAS"/>
    <s v="PUERTO RICO"/>
    <s v="SAN JUAN"/>
    <s v="00918"/>
    <s v="CH3000U-FM-00"/>
    <s v="ADAPTER FIBER MGT FOR CH3000 C"/>
    <s v="20114932"/>
    <s v="17.1"/>
    <n v="9753795"/>
    <n v="1950211"/>
    <d v="2016-10-04T13:56:09"/>
    <m/>
    <x v="24"/>
    <d v="2016-10-06T00:00:00"/>
    <d v="2016-10-11T23:59:00"/>
    <m/>
    <n v="4"/>
    <m/>
    <n v="260"/>
    <m/>
    <s v="N199"/>
    <s v="NWK ACCESS TECH"/>
    <s v="HEO"/>
    <s v="HEO MISC AURORA"/>
    <s v="N199"/>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64L2"/>
    <s v="SJ2_STAG"/>
    <s v="LIBERTY CABLEVISION OF PUERTO RICO LLC"/>
    <s v="URB IND TRES MONJITAS"/>
    <s v="PUERTO RICO"/>
    <s v="SAN JUAN"/>
    <s v="00918"/>
    <s v="PS3005N"/>
    <s v="POWER SUPPLY 250W CE TUV W/O D"/>
    <s v="20114932"/>
    <s v="18.1"/>
    <n v="9753795"/>
    <n v="1950211"/>
    <d v="2016-10-04T13:56:09"/>
    <m/>
    <x v="24"/>
    <d v="2016-10-06T00:00:00"/>
    <d v="2016-10-11T23:59:00"/>
    <m/>
    <n v="5"/>
    <m/>
    <n v="2455"/>
    <m/>
    <s v="N204"/>
    <s v="NWK ACCESS TECH"/>
    <s v="ACCESS OTHER"/>
    <s v="OTHER AURORA"/>
    <s v="N20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22L3"/>
    <s v="SJ2_STAG"/>
    <s v="LIBERTY CABLEVISION OF PUERTO RICO LLC"/>
    <s v="URB IND TRES MONJITAS"/>
    <s v="PUERTO RICO"/>
    <s v="SAN JUAN"/>
    <s v="00918"/>
    <s v="PS3005D"/>
    <s v="POWER SUPPLY 250W CE TUV W/DIS"/>
    <s v="20114932"/>
    <s v="2.1"/>
    <n v="9753795"/>
    <n v="1950211"/>
    <d v="2016-10-04T13:56:09"/>
    <m/>
    <x v="24"/>
    <d v="2016-10-06T00:00:00"/>
    <d v="2016-10-11T23:59:00"/>
    <m/>
    <n v="5"/>
    <m/>
    <n v="2925"/>
    <m/>
    <s v="N204"/>
    <s v="NWK ACCESS TECH"/>
    <s v="ACCESS OTHER"/>
    <s v="OTHER AURORA"/>
    <s v="N20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24P03L1B01"/>
    <s v="SJ2_STAG"/>
    <s v="LIBERTY CABLEVISION OF PUERTO RICO LLC"/>
    <s v="URB IND TRES MONJITAS"/>
    <s v="PUERTO RICO"/>
    <s v="SAN JUAN"/>
    <s v="00918"/>
    <s v="BD31A4-100-H12F-0-AS"/>
    <s v="OPT PASSTHRU BD 4 XMTR 4 BC 4"/>
    <s v="20114932"/>
    <s v="21.1"/>
    <n v="9753795"/>
    <n v="1950211"/>
    <d v="2016-10-04T13:56:09"/>
    <m/>
    <x v="24"/>
    <d v="2016-10-06T00:00:00"/>
    <d v="2016-10-11T23:59:00"/>
    <m/>
    <n v="7"/>
    <m/>
    <n v="4256"/>
    <m/>
    <s v="N258"/>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23P04L2"/>
    <s v="SJ2_STAG"/>
    <s v="LIBERTY CABLEVISION OF PUERTO RICO LLC"/>
    <s v="URB IND TRES MONJITAS"/>
    <s v="PUERTO RICO"/>
    <s v="SAN JUAN"/>
    <s v="00918"/>
    <s v="HT3541H-D-A200-2-AS"/>
    <s v="XMTR DD 1.2GHZ FULL SPECTRUM 3"/>
    <s v="20114932"/>
    <s v="22.1"/>
    <n v="9753795"/>
    <n v="1950211"/>
    <d v="2016-10-04T13:56:09"/>
    <m/>
    <x v="24"/>
    <d v="2016-10-06T00:00:00"/>
    <d v="2016-10-11T23:59:00"/>
    <m/>
    <n v="7"/>
    <m/>
    <n v="9520"/>
    <m/>
    <s v="HE64"/>
    <s v="NWK ACCESS TECH"/>
    <s v="HEO"/>
    <s v="TRANSMITTER"/>
    <s v="HT"/>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6P85L3"/>
    <s v="SJ2_STAG"/>
    <s v="LIBERTY CABLEVISION OF PUERTO RICO LLC"/>
    <s v="URB IND TRES MONJITAS"/>
    <s v="PUERTO RICO"/>
    <s v="SAN JUAN"/>
    <s v="00918"/>
    <s v="CA3008"/>
    <s v="CARRIER MODULE HIGH DENSITY"/>
    <s v="20114932"/>
    <s v="26.1"/>
    <n v="9753795"/>
    <n v="1950211"/>
    <d v="2016-10-04T13:56:09"/>
    <m/>
    <x v="24"/>
    <d v="2016-10-06T00:00:00"/>
    <d v="2016-10-11T23:59:00"/>
    <m/>
    <n v="8"/>
    <m/>
    <n v="1728"/>
    <m/>
    <s v="N259"/>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23P08L2"/>
    <s v="SJ2_STAG"/>
    <s v="LIBERTY CABLEVISION OF PUERTO RICO LLC"/>
    <s v="URB IND TRES MONJITAS"/>
    <s v="PUERTO RICO"/>
    <s v="SAN JUAN"/>
    <s v="00918"/>
    <s v="CA3008"/>
    <s v="CARRIER MODULE HIGH DENSITY"/>
    <s v="20114932"/>
    <s v="26.1"/>
    <n v="9753795"/>
    <n v="1950211"/>
    <d v="2016-10-04T13:56:09"/>
    <m/>
    <x v="24"/>
    <d v="2016-10-06T00:00:00"/>
    <d v="2016-10-11T23:59:00"/>
    <m/>
    <n v="4"/>
    <m/>
    <n v="864"/>
    <m/>
    <s v="N259"/>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6P14L1B02"/>
    <s v="SJ2_STAG"/>
    <s v="LIBERTY CABLEVISION OF PUERTO RICO LLC"/>
    <s v="URB IND TRES MONJITAS"/>
    <s v="PUERTO RICO"/>
    <s v="SAN JUAN"/>
    <s v="00918"/>
    <s v="PF3000N-FM-00"/>
    <s v="PASSIVE FRAME 4RU FBR MGT NO C"/>
    <s v="20114932"/>
    <s v="27.1"/>
    <n v="9753795"/>
    <n v="1950211"/>
    <d v="2016-10-04T13:56:09"/>
    <m/>
    <x v="24"/>
    <d v="2016-10-06T00:00:00"/>
    <d v="2016-10-11T23:59:00"/>
    <m/>
    <n v="4"/>
    <m/>
    <n v="572"/>
    <m/>
    <s v="N224"/>
    <s v="NWK ACCESS TECH"/>
    <s v="ACCESS OTHER"/>
    <s v="OTHER AURORA"/>
    <s v="N22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19L2"/>
    <s v="SJ2_STAG"/>
    <s v="LIBERTY CABLEVISION OF PUERTO RICO LLC"/>
    <s v="URB IND TRES MONJITAS"/>
    <s v="PUERTO RICO"/>
    <s v="SAN JUAN"/>
    <s v="00918"/>
    <s v="CH3000N"/>
    <s v="CHASSIS NO COVERS 3RU"/>
    <s v="20114932"/>
    <s v="28.1"/>
    <n v="9753795"/>
    <n v="1950219"/>
    <d v="2016-10-04T13:56:09"/>
    <m/>
    <x v="24"/>
    <d v="2016-10-06T00:00:00"/>
    <d v="2016-10-11T23:59:00"/>
    <m/>
    <n v="5"/>
    <m/>
    <n v="920"/>
    <m/>
    <s v="N199"/>
    <s v="NWK ACCESS TECH"/>
    <s v="HEO"/>
    <s v="HEO MISC AURORA"/>
    <s v="N199"/>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64L2"/>
    <s v="SJ2_STAG"/>
    <s v="LIBERTY CABLEVISION OF PUERTO RICO LLC"/>
    <s v="URB IND TRES MONJITAS"/>
    <s v="PUERTO RICO"/>
    <s v="SAN JUAN"/>
    <s v="00918"/>
    <s v="PS3005N"/>
    <s v="POWER SUPPLY 250W CE TUV W/O D"/>
    <s v="20114935"/>
    <s v="1.1"/>
    <n v="9751868"/>
    <n v="1945694"/>
    <d v="2016-10-04T13:58:58"/>
    <m/>
    <x v="33"/>
    <d v="2016-10-06T00:00:00"/>
    <d v="2016-10-07T23:59:00"/>
    <m/>
    <n v="5"/>
    <n v="5"/>
    <n v="2455"/>
    <n v="2455"/>
    <s v="N204"/>
    <s v="NWK ACCESS TECH"/>
    <s v="ACCESS OTHER"/>
    <s v="OTHER AURORA"/>
    <s v="N20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EC1"/>
    <s v="SJ2_STAG"/>
    <s v="LIBERTY CABLEVISION OF PUERTO RICO LLC"/>
    <s v="URB IND TRES MONJITAS"/>
    <s v="PUERTO RICO"/>
    <s v="SAN JUAN"/>
    <s v="00918"/>
    <s v="HT3541H-D-A290-2-AS"/>
    <s v="XMTR DD 1.2GHZ FULL SPECTRUM 3"/>
    <s v="20114935"/>
    <s v="12.1"/>
    <n v="9751868"/>
    <n v="1945692"/>
    <d v="2016-10-04T13:58:58"/>
    <m/>
    <x v="33"/>
    <d v="2016-10-06T00:00:00"/>
    <d v="2016-10-07T23:59:00"/>
    <m/>
    <n v="5"/>
    <n v="5"/>
    <n v="6800"/>
    <n v="6800"/>
    <s v="HE64"/>
    <s v="NWK ACCESS TECH"/>
    <s v="HEO"/>
    <s v="TRANSMITTER"/>
    <s v="HT"/>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68L1"/>
    <s v="SJ2_STAG"/>
    <s v="LIBERTY CABLEVISION OF PUERTO RICO LLC"/>
    <s v="URB IND TRES MONJITAS"/>
    <s v="PUERTO RICO"/>
    <s v="SAN JUAN"/>
    <s v="00918"/>
    <s v="CH3000U-FM-00"/>
    <s v="ADAPTER FIBER MGT FOR CH3000 C"/>
    <s v="20114935"/>
    <s v="13.1"/>
    <n v="9751868"/>
    <n v="1945699"/>
    <d v="2016-10-04T13:58:58"/>
    <m/>
    <x v="33"/>
    <d v="2016-10-06T00:00:00"/>
    <d v="2016-10-07T23:59:00"/>
    <m/>
    <n v="4"/>
    <n v="4"/>
    <n v="260"/>
    <n v="260"/>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23P07L2"/>
    <s v="SJ2_STAG"/>
    <s v="LIBERTY CABLEVISION OF PUERTO RICO LLC"/>
    <s v="URB IND TRES MONJITAS"/>
    <s v="PUERTO RICO"/>
    <s v="SAN JUAN"/>
    <s v="00918"/>
    <s v="BD31A4-100-H12F-0-AS"/>
    <s v="OPT PASSTHRU BD 4 XMTR 4 BC 4"/>
    <s v="20114935"/>
    <s v="16.1"/>
    <n v="9751868"/>
    <n v="1945691"/>
    <d v="2016-10-04T13:58:58"/>
    <m/>
    <x v="33"/>
    <d v="2016-10-06T00:00:00"/>
    <d v="2016-10-07T23:59:00"/>
    <m/>
    <n v="4"/>
    <n v="4"/>
    <n v="2432"/>
    <n v="2432"/>
    <s v="N258"/>
    <s v="NWK ACCESS TECH"/>
    <s v="HEO"/>
    <s v="TRANSMITTERS AURORA"/>
    <s v="HDTX"/>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44L2"/>
    <s v="SJ2_STAG"/>
    <s v="LIBERTY CABLEVISION OF PUERTO RICO LLC"/>
    <s v="URB IND TRES MONJITAS"/>
    <s v="PUERTO RICO"/>
    <s v="SAN JUAN"/>
    <s v="00918"/>
    <s v="DR3450N-50-00"/>
    <s v="DIGITAL RECEIVER Q-RX 2.125GBP"/>
    <s v="20114935"/>
    <s v="21.1"/>
    <n v="9751868"/>
    <n v="1945699"/>
    <d v="2016-10-04T13:58:58"/>
    <m/>
    <x v="33"/>
    <d v="2016-10-06T00:00:00"/>
    <d v="2016-10-07T23:59:00"/>
    <m/>
    <n v="6"/>
    <n v="6"/>
    <n v="7200"/>
    <n v="7200"/>
    <s v="N275"/>
    <s v="NWK ACCESS TECH"/>
    <s v="HEO"/>
    <s v="RECEIVERS AURORA"/>
    <s v="N275"/>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6P39L1B02"/>
    <s v="SJ2_STAG"/>
    <s v="LIBERTY CABLEVISION OF PUERTO RICO LLC"/>
    <s v="URB IND TRES MONJITAS"/>
    <s v="PUERTO RICO"/>
    <s v="SAN JUAN"/>
    <s v="00918"/>
    <s v="PF3000N-FM-00"/>
    <s v="PASSIVE FRAME 4RU FBR MGT NO C"/>
    <s v="20114935"/>
    <s v="22.1"/>
    <n v="9751868"/>
    <n v="1945694"/>
    <d v="2016-10-04T13:58:58"/>
    <m/>
    <x v="33"/>
    <d v="2016-10-06T00:00:00"/>
    <d v="2016-10-07T23:59:00"/>
    <m/>
    <n v="4"/>
    <n v="4"/>
    <n v="572"/>
    <n v="572"/>
    <s v="N224"/>
    <s v="NWK ACCESS TECH"/>
    <s v="ACCESS OTHER"/>
    <s v="OTHER AURORA"/>
    <s v="N22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7P52L3"/>
    <s v="SJ2_STAG"/>
    <s v="LIBERTY CABLEVISION OF PUERTO RICO LLC"/>
    <s v="URB IND TRES MONJITAS"/>
    <s v="PUERTO RICO"/>
    <s v="SAN JUAN"/>
    <s v="00918"/>
    <s v="CH3000N"/>
    <s v="CHASSIS NO COVERS 3RU"/>
    <s v="20114935"/>
    <s v="25.1"/>
    <n v="9751868"/>
    <n v="1945694"/>
    <d v="2016-10-04T13:58:58"/>
    <m/>
    <x v="33"/>
    <d v="2016-10-06T00:00:00"/>
    <d v="2016-10-07T23:59:00"/>
    <m/>
    <n v="2"/>
    <n v="2"/>
    <n v="368"/>
    <n v="368"/>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7P52L1"/>
    <s v="SJ2_STAG"/>
    <s v="LIBERTY CABLEVISION OF PUERTO RICO LLC"/>
    <s v="URB IND TRES MONJITAS"/>
    <s v="PUERTO RICO"/>
    <s v="SAN JUAN"/>
    <s v="00918"/>
    <s v="CH3000N"/>
    <s v="CHASSIS NO COVERS 3RU"/>
    <s v="20114935"/>
    <s v="25.1"/>
    <n v="9751868"/>
    <n v="1945694"/>
    <d v="2016-10-04T13:58:58"/>
    <m/>
    <x v="33"/>
    <d v="2016-10-06T00:00:00"/>
    <d v="2016-10-07T23:59:00"/>
    <m/>
    <n v="2"/>
    <n v="2"/>
    <n v="368"/>
    <n v="368"/>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25L2"/>
    <s v="SJ2_STAG"/>
    <s v="LIBERTY CABLEVISION OF PUERTO RICO LLC"/>
    <s v="URB IND TRES MONJITAS"/>
    <s v="PUERTO RICO"/>
    <s v="SAN JUAN"/>
    <s v="00918"/>
    <s v="PS3005D"/>
    <s v="POWER SUPPLY 250W CE TUV W/DIS"/>
    <s v="20114935"/>
    <s v="3.1"/>
    <n v="9751868"/>
    <n v="1945692"/>
    <d v="2016-10-04T13:58:58"/>
    <m/>
    <x v="33"/>
    <d v="2016-10-06T00:00:00"/>
    <d v="2016-10-07T23:59:00"/>
    <m/>
    <n v="5"/>
    <n v="5"/>
    <n v="2925"/>
    <n v="2925"/>
    <s v="N204"/>
    <s v="NWK ACCESS TECH"/>
    <s v="ACCESS OTHER"/>
    <s v="OTHER AURORA"/>
    <s v="N20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23P07L3"/>
    <s v="SJ2_STAG"/>
    <s v="LIBERTY CABLEVISION OF PUERTO RICO LLC"/>
    <s v="URB IND TRES MONJITAS"/>
    <s v="PUERTO RICO"/>
    <s v="SAN JUAN"/>
    <s v="00918"/>
    <s v="HT3541H-D-A200-2-AS"/>
    <s v="XMTR DD 1.2GHZ FULL SPECTRUM 3"/>
    <s v="20114935"/>
    <s v="8.1"/>
    <n v="9751868"/>
    <n v="1945691"/>
    <d v="2016-10-04T13:58:58"/>
    <m/>
    <x v="33"/>
    <d v="2016-10-06T00:00:00"/>
    <d v="2016-10-07T23:59:00"/>
    <m/>
    <n v="4"/>
    <n v="4"/>
    <n v="5440"/>
    <n v="5440"/>
    <s v="HE64"/>
    <s v="NWK ACCESS TECH"/>
    <s v="HEO"/>
    <s v="TRANSMITTER"/>
    <s v="HT"/>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EC1"/>
    <s v="SJ2_STAG"/>
    <s v="LIBERTY CABLEVISION OF PUERTO RICO LLC"/>
    <s v="URB IND TRES MONJITAS"/>
    <s v="PUERTO RICO"/>
    <s v="SAN JUAN"/>
    <s v="00918"/>
    <s v="HT3541H-D-A200-2-AS"/>
    <s v="XMTR DD 1.2GHZ FULL SPECTRUM 3"/>
    <s v="20114935"/>
    <s v="8.1"/>
    <n v="9751868"/>
    <n v="1945692"/>
    <d v="2016-10-04T13:58:58"/>
    <m/>
    <x v="33"/>
    <d v="2016-10-06T00:00:00"/>
    <d v="2016-10-07T23:59:00"/>
    <m/>
    <n v="1"/>
    <n v="1"/>
    <n v="1360"/>
    <n v="1360"/>
    <s v="HE64"/>
    <s v="NWK ACCESS TECH"/>
    <s v="HEO"/>
    <s v="TRANSMITTER"/>
    <s v="HT"/>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22L3"/>
    <s v="SJ2_STAG"/>
    <s v="LIBERTY CABLEVISION OF PUERTO RICO LLC"/>
    <s v="URB IND TRES MONJITAS"/>
    <s v="PUERTO RICO"/>
    <s v="SAN JUAN"/>
    <s v="00918"/>
    <s v="PS3005D"/>
    <s v="POWER SUPPLY 250W CE TUV W/DIS"/>
    <s v="20114938"/>
    <s v="1.1"/>
    <n v="9751869"/>
    <n v="1945692"/>
    <d v="2016-10-04T14:01:54"/>
    <m/>
    <x v="33"/>
    <d v="2016-10-06T00:00:00"/>
    <d v="2016-10-07T23:59:00"/>
    <m/>
    <n v="3"/>
    <n v="3"/>
    <n v="1755"/>
    <n v="1755"/>
    <s v="N204"/>
    <s v="NWK ACCESS TECH"/>
    <s v="ACCESS OTHER"/>
    <s v="OTHER AURORA"/>
    <s v="N20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25L2"/>
    <s v="SJ2_STAG"/>
    <s v="LIBERTY CABLEVISION OF PUERTO RICO LLC"/>
    <s v="URB IND TRES MONJITAS"/>
    <s v="PUERTO RICO"/>
    <s v="SAN JUAN"/>
    <s v="00918"/>
    <s v="PS3005D"/>
    <s v="POWER SUPPLY 250W CE TUV W/DIS"/>
    <s v="20114938"/>
    <s v="1.1"/>
    <n v="9751869"/>
    <n v="1945692"/>
    <d v="2016-10-04T14:01:54"/>
    <m/>
    <x v="33"/>
    <d v="2016-10-06T00:00:00"/>
    <d v="2016-10-07T23:59:00"/>
    <m/>
    <n v="4"/>
    <n v="4"/>
    <n v="2340"/>
    <n v="2340"/>
    <s v="N204"/>
    <s v="NWK ACCESS TECH"/>
    <s v="ACCESS OTHER"/>
    <s v="OTHER AURORA"/>
    <s v="N20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64L2"/>
    <s v="SJ2_STAG"/>
    <s v="LIBERTY CABLEVISION OF PUERTO RICO LLC"/>
    <s v="URB IND TRES MONJITAS"/>
    <s v="PUERTO RICO"/>
    <s v="SAN JUAN"/>
    <s v="00918"/>
    <s v="PS3005N"/>
    <s v="POWER SUPPLY 250W CE TUV W/O D"/>
    <s v="20114938"/>
    <s v="10.1"/>
    <n v="9751869"/>
    <n v="1945694"/>
    <d v="2016-10-04T14:01:54"/>
    <m/>
    <x v="33"/>
    <d v="2016-10-06T00:00:00"/>
    <d v="2016-10-07T23:59:00"/>
    <m/>
    <n v="7"/>
    <n v="7"/>
    <n v="3437"/>
    <n v="3437"/>
    <s v="N204"/>
    <s v="NWK ACCESS TECH"/>
    <s v="ACCESS OTHER"/>
    <s v="OTHER AURORA"/>
    <s v="N20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23P07L2"/>
    <s v="SJ2_STAG"/>
    <s v="LIBERTY CABLEVISION OF PUERTO RICO LLC"/>
    <s v="URB IND TRES MONJITAS"/>
    <s v="PUERTO RICO"/>
    <s v="SAN JUAN"/>
    <s v="00918"/>
    <s v="BD31A4-100-H12F-0-AS"/>
    <s v="OPT PASSTHRU BD 4 XMTR 4 BC 4"/>
    <s v="20114938"/>
    <s v="18.1"/>
    <n v="9751869"/>
    <n v="1945691"/>
    <d v="2016-10-04T14:01:54"/>
    <m/>
    <x v="33"/>
    <d v="2016-10-06T00:00:00"/>
    <d v="2016-10-07T23:59:00"/>
    <m/>
    <n v="6"/>
    <n v="6"/>
    <n v="3648"/>
    <n v="3648"/>
    <s v="N258"/>
    <s v="NWK ACCESS TECH"/>
    <s v="HEO"/>
    <s v="TRANSMITTERS AURORA"/>
    <s v="HDTX"/>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6P39L1B02"/>
    <s v="SJ2_STAG"/>
    <s v="LIBERTY CABLEVISION OF PUERTO RICO LLC"/>
    <s v="URB IND TRES MONJITAS"/>
    <s v="PUERTO RICO"/>
    <s v="SAN JUAN"/>
    <s v="00918"/>
    <s v="PF3000N-FM-00"/>
    <s v="PASSIVE FRAME 4RU FBR MGT NO C"/>
    <s v="20114938"/>
    <s v="24.1"/>
    <n v="9751869"/>
    <n v="1945694"/>
    <d v="2016-10-04T14:01:54"/>
    <m/>
    <x v="33"/>
    <d v="2016-10-06T00:00:00"/>
    <d v="2016-10-07T23:59:00"/>
    <m/>
    <n v="6"/>
    <n v="6"/>
    <n v="858"/>
    <n v="858"/>
    <s v="N224"/>
    <s v="NWK ACCESS TECH"/>
    <s v="ACCESS OTHER"/>
    <s v="OTHER AURORA"/>
    <s v="N22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20L1"/>
    <s v="SJ2_STAG"/>
    <s v="LIBERTY CABLEVISION OF PUERTO RICO LLC"/>
    <s v="URB IND TRES MONJITAS"/>
    <s v="PUERTO RICO"/>
    <s v="SAN JUAN"/>
    <s v="00918"/>
    <s v="CH3000N"/>
    <s v="CHASSIS NO COVERS 3RU"/>
    <s v="20114938"/>
    <s v="25.1"/>
    <n v="9751869"/>
    <n v="1945694"/>
    <d v="2016-10-04T14:01:54"/>
    <m/>
    <x v="33"/>
    <d v="2016-10-06T00:00:00"/>
    <d v="2016-10-07T23:59:00"/>
    <m/>
    <n v="6"/>
    <n v="6"/>
    <n v="1104"/>
    <n v="1104"/>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7P52L3"/>
    <s v="SJ2_STAG"/>
    <s v="LIBERTY CABLEVISION OF PUERTO RICO LLC"/>
    <s v="URB IND TRES MONJITAS"/>
    <s v="PUERTO RICO"/>
    <s v="SAN JUAN"/>
    <s v="00918"/>
    <s v="CH3000N"/>
    <s v="CHASSIS NO COVERS 3RU"/>
    <s v="20114938"/>
    <s v="25.1"/>
    <n v="9751869"/>
    <n v="1945694"/>
    <d v="2016-10-04T14:01:54"/>
    <m/>
    <x v="33"/>
    <d v="2016-10-06T00:00:00"/>
    <d v="2016-10-07T23:59:00"/>
    <m/>
    <n v="1"/>
    <n v="1"/>
    <n v="184"/>
    <n v="184"/>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68L1"/>
    <s v="SJ2_STAG"/>
    <s v="LIBERTY CABLEVISION OF PUERTO RICO LLC"/>
    <s v="URB IND TRES MONJITAS"/>
    <s v="PUERTO RICO"/>
    <s v="SAN JUAN"/>
    <s v="00918"/>
    <s v="CH3000U-FM-00"/>
    <s v="ADAPTER FIBER MGT FOR CH3000 C"/>
    <s v="20114938"/>
    <s v="27.1"/>
    <n v="9751869"/>
    <n v="1945699"/>
    <d v="2016-10-04T14:01:54"/>
    <m/>
    <x v="33"/>
    <d v="2016-10-06T00:00:00"/>
    <d v="2016-10-07T23:59:00"/>
    <m/>
    <n v="6"/>
    <n v="6"/>
    <n v="390"/>
    <n v="390"/>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015P44L2"/>
    <s v="SJ2_STAG"/>
    <s v="LIBERTY CABLEVISION OF PUERTO RICO LLC"/>
    <s v="URB IND TRES MONJITAS"/>
    <s v="PUERTO RICO"/>
    <s v="SAN JUAN"/>
    <s v="00918"/>
    <s v="DR3450N-50-00"/>
    <s v="DIGITAL RECEIVER Q-RX 2.125GBP"/>
    <s v="20114938"/>
    <s v="3.1"/>
    <n v="9751869"/>
    <n v="1945699"/>
    <d v="2016-10-04T14:01:54"/>
    <m/>
    <x v="33"/>
    <d v="2016-10-06T00:00:00"/>
    <d v="2016-10-07T23:59:00"/>
    <m/>
    <n v="15"/>
    <n v="15"/>
    <n v="18000"/>
    <n v="18000"/>
    <s v="N275"/>
    <s v="NWK ACCESS TECH"/>
    <s v="HEO"/>
    <s v="RECEIVERS AURORA"/>
    <s v="N275"/>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EC1"/>
    <s v="SJ2_STAG"/>
    <s v="LIBERTY CABLEVISION OF PUERTO RICO LLC"/>
    <s v="URB IND TRES MONJITAS"/>
    <s v="PUERTO RICO"/>
    <s v="SAN JUAN"/>
    <s v="00918"/>
    <s v="HT3541H-D-A200-2-AS"/>
    <s v="XMTR DD 1.2GHZ FULL SPECTRUM 3"/>
    <s v="20114938"/>
    <s v="5.1"/>
    <n v="9751869"/>
    <n v="1945692"/>
    <d v="2016-10-04T14:01:54"/>
    <m/>
    <x v="33"/>
    <d v="2016-10-06T00:00:00"/>
    <d v="2016-10-07T23:59:00"/>
    <m/>
    <n v="9"/>
    <n v="9"/>
    <n v="12240"/>
    <n v="12240"/>
    <s v="HE64"/>
    <s v="NWK ACCESS TECH"/>
    <s v="HEO"/>
    <s v="TRANSMITTER"/>
    <s v="HT"/>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2156"/>
    <s v="LIBERTY CABLEVISION OF PUERTO RICO, INC."/>
    <s v="SAN JUAN 1"/>
    <s v="REC1"/>
    <s v="SJ2_STAG"/>
    <s v="LIBERTY CABLEVISION OF PUERTO RICO LLC"/>
    <s v="URB IND TRES MONJITAS"/>
    <s v="PUERTO RICO"/>
    <s v="SAN JUAN"/>
    <m/>
    <s v="HT3541H-D-A290-2-AS"/>
    <s v="XMTR DD 1.2GHZ FULL SPECTRUM 3"/>
    <s v="20114938"/>
    <s v="9.1"/>
    <n v="9751869"/>
    <n v="1945692"/>
    <d v="2016-10-04T14:01:54"/>
    <m/>
    <x v="33"/>
    <d v="2016-10-06T00:00:00"/>
    <d v="2016-10-07T23:59:00"/>
    <m/>
    <n v="9"/>
    <n v="9"/>
    <n v="12240"/>
    <n v="12240"/>
    <s v="HE64"/>
    <s v="NWK ACCESS TECH"/>
    <s v="HEO"/>
    <s v="TRANSMITTER"/>
    <s v="HT"/>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r>
  <r>
    <s v="SJ2"/>
    <s v="5003068"/>
    <s v="CABLEVISION RED, S.A. DE C.V."/>
    <s v="VALLARTA"/>
    <s v="R015P59L5"/>
    <s v="SJ2_STAG"/>
    <s v="CABLEVISION RED SA DE CV"/>
    <s v="AV. VALLARTA # 5050 COL. JARDINES DE LA PATRIA"/>
    <s v="MEXICO"/>
    <s v="MEXICO"/>
    <m/>
    <s v="CH3000U-FM-00"/>
    <s v="ADAPTER FIBER MGT FOR CH3000 C"/>
    <s v="20106358"/>
    <s v="1.1"/>
    <n v="9751232"/>
    <n v="1944313"/>
    <d v="2016-08-22T14:48:35"/>
    <m/>
    <x v="34"/>
    <d v="2016-10-03T00:00:00"/>
    <d v="2016-10-06T23:59:00"/>
    <m/>
    <n v="8"/>
    <n v="8"/>
    <n v="624"/>
    <n v="624"/>
    <s v="N199"/>
    <s v="NWK ACCESS TECH"/>
    <s v="HEO"/>
    <s v="HEO MISC AURORA"/>
    <s v="N199"/>
    <s v="AS-STANDARD ORDER MIXED"/>
    <s v="A-SURFACE"/>
    <s v="OP"/>
    <n v="1237873"/>
    <s v="A-SURFACE"/>
    <m/>
    <m/>
    <m/>
    <s v="A-SURFACE"/>
    <s v="LTL"/>
    <s v="EXW"/>
    <s v="Collect"/>
    <m/>
    <m/>
    <s v="FOR EXW SEND W&amp;D TO CSR marita.fernandez@arris.com and hmarquez@izzi.mx .FOR FCA CONTACT FF."/>
    <s v="FOR EXW SEND W&amp;D TO CSR.FOR FCA CONTACT FF.IF WOOD PALLET INCLUDE STAMP FOR CERT OF FUMIGATION.NET &amp; GROSS WEIGHT PER SHIPMENT MUST BE ON CI DOCS.PALLETS MUST BE 48x40 @HT MIN. 59MAX 75 W/7 LAYERS OF BOXES FOR TG862A/NA.REMAINING BOXES CAN BE IN A NEW PALLET P/ DIMS ABOVE"/>
    <m/>
  </r>
  <r>
    <s v="SJ2"/>
    <s v="5003068"/>
    <s v="CABLEVISION RED, S.A. DE C.V."/>
    <s v="VALLARTA"/>
    <s v="R016P40L4B01"/>
    <s v="SJ2_STAG"/>
    <s v="CABLEVISION RED SA DE CV"/>
    <s v="AV. VALLARTA # 5050 COL. JARDINES DE LA PATRIA"/>
    <s v="MEXICO"/>
    <s v="MEXICO"/>
    <s v=""/>
    <s v="CH3000N"/>
    <s v="CHASSIS NO COVERS 3RU"/>
    <s v="20106358"/>
    <s v="2.1"/>
    <n v="9751232"/>
    <n v="1944313"/>
    <d v="2016-08-22T14:48:35"/>
    <s v=""/>
    <x v="34"/>
    <d v="2016-10-03T00:00:00"/>
    <d v="2016-10-06T23:59:00"/>
    <s v=""/>
    <n v="2"/>
    <n v="2"/>
    <n v="520"/>
    <n v="520"/>
    <s v="N199"/>
    <s v="NWK ACCESS TECH"/>
    <s v="HEO"/>
    <s v="HEO MISC AURORA"/>
    <s v="N199"/>
    <s v="AS-STANDARD ORDER MIXED"/>
    <s v="A-SURFACE"/>
    <s v="OP"/>
    <n v="1237873"/>
    <s v="A-SURFACE"/>
    <m/>
    <m/>
    <m/>
    <s v="A-SURFACE"/>
    <s v="LTL"/>
    <s v="EXW"/>
    <s v="Collect"/>
    <m/>
    <s v=""/>
    <s v="FOR EXW SEND W&amp;D TO CSR marita.fernandez@arris.com and hmarquez@izzi.mx .FOR FCA CONTACT FF."/>
    <s v="FOR EXW SEND W&amp;D TO CSR.FOR FCA CONTACT FF.IF WOOD PALLET INCLUDE STAMP FOR CERT OF FUMIGATION.NET &amp; GROSS WEIGHT PER SHIPMENT MUST BE ON CI DOCS.PALLETS MUST BE 48x40 @HT MIN. 59MAX 75 W/7 LAYERS OF BOXES FOR TG862A/NA.REMAINING BOXES CAN BE IN A NEW PALLET P/ DIMS ABOVE"/>
    <m/>
  </r>
  <r>
    <s v="SJ2"/>
    <s v="5003068"/>
    <s v="CABLEVISION RED, S.A. DE C.V."/>
    <s v="VALLARTA"/>
    <s v="R016P40L4B01"/>
    <s v="SJ2_STAG"/>
    <s v="CABLEVISION RED SA DE CV"/>
    <s v="AV. VALLARTA # 5050 COL. JARDINES DE LA PATRIA"/>
    <s v="MEXICO"/>
    <s v="MEXICO"/>
    <m/>
    <s v="CH3000N"/>
    <s v="CHASSIS NO COVERS 3RU"/>
    <s v="20106358"/>
    <s v="2.1"/>
    <n v="9751232"/>
    <n v="1944313"/>
    <m/>
    <m/>
    <x v="31"/>
    <m/>
    <m/>
    <m/>
    <n v="6"/>
    <n v="6"/>
    <n v="1560"/>
    <n v="1560"/>
    <m/>
    <m/>
    <m/>
    <m/>
    <m/>
    <m/>
    <m/>
    <m/>
    <n v="1237873"/>
    <m/>
    <m/>
    <m/>
    <m/>
    <m/>
    <m/>
    <m/>
    <m/>
    <m/>
    <m/>
    <m/>
    <m/>
    <m/>
  </r>
  <r>
    <s v="SJ2"/>
    <s v="5003270"/>
    <s v="ARRIS TECHNOLOGY, INC."/>
    <s v="RDM - ROTTERDAM NL"/>
    <s v="R023P10L4"/>
    <s v="SJ2_STAG"/>
    <s v="ARRIS TECHNOLOGY, INC., C/O DB SCHENKER LOGISTICS NETHERLANDS"/>
    <s v="BU SEAFREIGHT"/>
    <s v="NL"/>
    <s v="KV ROTTERDAM"/>
    <s v="3197"/>
    <s v="HT3309H-D-1310-2-AS"/>
    <s v="XMTR DD 1.2GHZ 1310NM D-IN 9DB"/>
    <s v="90710542"/>
    <s v="23.1"/>
    <n v="9753345"/>
    <n v="1949198"/>
    <d v="2016-09-09T10:13:29"/>
    <m/>
    <x v="9"/>
    <d v="2016-10-03T00:00:00"/>
    <d v="2016-10-11T23:59:00"/>
    <m/>
    <n v="7"/>
    <m/>
    <n v="4487.8575000000001"/>
    <m/>
    <s v="HE64"/>
    <s v="NWK ACCESS TECH"/>
    <s v="HEO"/>
    <s v="TRANSMITTER"/>
    <s v="HT"/>
    <s v="OM-INTERNAL ORDER"/>
    <s v="A-SURFACE"/>
    <s v="OP"/>
    <n v="1241744"/>
    <s v="A-SURFACE"/>
    <m/>
    <m/>
    <m/>
    <s v="A-SURFACE"/>
    <s v="LTL"/>
    <s v="DAP"/>
    <s v="Prepaid"/>
    <m/>
    <m/>
    <m/>
    <m/>
    <m/>
  </r>
  <r>
    <s v="SJ2"/>
    <s v="5003270"/>
    <s v="ARRIS TECHNOLOGY, INC."/>
    <s v="RDM - ROTTERDAM NL"/>
    <s v="R023P10L4"/>
    <s v="SJ2_STAG"/>
    <s v="ARRIS TECHNOLOGY, INC., C/O DB SCHENKER LOGISTICS NETHERLANDS"/>
    <s v="BU SEAFREIGHT"/>
    <s v="NL"/>
    <s v="KV ROTTERDAM"/>
    <m/>
    <s v="HT3309H-D-1310-2-AS"/>
    <s v="XMTR DD 1.2GHZ 1310NM D-IN 9DB"/>
    <s v="90710695"/>
    <s v="15.1"/>
    <n v="9753345"/>
    <n v="1949198"/>
    <d v="2016-09-23T21:45:34"/>
    <m/>
    <x v="9"/>
    <d v="2016-09-24T00:00:00"/>
    <d v="2016-10-11T23:59:00"/>
    <m/>
    <n v="7"/>
    <m/>
    <n v="4487.8575000000001"/>
    <m/>
    <s v="HE64"/>
    <s v="NWK ACCESS TECH"/>
    <s v="HEO"/>
    <s v="TRANSMITTER"/>
    <s v="HT"/>
    <s v="OM-INTERNAL ORDER"/>
    <s v="A-SURFACE"/>
    <s v="OP"/>
    <n v="1241744"/>
    <s v="A-SURFACE"/>
    <m/>
    <m/>
    <m/>
    <s v="A-SURFACE"/>
    <s v="LTL"/>
    <s v="DAP"/>
    <s v="Prepaid"/>
    <m/>
    <m/>
    <m/>
    <m/>
    <m/>
  </r>
  <r>
    <s v="SJ2"/>
    <s v="5003270"/>
    <s v="ARRIS TECHNOLOGY, INC."/>
    <s v="RDM - ROTTERDAM NL"/>
    <s v="REC1"/>
    <s v="SJ2_STAG"/>
    <s v="ARRIS TECHNOLOGY, INC., C/O DB SCHENKER LOGISTICS NETHERLANDS"/>
    <s v="BU SEAFREIGHT"/>
    <s v="NL"/>
    <s v="KV ROTTERDAM"/>
    <s v="3197"/>
    <s v="AR3001-AS"/>
    <s v="ANALOG RETURN RX DUAL 5-225MHz"/>
    <s v="90710900"/>
    <s v="1.1"/>
    <n v="9752395"/>
    <n v="1947097"/>
    <d v="2016-10-10T16:51:42"/>
    <m/>
    <x v="35"/>
    <d v="2016-10-14T00:00:00"/>
    <d v="2016-10-10T23:59:00"/>
    <m/>
    <n v="2"/>
    <m/>
    <n v="733.18"/>
    <m/>
    <s v="N023"/>
    <s v="NWK ACCESS TECH"/>
    <s v="HEO"/>
    <s v="RECEIVERS AURORA"/>
    <s v="N023"/>
    <s v="OM-INTERNAL ORDER"/>
    <s v="A-SURFACE"/>
    <s v="OP"/>
    <n v="1240555"/>
    <s v="A-SURFACE"/>
    <m/>
    <m/>
    <m/>
    <s v="A-SURFACE"/>
    <s v="LTL"/>
    <s v="DAP"/>
    <s v="Prepaid"/>
    <m/>
    <m/>
    <m/>
    <m/>
    <m/>
  </r>
  <r>
    <s v="SJ2"/>
    <s v="5003270"/>
    <s v="ARRIS TECHNOLOGY, INC."/>
    <s v="RDM - ROTTERDAM NL"/>
    <s v="R016P31L3B02"/>
    <s v="SJ2_STAG"/>
    <s v="ARRIS TECHNOLOGY, INC., C/O DB SCHENKER LOGISTICS NETHERLANDS"/>
    <s v="BU SEAFREIGHT"/>
    <s v="NL"/>
    <s v="KV ROTTERDAM"/>
    <s v="3197"/>
    <s v="DR3450N-75-00"/>
    <s v="DIGITAL RECEIVER Q-RX 5-65MHZ"/>
    <s v="90710916"/>
    <s v="1.1"/>
    <n v="9753082"/>
    <n v="1948602"/>
    <d v="2016-10-12T01:59:01"/>
    <m/>
    <x v="36"/>
    <d v="2016-10-14T00:00:00"/>
    <d v="2016-10-12T23:59:00"/>
    <m/>
    <n v="9"/>
    <m/>
    <n v="3857.13"/>
    <m/>
    <s v="N275"/>
    <s v="NWK ACCESS TECH"/>
    <s v="HEO"/>
    <s v="RECEIVERS AURORA"/>
    <s v="N275"/>
    <s v="OM-INTERNAL ORDER"/>
    <s v="A-SURFACE"/>
    <s v="OP"/>
    <n v="1241411"/>
    <s v="A-SURFACE"/>
    <m/>
    <m/>
    <m/>
    <s v="A-SURFACE"/>
    <s v="LTL"/>
    <s v="DAP"/>
    <s v="Prepaid"/>
    <m/>
    <m/>
    <m/>
    <m/>
    <m/>
  </r>
  <r>
    <s v="SJ2"/>
    <s v="5003270"/>
    <s v="ARRIS TECHNOLOGY, INC."/>
    <s v="RDM - ROTTERDAM NL"/>
    <s v="R016P31L3B02"/>
    <s v="SJ2_STAG"/>
    <s v="ARRIS TECHNOLOGY, INC., C/O DB SCHENKER LOGISTICS NETHERLANDS"/>
    <s v="BU SEAFREIGHT"/>
    <s v="NL"/>
    <s v="KV ROTTERDAM"/>
    <m/>
    <s v="DR3450N-75-00"/>
    <s v="DIGITAL RECEIVER Q-RX 5-65MHZ"/>
    <s v="90710916"/>
    <s v="2.1"/>
    <n v="9753082"/>
    <n v="1948602"/>
    <d v="2016-10-12T01:59:01"/>
    <m/>
    <x v="36"/>
    <d v="2016-10-14T00:00:00"/>
    <d v="2016-10-12T23:59:00"/>
    <m/>
    <n v="15"/>
    <m/>
    <n v="6428.55"/>
    <m/>
    <s v="N275"/>
    <s v="NWK ACCESS TECH"/>
    <s v="HEO"/>
    <s v="RECEIVERS AURORA"/>
    <s v="N275"/>
    <s v="OM-INTERNAL ORDER"/>
    <s v="A-SURFACE"/>
    <s v="OP"/>
    <n v="1241411"/>
    <s v="A-SURFACE"/>
    <m/>
    <m/>
    <m/>
    <s v="A-SURFACE"/>
    <s v="LTL"/>
    <s v="DAP"/>
    <s v="Prepaid"/>
    <m/>
    <m/>
    <m/>
    <m/>
    <m/>
  </r>
  <r>
    <s v="SJ2"/>
    <s v="5003270"/>
    <s v="ARRIS TECHNOLOGY, INC."/>
    <s v="RDM - ROTTERDAM NL"/>
    <s v="R016P49L3B01"/>
    <s v="SJ2_STAG"/>
    <s v="ARRIS TECHNOLOGY, INC., C/O DB SCHENKER LOGISTICS NETHERLANDS"/>
    <s v="BU SEAFREIGHT"/>
    <s v="NL"/>
    <s v="KV ROTTERDAM"/>
    <s v="3197"/>
    <s v="PS3005D-2"/>
    <s v="POWER SUPPLY 250W CE TUV W/DIS"/>
    <s v="90710916"/>
    <s v="3.1"/>
    <n v="9753082"/>
    <n v="1948602"/>
    <d v="2016-10-12T01:59:01"/>
    <m/>
    <x v="36"/>
    <d v="2016-10-14T00:00:00"/>
    <d v="2016-10-12T23:59:00"/>
    <m/>
    <n v="2"/>
    <m/>
    <n v="646.04"/>
    <m/>
    <s v="N204"/>
    <s v="NWK ACCESS TECH"/>
    <s v="ACCESS OTHER"/>
    <s v="OTHER AURORA"/>
    <s v="N204"/>
    <s v="OM-INTERNAL ORDER"/>
    <s v="A-SURFACE"/>
    <s v="OP"/>
    <n v="1241411"/>
    <s v="A-SURFACE"/>
    <m/>
    <m/>
    <m/>
    <s v="A-SURFACE"/>
    <s v="LTL"/>
    <s v="DAP"/>
    <s v="Prepaid"/>
    <m/>
    <m/>
    <m/>
    <m/>
    <m/>
  </r>
  <r>
    <s v="SJ2"/>
    <s v="5003270"/>
    <s v="ARRIS TECHNOLOGY, INC."/>
    <s v="RDM - ROTTERDAM NL"/>
    <s v="R016P50L3B01"/>
    <s v="SJ2_STAG"/>
    <s v="ARRIS TECHNOLOGY, INC., C/O DB SCHENKER LOGISTICS NETHERLANDS"/>
    <s v="BU SEAFREIGHT"/>
    <s v="NL"/>
    <s v="KV ROTTERDAM"/>
    <s v="3197"/>
    <s v="PS3005D-2"/>
    <s v="POWER SUPPLY 250W CE TUV W/DIS"/>
    <s v="90710916"/>
    <s v="4.1"/>
    <n v="9753082"/>
    <n v="1948602"/>
    <d v="2016-10-12T01:59:01"/>
    <m/>
    <x v="36"/>
    <d v="2016-10-14T00:00:00"/>
    <d v="2016-10-12T23:59:00"/>
    <m/>
    <n v="10"/>
    <m/>
    <n v="3230.2"/>
    <m/>
    <s v="N204"/>
    <s v="NWK ACCESS TECH"/>
    <s v="ACCESS OTHER"/>
    <s v="OTHER AURORA"/>
    <s v="N204"/>
    <s v="OM-INTERNAL ORDER"/>
    <s v="A-SURFACE"/>
    <s v="OP"/>
    <n v="1241411"/>
    <s v="A-SURFACE"/>
    <m/>
    <m/>
    <m/>
    <s v="A-SURFACE"/>
    <s v="LTL"/>
    <s v="DAP"/>
    <s v="Prepaid"/>
    <m/>
    <m/>
    <m/>
    <m/>
    <m/>
  </r>
  <r>
    <s v="SJ2"/>
    <s v="5003270"/>
    <s v="ARRIS TECHNOLOGY, INC."/>
    <s v="RDM - ROTTERDAM NL"/>
    <s v="R016P49L3B01"/>
    <s v="SJ2_STAG"/>
    <s v="ARRIS TECHNOLOGY, INC., C/O DB SCHENKER LOGISTICS NETHERLANDS"/>
    <s v="BU SEAFREIGHT"/>
    <s v="NL"/>
    <s v="KV ROTTERDAM"/>
    <s v="3197"/>
    <s v="PS3005D-2"/>
    <s v="POWER SUPPLY 250W CE TUV W/DIS"/>
    <s v="90710916"/>
    <s v="4.1"/>
    <n v="9753082"/>
    <n v="1948602"/>
    <d v="2016-10-12T01:59:01"/>
    <m/>
    <x v="36"/>
    <d v="2016-10-14T00:00:00"/>
    <d v="2016-10-12T23:59:00"/>
    <m/>
    <n v="8"/>
    <m/>
    <n v="2584.16"/>
    <m/>
    <s v="N204"/>
    <s v="NWK ACCESS TECH"/>
    <s v="ACCESS OTHER"/>
    <s v="OTHER AURORA"/>
    <s v="N204"/>
    <s v="OM-INTERNAL ORDER"/>
    <s v="A-SURFACE"/>
    <s v="OP"/>
    <n v="1241411"/>
    <s v="A-SURFACE"/>
    <m/>
    <m/>
    <m/>
    <s v="A-SURFACE"/>
    <s v="LTL"/>
    <s v="DAP"/>
    <s v="Prepaid"/>
    <m/>
    <m/>
    <m/>
    <m/>
    <m/>
  </r>
  <r>
    <s v="SJ2"/>
    <s v="5003270"/>
    <s v="ARRIS TECHNOLOGY, INC."/>
    <s v="RDM - ROTTERDAM NL"/>
    <s v="R016P49L3B01"/>
    <s v="SJ2_STAG"/>
    <s v="ARRIS TECHNOLOGY, INC., C/O DB SCHENKER LOGISTICS NETHERLANDS"/>
    <s v="BU SEAFREIGHT"/>
    <s v="NL"/>
    <s v="KV ROTTERDAM"/>
    <m/>
    <s v="PS3005D-2"/>
    <s v="POWER SUPPLY 250W CE TUV W/DIS"/>
    <s v="90710916"/>
    <s v="5.1"/>
    <n v="9753082"/>
    <n v="1948602"/>
    <d v="2016-10-12T01:59:01"/>
    <m/>
    <x v="36"/>
    <d v="2016-10-14T00:00:00"/>
    <d v="2016-10-12T23:59:00"/>
    <m/>
    <n v="28"/>
    <m/>
    <n v="9044.56"/>
    <m/>
    <s v="N204"/>
    <s v="NWK ACCESS TECH"/>
    <s v="ACCESS OTHER"/>
    <s v="OTHER AURORA"/>
    <s v="N204"/>
    <s v="OM-INTERNAL ORDER"/>
    <s v="A-SURFACE"/>
    <s v="OP"/>
    <n v="1241411"/>
    <s v="A-SURFACE"/>
    <m/>
    <m/>
    <m/>
    <s v="A-SURFACE"/>
    <s v="LTL"/>
    <s v="DAP"/>
    <s v="Prepaid"/>
    <m/>
    <m/>
    <m/>
    <m/>
    <m/>
  </r>
  <r>
    <s v="SJ2"/>
    <s v="5003270"/>
    <s v="ARRIS TECHNOLOGY, INC."/>
    <s v="RDM - ROTTERDAM NL"/>
    <s v="R016P49L2B02"/>
    <s v="SJ2_STAG"/>
    <s v="ARRIS TECHNOLOGY, INC., C/O DB SCHENKER LOGISTICS NETHERLANDS"/>
    <s v="BU SEAFREIGHT"/>
    <s v="NL"/>
    <s v="KV ROTTERDAM"/>
    <s v="3197"/>
    <s v="PS3005N-2"/>
    <s v="POWER SUPPLY 250W CE TUV W/O D"/>
    <s v="90710916"/>
    <s v="6.1"/>
    <n v="9753082"/>
    <n v="1948602"/>
    <d v="2016-10-12T01:59:01"/>
    <m/>
    <x v="36"/>
    <d v="2016-10-14T00:00:00"/>
    <d v="2016-10-12T23:59:00"/>
    <m/>
    <n v="2"/>
    <m/>
    <n v="541.55999999999995"/>
    <m/>
    <s v="N204"/>
    <s v="NWK ACCESS TECH"/>
    <s v="ACCESS OTHER"/>
    <s v="OTHER AURORA"/>
    <s v="N204"/>
    <s v="OM-INTERNAL ORDER"/>
    <s v="A-SURFACE"/>
    <s v="OP"/>
    <n v="1241411"/>
    <s v="A-SURFACE"/>
    <m/>
    <m/>
    <m/>
    <s v="A-SURFACE"/>
    <s v="LTL"/>
    <s v="DAP"/>
    <s v="Prepaid"/>
    <m/>
    <m/>
    <m/>
    <m/>
    <m/>
  </r>
  <r>
    <s v="SJ2"/>
    <s v="5003270"/>
    <s v="ARRIS TECHNOLOGY, INC."/>
    <s v="RDM - ROTTERDAM NL"/>
    <s v="R016P13L4B02"/>
    <s v="SJ2_STAG"/>
    <s v="ARRIS TECHNOLOGY, INC., C/O DB SCHENKER LOGISTICS NETHERLANDS"/>
    <s v="BU SEAFREIGHT"/>
    <s v="NL"/>
    <s v="KV ROTTERDAM"/>
    <s v="3197"/>
    <s v="PS3005N-2"/>
    <s v="POWER SUPPLY 250W CE TUV W/O D"/>
    <s v="90710916"/>
    <s v="6.1"/>
    <n v="9753082"/>
    <n v="1948602"/>
    <d v="2016-10-12T01:59:01"/>
    <m/>
    <x v="36"/>
    <d v="2016-10-14T00:00:00"/>
    <d v="2016-10-12T23:59:00"/>
    <m/>
    <n v="23"/>
    <m/>
    <n v="6227.94"/>
    <m/>
    <s v="N204"/>
    <s v="NWK ACCESS TECH"/>
    <s v="ACCESS OTHER"/>
    <s v="OTHER AURORA"/>
    <s v="N204"/>
    <s v="OM-INTERNAL ORDER"/>
    <s v="A-SURFACE"/>
    <s v="OP"/>
    <n v="1241411"/>
    <s v="A-SURFACE"/>
    <m/>
    <m/>
    <m/>
    <s v="A-SURFACE"/>
    <s v="LTL"/>
    <s v="DAP"/>
    <s v="Prepaid"/>
    <m/>
    <m/>
    <m/>
    <m/>
    <m/>
  </r>
  <r>
    <s v="SJ2"/>
    <s v="5003270"/>
    <s v="ARRIS TECHNOLOGY, INC."/>
    <s v="RDM - ROTTERDAM NL"/>
    <s v="R015P22L4"/>
    <s v="SJ2_STAG"/>
    <s v="ARRIS TECHNOLOGY, INC., C/O DB SCHENKER LOGISTICS NETHERLANDS"/>
    <s v="BU SEAFREIGHT"/>
    <s v="NL"/>
    <s v="KV ROTTERDAM"/>
    <s v="3197"/>
    <s v="PS3148N"/>
    <s v="POWER SUPPLY NO DISPLAY -48VDC"/>
    <s v="90710916"/>
    <s v="7.1"/>
    <n v="9753082"/>
    <n v="1948602"/>
    <d v="2016-10-12T01:59:01"/>
    <m/>
    <x v="36"/>
    <d v="2016-10-14T00:00:00"/>
    <d v="2016-10-12T23:59:00"/>
    <m/>
    <n v="7"/>
    <m/>
    <n v="1140.23"/>
    <m/>
    <s v="N204"/>
    <s v="NWK ACCESS TECH"/>
    <s v="ACCESS OTHER"/>
    <s v="OTHER AURORA"/>
    <s v="N204"/>
    <s v="OM-INTERNAL ORDER"/>
    <s v="A-SURFACE"/>
    <s v="OP"/>
    <n v="1241411"/>
    <s v="A-SURFACE"/>
    <m/>
    <m/>
    <m/>
    <s v="A-SURFACE"/>
    <s v="LTL"/>
    <s v="DAP"/>
    <s v="Prepaid"/>
    <m/>
    <m/>
    <m/>
    <m/>
    <m/>
  </r>
  <r>
    <s v="SJ2"/>
    <s v="5003270"/>
    <s v="ARRIS TECHNOLOGY, INC."/>
    <s v="RDM - ROTTERDAM NL"/>
    <s v="R023P11L1"/>
    <s v="SJ2_STAG"/>
    <s v="ARRIS TECHNOLOGY, INC., C/O DB SCHENKER LOGISTICS NETHERLANDS"/>
    <s v="BU SEAFREIGHT"/>
    <s v="NL"/>
    <s v="KV ROTTERDAM"/>
    <s v="3197"/>
    <s v="BP3001"/>
    <s v="BLANK PLATE 1 WIDE REVERSIBLE"/>
    <s v="90710927"/>
    <s v="2.1"/>
    <n v="9753413"/>
    <n v="1949415"/>
    <d v="2016-10-12T20:05:59"/>
    <m/>
    <x v="37"/>
    <d v="2016-10-14T00:00:00"/>
    <d v="2016-10-12T23:59:00"/>
    <m/>
    <n v="44"/>
    <m/>
    <n v="490.6"/>
    <m/>
    <s v="N224"/>
    <s v="NWK ACCESS TECH"/>
    <s v="ACCESS OTHER"/>
    <s v="OTHER AURORA"/>
    <s v="N224"/>
    <s v="OM-INTERNAL ORDER"/>
    <s v="A-SURFACE"/>
    <s v="OP"/>
    <n v="1241866"/>
    <s v="A-SURFACE"/>
    <m/>
    <m/>
    <m/>
    <s v="A-SURFACE"/>
    <s v="LTL"/>
    <s v="DAP"/>
    <s v="Prepaid"/>
    <m/>
    <m/>
    <m/>
    <m/>
    <m/>
  </r>
  <r>
    <s v="SJ2"/>
    <s v="5003270"/>
    <s v="ARRIS TECHNOLOGY, INC."/>
    <s v="RDM - ROTTERDAM NL"/>
    <s v="R015P41L3"/>
    <s v="SJ2_STAG"/>
    <s v="ARRIS TECHNOLOGY, INC., C/O DB SCHENKER LOGISTICS NETHERLANDS"/>
    <s v="BU SEAFREIGHT"/>
    <s v="NL"/>
    <s v="KV ROTTERDAM"/>
    <s v="3197"/>
    <s v="CPS4801-AC-01F"/>
    <s v="MOD POWER SUPPLY CPS4801-AC"/>
    <s v="90710937"/>
    <s v="1.1"/>
    <n v="9753745"/>
    <n v="1950155"/>
    <d v="2016-10-13T13:46:37"/>
    <m/>
    <x v="12"/>
    <d v="2016-10-20T00:00:00"/>
    <d v="2016-10-13T23:59:00"/>
    <m/>
    <n v="10"/>
    <m/>
    <n v="1940"/>
    <m/>
    <s v="N224"/>
    <s v="NWK ACCESS TECH"/>
    <s v="ACCESS OTHER"/>
    <s v="OTHER AURORA"/>
    <s v="N224"/>
    <s v="OM-INTERNAL ORDER"/>
    <s v="A-SURFACE"/>
    <s v="OP"/>
    <n v="1242339"/>
    <s v="A-SURFACE"/>
    <m/>
    <m/>
    <m/>
    <s v="A-SURFACE"/>
    <s v="LTL"/>
    <s v="DAP"/>
    <s v="Prepaid"/>
    <m/>
    <m/>
    <m/>
    <m/>
    <m/>
  </r>
  <r>
    <s v="SJ2"/>
    <s v="5003270"/>
    <s v="ARRIS TECHNOLOGY, INC."/>
    <s v="RDM - ROTTERDAM NL"/>
    <s v="R015P54L1"/>
    <s v="SJ2_STAG"/>
    <s v="ARRIS TECHNOLOGY, INC., C/O DB SCHENKER LOGISTICS NETHERLANDS"/>
    <s v="BU SEAFREIGHT"/>
    <s v="NL"/>
    <s v="KV ROTTERDAM"/>
    <s v="3197"/>
    <s v="HLP4800-6F"/>
    <s v="PLATFORM HLP4800"/>
    <s v="90710938"/>
    <s v="1.1"/>
    <n v="9753745"/>
    <n v="1950155"/>
    <d v="2016-10-13T13:51:04"/>
    <m/>
    <x v="12"/>
    <d v="2016-10-20T00:00:00"/>
    <d v="2016-10-13T23:59:00"/>
    <m/>
    <n v="5"/>
    <m/>
    <n v="1000"/>
    <m/>
    <s v="N140"/>
    <s v="NWK ACCESS TECH"/>
    <s v="HEO"/>
    <s v="HEO MISC AURORA"/>
    <s v="N140"/>
    <s v="OM-INTERNAL ORDER"/>
    <s v="A-SURFACE"/>
    <s v="OP"/>
    <n v="1242339"/>
    <s v="A-SURFACE"/>
    <m/>
    <m/>
    <m/>
    <s v="A-SURFACE"/>
    <s v="LTL"/>
    <s v="DAP"/>
    <s v="Prepaid"/>
    <m/>
    <m/>
    <m/>
    <m/>
    <m/>
  </r>
  <r>
    <s v="SJ2"/>
    <s v="5008835"/>
    <s v="SHENZHEN DONYAN TECHNOLOGY CO LTD"/>
    <s v="SHENZHEN002"/>
    <s v="R015P29L3"/>
    <s v="SJ2_STAG"/>
    <s v="SHENZHEN DONYAN TECHNOLOGY CO., LTD"/>
    <s v="16/F CHANGHONG BUILDING,"/>
    <m/>
    <s v="SHENZHEN"/>
    <s v="518057"/>
    <s v="PS1921W-00"/>
    <s v="POWER SUPPLY 15V RFOG OBI FREE"/>
    <s v="20109259"/>
    <s v="2.1"/>
    <n v="9753589"/>
    <n v="1949849"/>
    <d v="2016-09-04T22:55:18"/>
    <m/>
    <x v="38"/>
    <d v="2016-09-09T00:00:00"/>
    <d v="2016-10-13T23:59:00"/>
    <m/>
    <n v="32"/>
    <m/>
    <n v="450.56"/>
    <m/>
    <s v="N204"/>
    <s v="NWK ACCESS TECH"/>
    <s v="ACCESS OTHER"/>
    <s v="OTHER AURORA"/>
    <s v="N204"/>
    <s v="AS-STANDARD ORDER MIXED"/>
    <s v="A-SURFACE"/>
    <s v="OP"/>
    <n v="1242184"/>
    <s v="A-SURFACE"/>
    <m/>
    <m/>
    <m/>
    <s v="A-SURFACE"/>
    <s v="LTL"/>
    <s v="EXW"/>
    <s v="Collect"/>
    <m/>
    <m/>
    <s v="Please contact EXPEDITORS /Agnieszka Tarchala/ Agnieszka.Tarchala@expeditors.com/Tel: 630-616-2338 /cyrus.li@expeditors.com/nicki.zhang@expeditors.com/ any question, please contact Joanna.li@arris.com"/>
    <m/>
    <m/>
  </r>
  <r>
    <s v="SJ2"/>
    <s v="5017196"/>
    <s v="CHARTER"/>
    <s v="ZILWAUKEE002"/>
    <s v="R015P35L2"/>
    <s v="SJ2_STAG"/>
    <s v="CHARTER COMMUNICATIONS"/>
    <s v="950 Bridgeview N"/>
    <s v="MI"/>
    <s v="Saginaw"/>
    <s v="48604-1166"/>
    <s v="FT4005-C"/>
    <s v="FIBER TRAY UNIVERSAL F/S-CASE"/>
    <s v="20106840"/>
    <s v="6.1"/>
    <n v="9743244"/>
    <n v="1929346"/>
    <d v="2016-08-25T00:00:00"/>
    <s v="20161016 000000"/>
    <x v="39"/>
    <d v="2016-10-03T00:00:00"/>
    <d v="2016-09-26T23:59:00"/>
    <m/>
    <n v="2"/>
    <m/>
    <n v="96"/>
    <m/>
    <s v="N224"/>
    <s v="NWK ACCESS TECH"/>
    <s v="ACCESS OTHER"/>
    <s v="OTHER AURORA"/>
    <s v="N224"/>
    <s v="AS-STANDARD ORDER MIXED"/>
    <s v="A-SURFACE"/>
    <s v="OP"/>
    <n v="1229539"/>
    <s v="A-SURFACE"/>
    <m/>
    <m/>
    <m/>
    <s v="A-SURFACE"/>
    <s v="LTL"/>
    <s v="EXW"/>
    <s v="Prepay &amp; Add"/>
    <m/>
    <m/>
    <m/>
    <m/>
    <m/>
  </r>
  <r>
    <s v="SJ2"/>
    <s v="5017196"/>
    <s v="CHARTER"/>
    <s v="FENTON006"/>
    <s v="REC1"/>
    <s v="SJ2_STAG"/>
    <s v="CHARTER COMMUNICATIONS"/>
    <s v="2081 Corporate 44 Dr Bldg 6"/>
    <s v="MO"/>
    <s v="Fenton"/>
    <s v="63026-2517"/>
    <s v="CX3002"/>
    <s v="COMMUNICATIONS MODULE"/>
    <s v="20107315"/>
    <s v="5.1"/>
    <n v="9753816"/>
    <n v="1950275"/>
    <d v="2016-08-24T00:00:00"/>
    <s v="20161028 000000"/>
    <x v="14"/>
    <d v="2016-10-17T00:00:00"/>
    <d v="2016-10-13T23:59:00"/>
    <m/>
    <n v="2"/>
    <m/>
    <n v="646"/>
    <m/>
    <s v="N080"/>
    <s v="NWK ACCESS TECH"/>
    <s v="HEO"/>
    <s v="HEO MISC AURORA"/>
    <s v="N080"/>
    <s v="AS-STANDARD ORDER MIXED"/>
    <s v="A-SURFACE"/>
    <s v="OP"/>
    <n v="1242390"/>
    <s v="A-SURFACE"/>
    <m/>
    <m/>
    <m/>
    <s v="A-SURFACE"/>
    <s v="LTL"/>
    <s v="EXW"/>
    <s v="Prepay &amp; Add"/>
    <m/>
    <m/>
    <s v="Delivery Instructions-NANCY YOUNT 314-565-7964;HOURS:0900-1400"/>
    <m/>
    <m/>
  </r>
  <r>
    <s v="SJ2"/>
    <s v="5017196"/>
    <s v="CHARTER"/>
    <s v="SPARKS001"/>
    <s v="R023P11L4"/>
    <s v="SJ2_STAG"/>
    <s v="CHARTER COMMUNICATIONS"/>
    <s v="1031 E Glendale Ave"/>
    <s v="NV"/>
    <s v="Sparks"/>
    <s v="89431-6460"/>
    <s v="HT3541H-D-A580-2-AS"/>
    <s v="XMTR DD 1.2GHZ FULL SPECTRUM 3"/>
    <s v="20109014"/>
    <s v="12.1"/>
    <n v="9753813"/>
    <n v="1950253"/>
    <d v="2016-09-14T00:00:00"/>
    <s v="20161110 000000"/>
    <x v="14"/>
    <d v="2016-10-17T00:00:00"/>
    <d v="2016-10-13T23:59:00"/>
    <m/>
    <n v="1"/>
    <m/>
    <n v="1440"/>
    <m/>
    <s v="HE64"/>
    <s v="NWK ACCESS TECH"/>
    <s v="HEO"/>
    <s v="TRANSMITTER"/>
    <s v="HT"/>
    <s v="AS-STANDARD ORDER MIXED"/>
    <s v="A-SURFACE"/>
    <s v="OP"/>
    <n v="1242390"/>
    <s v="A-SURFACE"/>
    <m/>
    <m/>
    <m/>
    <s v="A-SURFACE"/>
    <s v="LTL"/>
    <s v="EXW"/>
    <s v="Prepay &amp; Add"/>
    <m/>
    <m/>
    <s v="Delivery Instructions-RECEIVING HOURS: 0700-1300"/>
    <m/>
    <m/>
  </r>
  <r>
    <s v="SJ2"/>
    <s v="5017196"/>
    <s v="CHARTER"/>
    <s v="SPARKS001"/>
    <s v="R023P65L3"/>
    <s v="SJ2_STAG"/>
    <s v="CHARTER COMMUNICATIONS"/>
    <s v="1031 E Glendale Ave"/>
    <s v="NV"/>
    <s v="Sparks"/>
    <s v="89431-6460"/>
    <s v="HT3541H-D-A420-2-AS"/>
    <s v="XMTR DD 1.2GHZ FULL SPECTRUM 3"/>
    <s v="20109014"/>
    <s v="8.1"/>
    <n v="9753813"/>
    <n v="1950253"/>
    <d v="2016-09-14T00:00:00"/>
    <s v="20161110 000000"/>
    <x v="14"/>
    <d v="2016-10-17T00:00:00"/>
    <d v="2016-10-13T23:59:00"/>
    <m/>
    <n v="1"/>
    <m/>
    <n v="1440"/>
    <m/>
    <s v="HE64"/>
    <s v="NWK ACCESS TECH"/>
    <s v="HEO"/>
    <s v="TRANSMITTER"/>
    <s v="HT"/>
    <s v="AS-STANDARD ORDER MIXED"/>
    <s v="A-SURFACE"/>
    <s v="OP"/>
    <n v="1242390"/>
    <s v="A-SURFACE"/>
    <m/>
    <m/>
    <m/>
    <s v="A-SURFACE"/>
    <s v="LTL"/>
    <s v="EXW"/>
    <s v="Prepay &amp; Add"/>
    <m/>
    <m/>
    <s v="Delivery Instructions-RECEIVING HOURS: 0700-1300"/>
    <m/>
    <m/>
  </r>
  <r>
    <s v="SJ2"/>
    <s v="5017196"/>
    <s v="CHARTER"/>
    <s v="SPARKS001"/>
    <s v="R023P13L2"/>
    <s v="SJ2_STAG"/>
    <s v="CHARTER COMMUNICATIONS"/>
    <s v="1031 E Glendale Ave"/>
    <s v="NV"/>
    <s v="Sparks"/>
    <s v="89431-6460"/>
    <s v="OA-03-00-AL"/>
    <s v="ATTENUATOR STD OPT LC/APC 3DB"/>
    <s v="20109923"/>
    <s v="15.1"/>
    <n v="9753814"/>
    <n v="1950257"/>
    <d v="2016-09-13T00:00:00"/>
    <s v="20161110 000000"/>
    <x v="14"/>
    <d v="2016-10-20T00:00:00"/>
    <d v="2016-10-13T23:59:00"/>
    <m/>
    <n v="1"/>
    <m/>
    <n v="156"/>
    <m/>
    <s v="N224"/>
    <s v="NWK ACCESS TECH"/>
    <s v="ACCESS OTHER"/>
    <s v="OTHER AURORA"/>
    <s v="N224"/>
    <s v="AS-STANDARD ORDER MIXED"/>
    <s v="A-SURFACE"/>
    <s v="OP"/>
    <n v="1242390"/>
    <s v="A-SURFACE"/>
    <m/>
    <m/>
    <m/>
    <s v="A-SURFACE"/>
    <s v="LTL"/>
    <s v="EXW"/>
    <s v="Prepay &amp; Add"/>
    <m/>
    <m/>
    <s v="Delivery Instructions-RECEIVING HOURS: 0700-1300"/>
    <m/>
    <m/>
  </r>
  <r>
    <s v="SJ2"/>
    <s v="5017196"/>
    <s v="CHARTER"/>
    <s v="SPARKS001"/>
    <s v="R023P04L1"/>
    <s v="SJ2_STAG"/>
    <s v="CHARTER COMMUNICATIONS"/>
    <s v="1031 E Glendale Ave"/>
    <s v="NV"/>
    <s v="Sparks"/>
    <s v="89431-6460"/>
    <s v="TL3000-EJ-00"/>
    <s v="TOOL EXTRACTOR HANDLE CH3000"/>
    <s v="20109923"/>
    <s v="16.1"/>
    <n v="9753838"/>
    <n v="1950320"/>
    <d v="2016-09-13T00:00:00"/>
    <s v="20161110 000000"/>
    <x v="40"/>
    <d v="2016-10-17T00:00:00"/>
    <d v="2016-10-13T23:59:00"/>
    <m/>
    <n v="1"/>
    <m/>
    <n v="6"/>
    <m/>
    <s v="N185"/>
    <s v="NWK ACCESS TECH"/>
    <s v="ACCESS OTHER"/>
    <s v="OTHER AURORA"/>
    <s v="N185"/>
    <s v="AS-STANDARD ORDER MIXED"/>
    <s v="A-SURFACE"/>
    <s v="OP"/>
    <n v="1242416"/>
    <s v="A-SURFACE"/>
    <m/>
    <m/>
    <m/>
    <s v="A-SURFACE"/>
    <s v="LTL"/>
    <s v="EXW"/>
    <s v="Prepay &amp; Add"/>
    <m/>
    <m/>
    <s v="Delivery Instructions-RECEIVING HOURS: 0700-1300"/>
    <m/>
    <m/>
  </r>
  <r>
    <s v="SJ2"/>
    <s v="5017196"/>
    <s v="CHARTER"/>
    <s v="ZILWAUKEE002"/>
    <s v="R023P13L2"/>
    <s v="SJ2_STAG"/>
    <s v="CHARTER COMMUNICATIONS"/>
    <s v="950 Bridgeview N"/>
    <s v="MI"/>
    <s v="Saginaw"/>
    <s v="48604-1166"/>
    <s v="OA-03-00-AL"/>
    <s v="ATTENUATOR STD OPT LC/APC 3DB"/>
    <s v="20109924"/>
    <s v="5.1"/>
    <n v="9753843"/>
    <n v="1950313"/>
    <d v="2016-09-13T00:00:00"/>
    <s v="20161031 000000"/>
    <x v="40"/>
    <d v="2016-10-20T00:00:00"/>
    <d v="2016-10-13T23:59:00"/>
    <m/>
    <n v="1"/>
    <m/>
    <n v="156"/>
    <m/>
    <s v="N224"/>
    <s v="NWK ACCESS TECH"/>
    <s v="ACCESS OTHER"/>
    <s v="OTHER AURORA"/>
    <s v="N224"/>
    <s v="AS-STANDARD ORDER MIXED"/>
    <s v="A-SURFACE"/>
    <s v="OP"/>
    <n v="1242416"/>
    <s v="A-SURFACE"/>
    <m/>
    <m/>
    <m/>
    <s v="A-SURFACE"/>
    <s v="LTL"/>
    <s v="EXW"/>
    <s v="Prepay &amp; Add"/>
    <m/>
    <m/>
    <m/>
    <m/>
    <m/>
  </r>
  <r>
    <s v="SJ2"/>
    <s v="5017196"/>
    <s v="CHARTER"/>
    <s v="DULUTH001"/>
    <s v="R023P10L4"/>
    <s v="SJ2_STAG"/>
    <s v="CHARTER COMMUNICATIONS"/>
    <s v="1925 Breckinridge Plz Ste 100"/>
    <s v="GA"/>
    <s v="Duluth"/>
    <s v="30096-8992"/>
    <s v="HT3309H-D-1310-2-AS"/>
    <s v="XMTR DD 1.2GHZ 1310NM D-IN 9DB"/>
    <s v="20110169"/>
    <s v="5.1"/>
    <n v="9753837"/>
    <n v="1950311"/>
    <d v="2016-09-13T00:00:00"/>
    <s v="20161130 000000"/>
    <x v="40"/>
    <d v="2016-10-17T00:00:00"/>
    <d v="2016-10-13T23:59:00"/>
    <m/>
    <n v="1"/>
    <m/>
    <n v="900"/>
    <m/>
    <s v="HE64"/>
    <s v="NWK ACCESS TECH"/>
    <s v="HEO"/>
    <s v="TRANSMITTER"/>
    <s v="HT"/>
    <s v="AS-STANDARD ORDER MIXED"/>
    <s v="A-SURFACE"/>
    <s v="OP"/>
    <n v="1242416"/>
    <s v="A-SURFACE"/>
    <m/>
    <m/>
    <m/>
    <s v="A-SURFACE"/>
    <s v="LTL"/>
    <s v="EXW"/>
    <s v="Prepay &amp; Add"/>
    <m/>
    <m/>
    <s v="Delivery Instructions-HOURS: 0700-1200;(678)226-3692"/>
    <m/>
    <m/>
  </r>
  <r>
    <s v="SJ2"/>
    <s v="5017196"/>
    <s v="CHARTER"/>
    <s v="SPARKS001"/>
    <s v="REC1"/>
    <s v="SJ2_STAG"/>
    <s v="CHARTER COMMUNICATIONS"/>
    <s v="1031 E Glendale Ave"/>
    <s v="NV"/>
    <s v="Sparks"/>
    <s v="89431-6460"/>
    <s v="CX3002"/>
    <s v="COMMUNICATIONS MODULE"/>
    <s v="20110932"/>
    <s v="5.1"/>
    <n v="9753842"/>
    <n v="1950320"/>
    <d v="2016-09-13T00:00:00"/>
    <s v="20161124 000000"/>
    <x v="40"/>
    <d v="2016-10-17T00:00:00"/>
    <d v="2016-10-13T23:59:00"/>
    <m/>
    <n v="5"/>
    <m/>
    <n v="1530"/>
    <m/>
    <s v="N080"/>
    <s v="NWK ACCESS TECH"/>
    <s v="HEO"/>
    <s v="HEO MISC AURORA"/>
    <s v="N080"/>
    <s v="AS-STANDARD ORDER MIXED"/>
    <s v="A-SURFACE"/>
    <s v="OP"/>
    <n v="1242416"/>
    <s v="A-SURFACE"/>
    <m/>
    <m/>
    <m/>
    <s v="A-SURFACE"/>
    <s v="LTL"/>
    <s v="EXW"/>
    <s v="Prepay &amp; Add"/>
    <m/>
    <m/>
    <s v="Delivery Instructions-RECEIVING HOURS: 0700-1300"/>
    <m/>
    <m/>
  </r>
  <r>
    <s v="SJ2"/>
    <s v="5017196"/>
    <s v="CHARTER"/>
    <s v="SPARKS001"/>
    <m/>
    <s v="SJ2_STAG"/>
    <s v="CHARTER COMMUNICATIONS"/>
    <s v="1031 E Glendale Ave"/>
    <s v="NV"/>
    <s v="Sparks"/>
    <s v="89431-6460"/>
    <s v="HT3541H-D-A510-2-AS"/>
    <s v="XMTR DD 1.2GHZ FULL SPECTRUM 3"/>
    <s v="20110937"/>
    <s v="22.1"/>
    <n v="9753841"/>
    <n v="1950312"/>
    <d v="2016-09-13T00:00:00"/>
    <s v="20161124 000000"/>
    <x v="40"/>
    <d v="2016-10-17T00:00:00"/>
    <d v="2016-10-17T23:59:00"/>
    <m/>
    <n v="1"/>
    <m/>
    <n v="1440"/>
    <m/>
    <s v="HE64"/>
    <s v="NWK ACCESS TECH"/>
    <s v="HEO"/>
    <s v="TRANSMITTER"/>
    <s v="HT"/>
    <s v="AS-STANDARD ORDER MIXED"/>
    <s v="A-SURFACE"/>
    <s v="OP"/>
    <n v="1242416"/>
    <s v="A-SURFACE"/>
    <m/>
    <m/>
    <m/>
    <s v="A-SURFACE"/>
    <s v="LTL"/>
    <s v="EXW"/>
    <s v="Prepay &amp; Add"/>
    <m/>
    <m/>
    <s v="Delivery Instructions-RECEIVING HOURS: 0700-1300"/>
    <m/>
    <m/>
  </r>
  <r>
    <s v="SJ2"/>
    <s v="5017196"/>
    <s v="CHARTER"/>
    <s v="SPARKS001"/>
    <s v="R023P10L4"/>
    <s v="SJ2_STAG"/>
    <s v="CHARTER COMMUNICATIONS"/>
    <s v="1031 E Glendale Ave"/>
    <s v="NV"/>
    <s v="Sparks"/>
    <s v="89431-6460"/>
    <s v="HT3309H-D-1310-2-AS"/>
    <s v="XMTR DD 1.2GHZ 1310NM D-IN 9DB"/>
    <s v="20110937"/>
    <s v="23.1"/>
    <n v="9753815"/>
    <n v="1950253"/>
    <d v="2016-09-13T00:00:00"/>
    <s v="20161124 000000"/>
    <x v="14"/>
    <d v="2016-11-24T00:00:00"/>
    <d v="2016-10-17T23:59:00"/>
    <m/>
    <n v="1"/>
    <m/>
    <n v="900"/>
    <m/>
    <s v="HE64"/>
    <s v="NWK ACCESS TECH"/>
    <s v="HEO"/>
    <s v="TRANSMITTER"/>
    <s v="HT"/>
    <s v="AS-STANDARD ORDER MIXED"/>
    <s v="A-SURFACE"/>
    <s v="OP"/>
    <n v="1242390"/>
    <s v="A-SURFACE"/>
    <m/>
    <m/>
    <m/>
    <s v="A-SURFACE"/>
    <s v="LTL"/>
    <s v="EXW"/>
    <s v="Prepay &amp; Add"/>
    <m/>
    <m/>
    <s v="Delivery Instructions-RECEIVING HOURS: 0700-1300"/>
    <m/>
    <m/>
  </r>
  <r>
    <s v="SJ2"/>
    <s v="5017196"/>
    <s v="CHARTER"/>
    <s v="SPARKS001"/>
    <s v="R012P05L1"/>
    <s v="SJ2_STAG"/>
    <s v="CHARTER COMMUNICATIONS"/>
    <s v="1031 E Glendale Ave"/>
    <s v="NV"/>
    <s v="Sparks"/>
    <s v="89431-6460"/>
    <s v="HT3541H-D-A510-2-AS"/>
    <s v="XMTR DD 1.2GHZ FULL SPECTRUM 3"/>
    <s v="20110939"/>
    <s v="17.1"/>
    <n v="9753840"/>
    <n v="1950301"/>
    <d v="2016-09-13T00:00:00"/>
    <s v="20161124 000000"/>
    <x v="40"/>
    <d v="2016-10-17T00:00:00"/>
    <d v="2016-10-17T23:59:00"/>
    <m/>
    <n v="1"/>
    <m/>
    <n v="1440"/>
    <m/>
    <s v="HE64"/>
    <s v="NWK ACCESS TECH"/>
    <s v="HEO"/>
    <s v="TRANSMITTER"/>
    <s v="HT"/>
    <s v="AS-STANDARD ORDER MIXED"/>
    <s v="A-SURFACE"/>
    <s v="OP"/>
    <n v="1242416"/>
    <s v="A-SURFACE"/>
    <m/>
    <m/>
    <m/>
    <s v="A-SURFACE"/>
    <s v="LTL"/>
    <s v="EXW"/>
    <s v="Prepay &amp; Add"/>
    <m/>
    <m/>
    <s v="Delivery Instructions-RECEIVING HOURS: 0700-1300"/>
    <m/>
    <m/>
  </r>
  <r>
    <s v="SJ2"/>
    <s v="5017196"/>
    <s v="CHARTER"/>
    <s v="SPARKS001"/>
    <s v="R023P04L4"/>
    <s v="SJ2_STAG"/>
    <s v="CHARTER COMMUNICATIONS"/>
    <s v="1031 E Glendale Ave"/>
    <s v="NV"/>
    <s v="Sparks"/>
    <s v="89431-6460"/>
    <s v="BD35M4-AC3-H02F-3-AS"/>
    <s v="OPT MUX BD 100GHZ D ITU CH 23"/>
    <s v="20110939"/>
    <s v="2.1"/>
    <n v="9753840"/>
    <n v="1950300"/>
    <d v="2016-09-13T00:00:00"/>
    <s v="20161124 000000"/>
    <x v="40"/>
    <d v="2016-10-17T00:00:00"/>
    <d v="2016-10-17T23:59:00"/>
    <m/>
    <n v="3"/>
    <m/>
    <n v="4950"/>
    <m/>
    <s v="N258"/>
    <s v="NWK ACCESS TECH"/>
    <s v="HEO"/>
    <s v="TRANSMITTERS AURORA"/>
    <s v="HDTX"/>
    <s v="AS-STANDARD ORDER MIXED"/>
    <s v="A-SURFACE"/>
    <s v="OP"/>
    <n v="1242416"/>
    <s v="A-SURFACE"/>
    <m/>
    <m/>
    <m/>
    <s v="A-SURFACE"/>
    <s v="LTL"/>
    <s v="EXW"/>
    <s v="Prepay &amp; Add"/>
    <m/>
    <m/>
    <s v="Delivery Instructions-RECEIVING HOURS: 0700-1300"/>
    <m/>
    <m/>
  </r>
  <r>
    <s v="SJ2"/>
    <s v="5017196"/>
    <s v="CHARTER"/>
    <s v="SPARKS001"/>
    <s v="R023P13L2"/>
    <s v="SJ2_STAG"/>
    <s v="CHARTER COMMUNICATIONS"/>
    <s v="1031 E Glendale Ave"/>
    <s v="NV"/>
    <s v="Sparks"/>
    <s v="89431-6460"/>
    <s v="OA-05-00-AL"/>
    <s v="ATTENUATOR STD OPT LC/APC 5DB"/>
    <s v="20110943"/>
    <s v="1.1"/>
    <n v="9753839"/>
    <n v="1950300"/>
    <d v="2016-09-13T00:00:00"/>
    <s v="20161117 000000"/>
    <x v="40"/>
    <d v="2016-11-17T00:00:00"/>
    <d v="2016-10-17T23:59:00"/>
    <m/>
    <n v="1"/>
    <m/>
    <n v="39"/>
    <m/>
    <s v="N224"/>
    <s v="NWK ACCESS TECH"/>
    <s v="ACCESS OTHER"/>
    <s v="OTHER AURORA"/>
    <s v="N224"/>
    <s v="AS-STANDARD ORDER MIXED"/>
    <s v="A-SURFACE"/>
    <s v="OP"/>
    <n v="1242416"/>
    <s v="A-SURFACE"/>
    <m/>
    <m/>
    <m/>
    <s v="A-SURFACE"/>
    <s v="LTL"/>
    <s v="EXW"/>
    <s v="Prepay &amp; Add"/>
    <m/>
    <m/>
    <s v="Delivery Instructions-RECEIVING HOURS: 0700-1300"/>
    <m/>
    <m/>
  </r>
  <r>
    <s v="SJ2"/>
    <s v="5017196"/>
    <s v="CHARTER"/>
    <s v="SPARKS001"/>
    <s v="R023P04L4"/>
    <s v="SJ2_STAG"/>
    <s v="CHARTER COMMUNICATIONS"/>
    <s v="1031 E Glendale Ave"/>
    <s v="NV"/>
    <s v="Sparks"/>
    <s v="89431-6460"/>
    <s v="BD35M4-AC3-H02F-3-AS"/>
    <s v="OPT MUX BD 100GHZ D ITU CH 23"/>
    <s v="20110943"/>
    <s v="10.1"/>
    <n v="9753839"/>
    <n v="1950300"/>
    <d v="2016-09-13T00:00:00"/>
    <s v="20161117 000000"/>
    <x v="40"/>
    <d v="2016-11-17T00:00:00"/>
    <d v="2016-10-17T23:59:00"/>
    <m/>
    <n v="1"/>
    <m/>
    <n v="1650"/>
    <m/>
    <s v="N258"/>
    <s v="NWK ACCESS TECH"/>
    <s v="HEO"/>
    <s v="TRANSMITTERS AURORA"/>
    <s v="HDTX"/>
    <s v="AS-STANDARD ORDER MIXED"/>
    <s v="A-SURFACE"/>
    <s v="OP"/>
    <n v="1242416"/>
    <s v="A-SURFACE"/>
    <m/>
    <m/>
    <m/>
    <s v="A-SURFACE"/>
    <s v="LTL"/>
    <s v="EXW"/>
    <s v="Prepay &amp; Add"/>
    <m/>
    <m/>
    <s v="Delivery Instructions-RECEIVING HOURS: 0700-1300"/>
    <m/>
    <m/>
  </r>
  <r>
    <s v="SJ2"/>
    <s v="5017196"/>
    <s v="CHARTER"/>
    <s v="PORTAGE001"/>
    <s v="R015P19L2"/>
    <s v="SJ2_STAG"/>
    <s v="CHARTER COMMUNICATIONS"/>
    <s v="4176 Commercial Ave"/>
    <s v="MI"/>
    <s v="Portage"/>
    <s v="49002-9700"/>
    <s v="CH3000N"/>
    <s v="CHASSIS NO COVERS 3RU"/>
    <s v="20116613"/>
    <s v="1.1"/>
    <n v="9753629"/>
    <n v="1949957"/>
    <d v="2016-10-13T00:00:00"/>
    <m/>
    <x v="41"/>
    <d v="2016-10-13T00:00:00"/>
    <d v="2016-10-13T23:59:00"/>
    <m/>
    <n v="1"/>
    <m/>
    <n v="220"/>
    <m/>
    <s v="N199"/>
    <s v="NWK ACCESS TECH"/>
    <s v="HEO"/>
    <s v="HEO MISC AURORA"/>
    <s v="N199"/>
    <s v="AS-STANDARD ORDER MIXED"/>
    <s v="A-SURFACE"/>
    <s v="OP"/>
    <n v="1242237"/>
    <s v="A-SURFACE"/>
    <m/>
    <m/>
    <m/>
    <s v="A-SURFACE"/>
    <s v="LTL"/>
    <s v="EXW"/>
    <s v="Prepay &amp; Add"/>
    <m/>
    <m/>
    <s v="Delivery Instructions-RECEIVING HOURS 7a-3:30p M-F"/>
    <m/>
    <m/>
  </r>
  <r>
    <s v="SJ2"/>
    <s v="5017196"/>
    <s v="CHARTER"/>
    <s v="PORTAGE001"/>
    <s v="R015P57L1"/>
    <s v="SJ2_STAG"/>
    <s v="CHARTER COMMUNICATIONS"/>
    <s v="4176 Commercial Ave"/>
    <s v="MI"/>
    <s v="Portage"/>
    <s v="49002-9700"/>
    <s v="NC232A1SGA1-0000000"/>
    <s v="NODE 5-42MHZ RVS 51-1GHZ FWD 1"/>
    <s v="20116613"/>
    <s v="11.1"/>
    <n v="9753629"/>
    <n v="1949958"/>
    <d v="2016-10-13T00:00:00"/>
    <m/>
    <x v="41"/>
    <d v="2016-10-13T00:00:00"/>
    <d v="2016-10-13T23:59:00"/>
    <m/>
    <n v="1"/>
    <m/>
    <n v="1003"/>
    <m/>
    <s v="N120"/>
    <s v="NWK ACCESS TECH"/>
    <s v="NODE"/>
    <s v="NC2000 AURORA"/>
    <s v="N120"/>
    <s v="AS-STANDARD ORDER MIXED"/>
    <s v="A-SURFACE"/>
    <s v="OP"/>
    <n v="1242237"/>
    <s v="A-SURFACE"/>
    <m/>
    <m/>
    <m/>
    <s v="A-SURFACE"/>
    <s v="LTL"/>
    <s v="EXW"/>
    <s v="Prepay &amp; Add"/>
    <m/>
    <m/>
    <s v="Delivery Instructions-RECEIVING HOURS 7a-3:30p M-F"/>
    <m/>
    <m/>
  </r>
  <r>
    <s v="SJ2"/>
    <s v="5017196"/>
    <s v="CHARTER"/>
    <s v="PORTAGE001"/>
    <s v="R015P68L1"/>
    <s v="SJ2_STAG"/>
    <s v="CHARTER COMMUNICATIONS"/>
    <s v="4176 Commercial Ave"/>
    <s v="MI"/>
    <s v="Portage"/>
    <s v="49002-9700"/>
    <s v="CH3000U-FM-00"/>
    <s v="ADAPTER FIBER MGT FOR CH3000 C"/>
    <s v="20116613"/>
    <s v="2.1"/>
    <n v="9753629"/>
    <n v="1949958"/>
    <d v="2016-10-13T00:00:00"/>
    <m/>
    <x v="41"/>
    <d v="2016-10-13T00:00:00"/>
    <d v="2016-10-13T23:59:00"/>
    <m/>
    <n v="1"/>
    <m/>
    <n v="55"/>
    <m/>
    <s v="N199"/>
    <s v="NWK ACCESS TECH"/>
    <s v="HEO"/>
    <s v="HEO MISC AURORA"/>
    <s v="N199"/>
    <s v="AS-STANDARD ORDER MIXED"/>
    <s v="A-SURFACE"/>
    <s v="OP"/>
    <n v="1242237"/>
    <s v="A-SURFACE"/>
    <m/>
    <m/>
    <m/>
    <s v="A-SURFACE"/>
    <s v="LTL"/>
    <s v="EXW"/>
    <s v="Prepay &amp; Add"/>
    <m/>
    <m/>
    <s v="Delivery Instructions-RECEIVING HOURS 7a-3:30p M-F"/>
    <m/>
    <m/>
  </r>
  <r>
    <s v="SJ2"/>
    <s v="5017196"/>
    <s v="CHARTER"/>
    <s v="PORTAGE001"/>
    <s v="R015P22L3"/>
    <s v="SJ2_STAG"/>
    <s v="CHARTER COMMUNICATIONS"/>
    <s v="4176 Commercial Ave"/>
    <s v="MI"/>
    <s v="Portage"/>
    <s v="49002-9700"/>
    <s v="PS3005D"/>
    <s v="POWER SUPPLY 250W CE TUV W/DIS"/>
    <s v="20116613"/>
    <s v="3.1"/>
    <n v="9753629"/>
    <n v="1949958"/>
    <d v="2016-10-13T00:00:00"/>
    <m/>
    <x v="41"/>
    <d v="2016-10-13T00:00:00"/>
    <d v="2016-10-13T23:59:00"/>
    <m/>
    <n v="1"/>
    <m/>
    <n v="550"/>
    <m/>
    <s v="N204"/>
    <s v="NWK ACCESS TECH"/>
    <s v="ACCESS OTHER"/>
    <s v="OTHER AURORA"/>
    <s v="N204"/>
    <s v="AS-STANDARD ORDER MIXED"/>
    <s v="A-SURFACE"/>
    <s v="OP"/>
    <n v="1242237"/>
    <s v="A-SURFACE"/>
    <m/>
    <m/>
    <m/>
    <s v="A-SURFACE"/>
    <s v="LTL"/>
    <s v="EXW"/>
    <s v="Prepay &amp; Add"/>
    <m/>
    <m/>
    <s v="Delivery Instructions-RECEIVING HOURS 7a-3:30p M-F"/>
    <m/>
    <m/>
  </r>
  <r>
    <s v="SJ2"/>
    <s v="5017196"/>
    <s v="CHARTER"/>
    <s v="PORTAGE001"/>
    <s v="R015P64L2"/>
    <s v="SJ2_STAG"/>
    <s v="CHARTER COMMUNICATIONS"/>
    <s v="4176 Commercial Ave"/>
    <s v="MI"/>
    <s v="Portage"/>
    <s v="49002-9700"/>
    <s v="PS3005N"/>
    <s v="POWER SUPPLY 250W CE TUV W/O D"/>
    <s v="20116613"/>
    <s v="4.1"/>
    <n v="9753629"/>
    <n v="1949958"/>
    <d v="2016-10-13T00:00:00"/>
    <m/>
    <x v="41"/>
    <d v="2016-10-13T00:00:00"/>
    <d v="2016-10-13T23:59:00"/>
    <m/>
    <n v="1"/>
    <m/>
    <n v="462"/>
    <m/>
    <s v="N204"/>
    <s v="NWK ACCESS TECH"/>
    <s v="ACCESS OTHER"/>
    <s v="OTHER AURORA"/>
    <s v="N204"/>
    <s v="AS-STANDARD ORDER MIXED"/>
    <s v="A-SURFACE"/>
    <s v="OP"/>
    <n v="1242237"/>
    <s v="A-SURFACE"/>
    <m/>
    <m/>
    <m/>
    <s v="A-SURFACE"/>
    <s v="LTL"/>
    <s v="EXW"/>
    <s v="Prepay &amp; Add"/>
    <m/>
    <m/>
    <s v="Delivery Instructions-RECEIVING HOURS 7a-3:30p M-F"/>
    <m/>
    <m/>
  </r>
  <r>
    <s v="SJ2"/>
    <s v="5017196"/>
    <s v="CHARTER"/>
    <s v="PORTAGE001"/>
    <s v="REC1"/>
    <s v="SJ2_STAG"/>
    <s v="CHARTER COMMUNICATIONS"/>
    <s v="4176 Commercial Ave"/>
    <s v="MI"/>
    <s v="Portage"/>
    <s v="49002-9700"/>
    <s v="CX3002"/>
    <s v="COMMUNICATIONS MODULE"/>
    <s v="20116613"/>
    <s v="5.1"/>
    <n v="9753629"/>
    <n v="1949958"/>
    <d v="2016-10-13T00:00:00"/>
    <m/>
    <x v="41"/>
    <d v="2016-10-13T00:00:00"/>
    <d v="2016-10-13T23:59:00"/>
    <m/>
    <n v="2"/>
    <m/>
    <n v="612"/>
    <m/>
    <s v="N080"/>
    <s v="NWK ACCESS TECH"/>
    <s v="HEO"/>
    <s v="HEO MISC AURORA"/>
    <s v="N080"/>
    <s v="AS-STANDARD ORDER MIXED"/>
    <s v="A-SURFACE"/>
    <s v="OP"/>
    <n v="1242237"/>
    <s v="A-SURFACE"/>
    <m/>
    <m/>
    <m/>
    <s v="A-SURFACE"/>
    <s v="LTL"/>
    <s v="EXW"/>
    <s v="Prepay &amp; Add"/>
    <m/>
    <m/>
    <s v="Delivery Instructions-RECEIVING HOURS 7a-3:30p M-F"/>
    <m/>
    <m/>
  </r>
  <r>
    <s v="SJ2"/>
    <s v="5017196"/>
    <s v="CHARTER"/>
    <s v="PORTAGE001"/>
    <s v="R023P11L4"/>
    <s v="SJ2_STAG"/>
    <s v="CHARTER COMMUNICATIONS"/>
    <s v="4176 Commercial Ave"/>
    <s v="MI"/>
    <s v="Portage"/>
    <s v="49002-9700"/>
    <s v="HT3541H-D-A290-2-AS"/>
    <s v="XMTR DD 1.2GHZ FULL SPECTRUM 3"/>
    <s v="20116613"/>
    <s v="6.1"/>
    <n v="9753629"/>
    <n v="1949958"/>
    <d v="2016-10-13T00:00:00"/>
    <m/>
    <x v="41"/>
    <d v="2016-10-13T00:00:00"/>
    <d v="2016-10-13T23:59:00"/>
    <m/>
    <n v="1"/>
    <m/>
    <n v="1440"/>
    <m/>
    <s v="HE64"/>
    <s v="NWK ACCESS TECH"/>
    <s v="HEO"/>
    <s v="TRANSMITTER"/>
    <s v="HT"/>
    <s v="AS-STANDARD ORDER MIXED"/>
    <s v="A-SURFACE"/>
    <s v="OP"/>
    <n v="1242237"/>
    <s v="A-SURFACE"/>
    <m/>
    <m/>
    <m/>
    <s v="A-SURFACE"/>
    <s v="LTL"/>
    <s v="EXW"/>
    <s v="Prepay &amp; Add"/>
    <m/>
    <m/>
    <s v="Delivery Instructions-RECEIVING HOURS 7a-3:30p M-F"/>
    <m/>
    <m/>
  </r>
  <r>
    <s v="SJ2"/>
    <s v="5017196"/>
    <s v="CHARTER"/>
    <s v="163063"/>
    <s v="R016P02L3B01"/>
    <s v="SJ2_STAG"/>
    <s v="CHARTER COMMUNICATIONS"/>
    <s v="1031 E Glendale Ave"/>
    <s v="NV"/>
    <s v="Sparks"/>
    <s v="89431-6460"/>
    <s v="DR3450N-50-00"/>
    <s v="DIGITAL RECEIVER Q-RX 2.125GBP"/>
    <s v="6900739"/>
    <s v="12.1"/>
    <n v="9753497"/>
    <n v="1949558"/>
    <d v="2016-07-26T00:00:00"/>
    <m/>
    <x v="42"/>
    <d v="2016-10-17T00:00:00"/>
    <d v="2016-10-17T23:59:00"/>
    <m/>
    <n v="3"/>
    <m/>
    <n v="3600"/>
    <m/>
    <s v="N275"/>
    <s v="NWK ACCESS TECH"/>
    <s v="HEO"/>
    <s v="RECEIVERS AURORA"/>
    <s v="N275"/>
    <s v="AUR-STANDARD ORDER MIXED"/>
    <s v="A-SURFACE"/>
    <s v="OP"/>
    <n v="1241987"/>
    <s v="A-SURFACE"/>
    <m/>
    <m/>
    <m/>
    <s v="A-SURFACE"/>
    <s v="LTL"/>
    <s v="EXW"/>
    <s v="Prepay &amp; Add"/>
    <m/>
    <m/>
    <m/>
    <m/>
    <m/>
  </r>
  <r>
    <s v="SJ2"/>
    <s v="5017196"/>
    <s v="CHARTER"/>
    <s v="163063"/>
    <s v="R016P02L3B01"/>
    <s v="SJ2_STAG"/>
    <s v="CHARTER COMMUNICATIONS"/>
    <s v="1031 E Glendale Ave"/>
    <s v="NV"/>
    <s v="Sparks"/>
    <m/>
    <s v="DR3450N-50-00"/>
    <s v="DIGITAL RECEIVER Q-RX 2.125GBP"/>
    <s v="6900799"/>
    <s v="16.1"/>
    <n v="9753498"/>
    <n v="1949558"/>
    <d v="2016-07-26T00:00:00"/>
    <m/>
    <x v="42"/>
    <d v="2016-10-17T00:00:00"/>
    <d v="2016-10-17T23:59:00"/>
    <m/>
    <n v="8"/>
    <m/>
    <n v="9600"/>
    <m/>
    <s v="N275"/>
    <s v="NWK ACCESS TECH"/>
    <s v="HEO"/>
    <s v="RECEIVERS AURORA"/>
    <s v="N275"/>
    <s v="AUR-STANDARD ORDER MIXED"/>
    <s v="A-SURFACE"/>
    <s v="OP"/>
    <n v="1241987"/>
    <s v="A-SURFACE"/>
    <m/>
    <m/>
    <m/>
    <s v="A-SURFACE"/>
    <s v="LTL"/>
    <s v="EXW"/>
    <s v="Prepay &amp; Add"/>
    <m/>
    <m/>
    <m/>
    <m/>
    <m/>
  </r>
  <r>
    <s v="SJ2"/>
    <s v="5017196"/>
    <s v="CHARTER"/>
    <s v="163063"/>
    <s v="R023P14L4"/>
    <s v="SJ2_STAG"/>
    <s v="CHARTER COMMUNICATIONS"/>
    <s v="1031 E Glendale Ave"/>
    <s v="NV"/>
    <s v="Sparks"/>
    <s v="89431-6460"/>
    <s v="HT3541H-D-A210-2-AS"/>
    <s v="XMTR DD 1.2GHZ FULL SPECTRUM 3"/>
    <s v="6900799"/>
    <s v="23.1"/>
    <n v="9753498"/>
    <n v="1949534"/>
    <d v="2016-07-26T00:00:00"/>
    <m/>
    <x v="42"/>
    <d v="2016-10-17T00:00:00"/>
    <d v="2016-10-17T23:59:00"/>
    <m/>
    <n v="6"/>
    <m/>
    <n v="9120"/>
    <m/>
    <s v="HE64"/>
    <s v="NWK ACCESS TECH"/>
    <s v="HEO"/>
    <s v="TRANSMITTER"/>
    <s v="HT"/>
    <s v="AUR-STANDARD ORDER MIXED"/>
    <s v="A-SURFACE"/>
    <s v="OP"/>
    <n v="1241987"/>
    <s v="A-SURFACE"/>
    <m/>
    <m/>
    <m/>
    <s v="A-SURFACE"/>
    <s v="LTL"/>
    <s v="EXW"/>
    <s v="Prepay &amp; Add"/>
    <m/>
    <m/>
    <m/>
    <m/>
    <m/>
  </r>
  <r>
    <s v="SJ2"/>
    <s v="5017196"/>
    <s v="CHARTER"/>
    <s v="163063"/>
    <s v="R023P13L2"/>
    <s v="SJ2_STAG"/>
    <s v="CHARTER COMMUNICATIONS"/>
    <s v="1031 E Glendale Ave"/>
    <s v="NV"/>
    <s v="Sparks"/>
    <s v="89431-6460"/>
    <s v="HT3541H-D-A210-2-AS"/>
    <s v="XMTR DD 1.2GHZ FULL SPECTRUM 3"/>
    <s v="6900799"/>
    <s v="23.1"/>
    <n v="9753498"/>
    <n v="1949534"/>
    <d v="2016-07-26T00:00:00"/>
    <m/>
    <x v="42"/>
    <d v="2016-10-17T00:00:00"/>
    <d v="2016-10-17T23:59:00"/>
    <m/>
    <n v="1"/>
    <m/>
    <n v="1520"/>
    <m/>
    <s v="HE64"/>
    <s v="NWK ACCESS TECH"/>
    <s v="HEO"/>
    <s v="TRANSMITTER"/>
    <s v="HT"/>
    <s v="AUR-STANDARD ORDER MIXED"/>
    <s v="A-SURFACE"/>
    <s v="OP"/>
    <n v="1241987"/>
    <s v="A-SURFACE"/>
    <m/>
    <m/>
    <m/>
    <s v="A-SURFACE"/>
    <s v="LTL"/>
    <s v="EXW"/>
    <s v="Prepay &amp; Add"/>
    <m/>
    <m/>
    <m/>
    <m/>
    <m/>
  </r>
  <r>
    <s v="SJ2"/>
    <s v="5017196"/>
    <s v="CHARTER"/>
    <s v="163063"/>
    <s v="R016P02L3B01"/>
    <s v="SJ2_STAG"/>
    <s v="CHARTER COMMUNICATIONS"/>
    <s v="1031 E Glendale Ave"/>
    <s v="NV"/>
    <s v="Sparks"/>
    <s v="89431-6460"/>
    <s v="DR3450N-50-00"/>
    <s v="DIGITAL RECEIVER Q-RX 2.125GBP"/>
    <s v="6900800"/>
    <s v="12.1"/>
    <n v="9753499"/>
    <n v="1949558"/>
    <d v="2016-07-26T00:00:00"/>
    <m/>
    <x v="42"/>
    <d v="2016-10-17T00:00:00"/>
    <d v="2016-10-17T23:59:00"/>
    <m/>
    <n v="2"/>
    <m/>
    <n v="2400"/>
    <m/>
    <s v="N275"/>
    <s v="NWK ACCESS TECH"/>
    <s v="HEO"/>
    <s v="RECEIVERS AURORA"/>
    <s v="N275"/>
    <s v="AUR-STANDARD ORDER MIXED"/>
    <s v="A-SURFACE"/>
    <s v="OP"/>
    <n v="1241987"/>
    <s v="A-SURFACE"/>
    <m/>
    <m/>
    <m/>
    <s v="A-SURFACE"/>
    <s v="LTL"/>
    <s v="EXW"/>
    <s v="Prepay &amp; Add"/>
    <m/>
    <m/>
    <m/>
    <m/>
    <m/>
  </r>
  <r>
    <s v="SJ2"/>
    <s v="5017196"/>
    <s v="CHARTER"/>
    <s v="163063"/>
    <s v="R016P09L2B01"/>
    <s v="SJ2_STAG"/>
    <s v="CHARTER COMMUNICATIONS"/>
    <s v="1031 E Glendale Ave"/>
    <s v="NV"/>
    <s v="Sparks"/>
    <s v="89431-6460"/>
    <s v="OP95F1S-35-R2-AS"/>
    <s v="FILTER DWDM S-CASE 2MM SC/APC"/>
    <s v="6900800"/>
    <s v="7.1"/>
    <n v="9745212"/>
    <n v="1931830"/>
    <d v="2016-07-26T00:00:00"/>
    <m/>
    <x v="43"/>
    <d v="2016-09-19T00:00:00"/>
    <d v="2016-09-26T23:59:00"/>
    <m/>
    <n v="1"/>
    <m/>
    <n v="156"/>
    <m/>
    <s v="N156"/>
    <s v="NWK ACCESS TECH"/>
    <s v="ACCESS OTHER"/>
    <s v="OTHER AURORA"/>
    <s v="N156"/>
    <s v="AUR-STANDARD ORDER MIXED"/>
    <s v="A-SURFACE"/>
    <s v="OP"/>
    <n v="1230490"/>
    <s v="A-SURFACE"/>
    <m/>
    <m/>
    <m/>
    <s v="A-SURFACE"/>
    <s v="LTL"/>
    <s v="EXW"/>
    <s v="Prepay &amp; Add"/>
    <m/>
    <m/>
    <m/>
    <m/>
    <m/>
  </r>
  <r>
    <s v="SJ2"/>
    <s v="5017196"/>
    <s v="CHARTER"/>
    <s v="163063"/>
    <s v="R016P41L1B01"/>
    <s v="SJ2_STAG"/>
    <s v="CHARTER COMMUNICATIONS"/>
    <s v="1031 E Glendale Ave"/>
    <s v="NV"/>
    <s v="Sparks"/>
    <s v="89431-6460"/>
    <s v="NCM3800-1L"/>
    <s v="FW JUMPER NCM3800 NODE"/>
    <s v="6900800"/>
    <s v="9.1"/>
    <n v="9753499"/>
    <n v="1949534"/>
    <d v="2016-07-26T00:00:00"/>
    <m/>
    <x v="42"/>
    <d v="2016-10-17T00:00:00"/>
    <d v="2016-10-17T23:59:00"/>
    <m/>
    <n v="115"/>
    <m/>
    <n v="1610"/>
    <m/>
    <s v="N050"/>
    <s v="NWK ACCESS TECH"/>
    <s v="NODE"/>
    <s v="HL NODE MISC AURORA"/>
    <s v="N050"/>
    <s v="AUR-STANDARD ORDER MIXED"/>
    <s v="A-SURFACE"/>
    <s v="OP"/>
    <n v="1241987"/>
    <s v="A-SURFACE"/>
    <m/>
    <m/>
    <m/>
    <s v="A-SURFACE"/>
    <s v="LTL"/>
    <s v="EXW"/>
    <s v="Prepay &amp; Add"/>
    <m/>
    <m/>
    <m/>
    <m/>
    <m/>
  </r>
  <r>
    <s v="SJ2"/>
    <s v="5017196"/>
    <s v="CHARTER"/>
    <s v="163063"/>
    <s v="R016P02L3B01"/>
    <s v="SJ2_STAG"/>
    <s v="CHARTER COMMUNICATIONS"/>
    <s v="1031 E Glendale Ave"/>
    <s v="NV"/>
    <s v="Sparks"/>
    <s v="89431-6460"/>
    <s v="DR3450N-50-00"/>
    <s v="DIGITAL RECEIVER Q-RX 2.125GBP"/>
    <s v="6900865"/>
    <s v="8.1"/>
    <n v="9753500"/>
    <n v="1949558"/>
    <d v="2016-07-26T00:00:00"/>
    <m/>
    <x v="42"/>
    <d v="2016-10-17T00:00:00"/>
    <d v="2016-10-17T23:59:00"/>
    <m/>
    <n v="3"/>
    <m/>
    <n v="3600"/>
    <m/>
    <s v="N275"/>
    <s v="NWK ACCESS TECH"/>
    <s v="HEO"/>
    <s v="RECEIVERS AURORA"/>
    <s v="N275"/>
    <s v="AUR-STANDARD ORDER MIXED"/>
    <s v="A-SURFACE"/>
    <s v="OP"/>
    <n v="1241987"/>
    <s v="A-SURFACE"/>
    <m/>
    <m/>
    <m/>
    <s v="A-SURFACE"/>
    <s v="LTL"/>
    <s v="EXW"/>
    <s v="Prepay &amp; Add"/>
    <m/>
    <m/>
    <m/>
    <m/>
    <m/>
  </r>
  <r>
    <s v="SJ2"/>
    <s v="5017196"/>
    <s v="CHARTER"/>
    <s v="163062"/>
    <s v="REC1"/>
    <s v="SJ2_STAG"/>
    <s v="CHARTER COMMUNICATIONS"/>
    <s v="1757 N Pointe Rd"/>
    <s v="TN"/>
    <s v="Columbia"/>
    <s v="38401-0214"/>
    <s v="OP95F1S-45-N0-00"/>
    <s v="FILTER DWDM N-CASE 0.25MM CH 4"/>
    <s v="6900900"/>
    <s v="2.1"/>
    <n v="9743245"/>
    <n v="1929321"/>
    <d v="2016-07-20T00:00:00"/>
    <m/>
    <x v="39"/>
    <d v="2016-09-26T00:00:00"/>
    <d v="2016-09-26T23:59:00"/>
    <m/>
    <n v="2"/>
    <m/>
    <n v="216"/>
    <m/>
    <s v="N156"/>
    <s v="NWK ACCESS TECH"/>
    <s v="ACCESS OTHER"/>
    <s v="OTHER AURORA"/>
    <s v="N156"/>
    <s v="AUR-STANDARD ORDER MIXED"/>
    <s v="A-SURFACE"/>
    <s v="OP"/>
    <n v="1229539"/>
    <s v="A-SURFACE"/>
    <m/>
    <m/>
    <m/>
    <s v="A-SURFACE"/>
    <s v="LTL"/>
    <s v="EXW"/>
    <s v="Prepay &amp; Add"/>
    <m/>
    <m/>
    <m/>
    <m/>
    <m/>
  </r>
  <r>
    <s v="SJ2"/>
    <s v="5017196"/>
    <s v="CHARTER"/>
    <s v="163062"/>
    <s v="REC1"/>
    <s v="SJ2_STAG"/>
    <s v="CHARTER COMMUNICATIONS"/>
    <s v="1757 N Pointe Rd"/>
    <s v="TN"/>
    <s v="Columbia"/>
    <m/>
    <s v="OP95F1S-36-N0-00"/>
    <s v="FILTER DWDM N-CASE 0.25MM CH 3"/>
    <s v="6900902"/>
    <s v="1.1"/>
    <n v="9751008"/>
    <n v="1944015"/>
    <d v="2016-08-03T00:00:00"/>
    <m/>
    <x v="44"/>
    <d v="2016-10-10T00:00:00"/>
    <d v="2016-10-10T23:59:00"/>
    <m/>
    <n v="1"/>
    <m/>
    <n v="108"/>
    <m/>
    <s v="N156"/>
    <s v="NWK ACCESS TECH"/>
    <s v="ACCESS OTHER"/>
    <s v="OTHER AURORA"/>
    <s v="N156"/>
    <s v="AUR-STANDARD ORDER MIXED"/>
    <s v="A-SURFACE"/>
    <s v="OP"/>
    <n v="1237749"/>
    <s v="A-SURFACE"/>
    <m/>
    <m/>
    <m/>
    <s v="A-SURFACE"/>
    <s v="LTL"/>
    <s v="EXW"/>
    <s v="Prepay &amp; Add"/>
    <m/>
    <m/>
    <m/>
    <m/>
    <m/>
  </r>
  <r>
    <s v="SJ2"/>
    <s v="5017196"/>
    <s v="CHARTER"/>
    <s v="163062"/>
    <s v="R015P07L3"/>
    <s v="SJ2_STAG"/>
    <s v="CHARTER COMMUNICATIONS"/>
    <s v="1757 N Pointe Rd"/>
    <s v="TN"/>
    <s v="Columbia"/>
    <s v="38401-0214"/>
    <s v="OP95D4-CF3-100-R2-AS"/>
    <s v="DEMUX DWDM 100GHZ 4 CH F-CASE"/>
    <s v="6900902"/>
    <s v="3.1"/>
    <n v="9743246"/>
    <n v="1929330"/>
    <d v="2016-08-03T00:00:00"/>
    <m/>
    <x v="39"/>
    <d v="2016-09-26T00:00:00"/>
    <d v="2016-09-26T23:59:00"/>
    <m/>
    <n v="1"/>
    <m/>
    <n v="780"/>
    <m/>
    <s v="N160"/>
    <s v="NWK ACCESS TECH"/>
    <s v="OPTICAL PASSIVES"/>
    <s v="OUTDOOR PASSIVES AURORA"/>
    <s v="N160"/>
    <s v="AUR-STANDARD ORDER MIXED"/>
    <s v="A-SURFACE"/>
    <s v="OP"/>
    <n v="1229539"/>
    <s v="A-SURFACE"/>
    <m/>
    <m/>
    <m/>
    <s v="A-SURFACE"/>
    <s v="LTL"/>
    <s v="EXW"/>
    <s v="Prepay &amp; Add"/>
    <m/>
    <m/>
    <m/>
    <m/>
    <m/>
  </r>
  <r>
    <s v="SJ2"/>
    <s v="5017196"/>
    <s v="CHARTER"/>
    <s v="163046"/>
    <s v="R016P41L1B01"/>
    <s v="SJ2_STAG"/>
    <s v="CHARTER COMMUNICATIONS"/>
    <s v="4815 Longley Lane"/>
    <s v="NV"/>
    <s v="Reno"/>
    <s v="89502"/>
    <s v="NCM3800-1L"/>
    <s v="FW JUMPER NCM3800 NODE"/>
    <s v="6900931"/>
    <s v="1.1"/>
    <n v="9753494"/>
    <n v="1949546"/>
    <d v="2016-07-26T00:00:00"/>
    <m/>
    <x v="1"/>
    <d v="2016-10-17T00:00:00"/>
    <d v="2016-10-17T23:59:00"/>
    <m/>
    <n v="99"/>
    <m/>
    <n v="1386"/>
    <m/>
    <s v="N050"/>
    <s v="NWK ACCESS TECH"/>
    <s v="NODE"/>
    <s v="HL NODE MISC AURORA"/>
    <s v="N050"/>
    <s v="AUR-STANDARD ORDER MIXED"/>
    <s v="A-SURFACE"/>
    <s v="OP"/>
    <n v="1241987"/>
    <s v="A-SURFACE"/>
    <m/>
    <m/>
    <m/>
    <s v="A-SURFACE"/>
    <s v="LTL"/>
    <s v="EXW"/>
    <s v="Prepay &amp; Add"/>
    <m/>
    <m/>
    <m/>
    <m/>
    <m/>
  </r>
  <r>
    <s v="SJ2"/>
    <s v="5017196"/>
    <s v="CHARTER"/>
    <s v="163012"/>
    <s v="REC1"/>
    <s v="SJ2_STAG"/>
    <s v="CHARTER COMMUNICATIONS"/>
    <s v="110 Commercial Rd"/>
    <s v="SC"/>
    <s v="Spartanburg"/>
    <s v="29303-6349"/>
    <s v="OP95F1S-45-N0-00"/>
    <s v="FILTER DWDM N-CASE 0.25MM CH 4"/>
    <s v="6900936"/>
    <s v="6.1"/>
    <n v="9748839"/>
    <n v="1938438"/>
    <d v="2016-07-28T00:00:00"/>
    <m/>
    <x v="45"/>
    <d v="2016-10-04T00:00:00"/>
    <d v="2016-10-04T23:59:00"/>
    <m/>
    <n v="2"/>
    <m/>
    <n v="216"/>
    <m/>
    <s v="N156"/>
    <s v="NWK ACCESS TECH"/>
    <s v="ACCESS OTHER"/>
    <s v="OTHER AURORA"/>
    <s v="N156"/>
    <s v="AUR-STANDARD ORDER MIXED"/>
    <s v="A-SURFACE"/>
    <s v="OP"/>
    <n v="1234185"/>
    <s v="A-SURFACE"/>
    <m/>
    <m/>
    <m/>
    <s v="A-SURFACE"/>
    <s v="LTL"/>
    <s v="EXW"/>
    <s v="Prepay &amp; Add"/>
    <m/>
    <m/>
    <m/>
    <m/>
    <m/>
  </r>
  <r>
    <s v="SJ2"/>
    <s v="5017196"/>
    <s v="CHARTER"/>
    <s v="163062"/>
    <s v="R016P30L1B01"/>
    <s v="SJ2_STAG"/>
    <s v="CHARTER COMMUNICATIONS"/>
    <s v="1757 N Pointe Rd"/>
    <s v="TN"/>
    <s v="Columbia"/>
    <s v="38401-0214"/>
    <s v="DP95D10S05A0S-1MC-UL"/>
    <s v="DEMUX 100G M-CASE 10CH 50-59 U"/>
    <s v="6901055"/>
    <s v="2.1"/>
    <n v="9753495"/>
    <n v="1949537"/>
    <d v="2016-07-27T00:00:00"/>
    <m/>
    <x v="1"/>
    <d v="2016-10-17T00:00:00"/>
    <d v="2016-10-17T23:59:00"/>
    <m/>
    <n v="2"/>
    <m/>
    <n v="2040"/>
    <m/>
    <s v="N137"/>
    <s v="NWK ACCESS TECH"/>
    <s v="OPTICAL PASSIVES"/>
    <s v="DATA PASSIVES AURORA"/>
    <s v="N137"/>
    <s v="AUR-STANDARD ORDER MIXED"/>
    <s v="A-SURFACE"/>
    <s v="OP"/>
    <n v="1241987"/>
    <s v="A-SURFACE"/>
    <m/>
    <m/>
    <m/>
    <s v="A-SURFACE"/>
    <s v="LTL"/>
    <s v="EXW"/>
    <s v="Prepay &amp; Add"/>
    <m/>
    <m/>
    <m/>
    <m/>
    <m/>
  </r>
  <r>
    <s v="SJ2"/>
    <s v="5017196"/>
    <s v="CHARTER"/>
    <s v="163062"/>
    <s v="REC1"/>
    <s v="SJ2_STAG"/>
    <s v="CHARTER COMMUNICATIONS"/>
    <s v="1757 N Pointe Rd"/>
    <s v="TN"/>
    <s v="Columbia"/>
    <s v="38401-0214"/>
    <s v="OP94F1S-1490-R2-AS"/>
    <s v="FILTER CWDM S-CASE 2MM SC/APC"/>
    <s v="6901169"/>
    <s v="2.1"/>
    <n v="9753496"/>
    <n v="1949537"/>
    <d v="2016-08-10T00:00:00"/>
    <m/>
    <x v="1"/>
    <d v="2016-10-17T00:00:00"/>
    <d v="2016-10-17T23:59:00"/>
    <m/>
    <n v="1"/>
    <m/>
    <n v="144"/>
    <m/>
    <s v="N156"/>
    <s v="NWK ACCESS TECH"/>
    <s v="ACCESS OTHER"/>
    <s v="OTHER AURORA"/>
    <s v="N156"/>
    <s v="AUR-STANDARD ORDER MIXED"/>
    <s v="A-SURFACE"/>
    <s v="OP"/>
    <n v="1241987"/>
    <s v="A-SURFACE"/>
    <m/>
    <m/>
    <m/>
    <s v="A-SURFACE"/>
    <s v="LTL"/>
    <s v="EXW"/>
    <s v="Prepay &amp; Add"/>
    <m/>
    <m/>
    <m/>
    <m/>
    <m/>
  </r>
  <r>
    <s v="SJ2"/>
    <s v="5017196"/>
    <s v="CHARTER"/>
    <s v="163062"/>
    <s v="R016P41L3B01"/>
    <s v="SJ2_STAG"/>
    <s v="CHARTER COMMUNICATIONS"/>
    <s v="1757 N Pointe Rd"/>
    <s v="TN"/>
    <s v="Columbia"/>
    <s v="38401-0214"/>
    <s v="NC4121S255-U0000000"/>
    <s v="NODE 5-42/51-870MHz JXP 1x2SEG"/>
    <s v="6901169"/>
    <s v="6.1"/>
    <n v="9753496"/>
    <n v="1949539"/>
    <d v="2016-08-10T00:00:00"/>
    <m/>
    <x v="1"/>
    <d v="2016-10-17T00:00:00"/>
    <d v="2016-10-17T23:59:00"/>
    <m/>
    <n v="3"/>
    <m/>
    <n v="5679"/>
    <m/>
    <s v="N034"/>
    <s v="NWK ACCESS TECH"/>
    <s v="NODE"/>
    <s v="NC4000 AURORA"/>
    <s v="N034"/>
    <s v="AUR-STANDARD ORDER MIXED"/>
    <s v="A-SURFACE"/>
    <s v="OP"/>
    <n v="1241987"/>
    <s v="A-SURFACE"/>
    <m/>
    <m/>
    <m/>
    <s v="A-SURFACE"/>
    <s v="LTL"/>
    <s v="EXW"/>
    <s v="Prepay &amp; Add"/>
    <m/>
    <m/>
    <m/>
    <m/>
    <m/>
  </r>
  <r>
    <s v="SJ2"/>
    <s v="5017196"/>
    <s v="CHARTER"/>
    <s v="163012"/>
    <s v="R023P13L3"/>
    <s v="SJ2_STAG"/>
    <s v="CHARTER COMMUNICATIONS"/>
    <s v="110 Commercial Rd"/>
    <s v="SC"/>
    <s v="Spartanburg"/>
    <s v="29303-6349"/>
    <s v="DP35M04D0NB2S-0LB-UL"/>
    <s v="MUX 100GHZ 1W 4CH 36-39 UPG EX"/>
    <s v="6901385"/>
    <s v="1.1"/>
    <n v="9751976"/>
    <n v="1945895"/>
    <d v="2016-07-12T00:00:00"/>
    <m/>
    <x v="46"/>
    <d v="2016-08-04T00:00:00"/>
    <d v="2016-10-10T23:59:00"/>
    <m/>
    <n v="1"/>
    <m/>
    <n v="920"/>
    <m/>
    <s v="N135"/>
    <s v="NWK ACCESS TECH"/>
    <s v="OPTICAL PASSIVES"/>
    <s v="DATA PASSIVES AURORA"/>
    <s v="N135"/>
    <s v="AUR-STANDARD ORDER MIXED"/>
    <s v="A-SURFACE"/>
    <s v="OP"/>
    <n v="1239007"/>
    <s v="A-SURFACE"/>
    <m/>
    <m/>
    <m/>
    <s v="A-SURFACE"/>
    <s v="LTL"/>
    <s v="EXW"/>
    <s v="Prepay &amp; Add"/>
    <m/>
    <m/>
    <m/>
    <m/>
    <m/>
  </r>
  <r>
    <s v="SJ2"/>
    <s v="5018679"/>
    <s v="ARRIS SOLUTIONS, INC."/>
    <s v="CAR - CARY, NC -DISTRIBUTION"/>
    <s v="R023P10L2"/>
    <s v="SJ2_STAG"/>
    <s v="ARRIS SOLUTIONS, INC."/>
    <s v="101 Stamford Dr"/>
    <s v="NC"/>
    <s v="Cary"/>
    <s v="27513-9503"/>
    <s v="BD31A4-100-H12F-0-AS"/>
    <s v="OPT PASSTHRU BD 4 XMTR 4 BC 4"/>
    <s v="90710912"/>
    <s v="1.1"/>
    <n v="9752897"/>
    <n v="1948184"/>
    <d v="2016-10-11T17:57:11"/>
    <m/>
    <x v="47"/>
    <d v="2016-10-14T00:00:00"/>
    <d v="2016-10-11T23:59:00"/>
    <m/>
    <n v="41"/>
    <n v="41"/>
    <n v="12541.08"/>
    <n v="12541.08"/>
    <s v="N258"/>
    <s v="NWK ACCESS TECH"/>
    <s v="HEO"/>
    <s v="TRANSMITTERS AURORA"/>
    <s v="HDTX"/>
    <s v="OM-INTERNAL ORDER"/>
    <s v="A-SURFACE"/>
    <s v="OP"/>
    <n v="1241217"/>
    <s v="A-SURFACE"/>
    <m/>
    <m/>
    <m/>
    <s v="A-SURFACE"/>
    <s v="LTL"/>
    <s v="EXW"/>
    <s v="Prepaid"/>
    <m/>
    <m/>
    <s v="**Less than 10 pallets Use UPS freight line, on Consolidate shipment over than 10 pallets use KSC freight FTL truckload**"/>
    <m/>
    <m/>
  </r>
  <r>
    <s v="SJ2"/>
    <s v="5018679"/>
    <s v="ARRIS SOLUTIONS, INC."/>
    <s v="CAR - CARY, NC -DISTRIBUTION"/>
    <s v="R023P07L2"/>
    <s v="SJ2_STAG"/>
    <s v="ARRIS SOLUTIONS, INC."/>
    <s v="101 Stamford Dr"/>
    <s v="NC"/>
    <s v="Cary"/>
    <s v="27513-9503"/>
    <s v="BD31A4-100-H12F-0-AS"/>
    <s v="OPT PASSTHRU BD 4 XMTR 4 BC 4"/>
    <s v="90710912"/>
    <s v="1.1"/>
    <n v="9752897"/>
    <n v="1948183"/>
    <d v="2016-10-11T17:57:11"/>
    <m/>
    <x v="47"/>
    <d v="2016-10-14T00:00:00"/>
    <d v="2016-10-11T23:59:00"/>
    <m/>
    <n v="2"/>
    <n v="2"/>
    <n v="611.76"/>
    <n v="611.76"/>
    <s v="N258"/>
    <s v="NWK ACCESS TECH"/>
    <s v="HEO"/>
    <s v="TRANSMITTERS AURORA"/>
    <s v="HDTX"/>
    <s v="OM-INTERNAL ORDER"/>
    <s v="A-SURFACE"/>
    <s v="OP"/>
    <n v="1241217"/>
    <s v="A-SURFACE"/>
    <m/>
    <m/>
    <m/>
    <s v="A-SURFACE"/>
    <s v="LTL"/>
    <s v="EXW"/>
    <s v="Prepaid"/>
    <m/>
    <m/>
    <s v="**Less than 10 pallets Use UPS freight line, on Consolidate shipment over than 10 pallets use KSC freight FTL truckload**"/>
    <m/>
    <m/>
  </r>
  <r>
    <s v="SJ2"/>
    <s v="5018679"/>
    <s v="ARRIS SOLUTIONS, INC."/>
    <s v="CAR - CARY, NC -DISTRIBUTION"/>
    <s v="R024P03L1B01"/>
    <s v="SJ2_STAG"/>
    <s v="ARRIS SOLUTIONS, INC."/>
    <s v="101 Stamford Dr"/>
    <s v="NC"/>
    <s v="Cary"/>
    <s v="27513-9503"/>
    <s v="BD31A4-100-H12F-0-AS"/>
    <s v="OPT PASSTHRU BD 4 XMTR 4 BC 4"/>
    <s v="90710912"/>
    <s v="1.1"/>
    <n v="9752897"/>
    <n v="1948184"/>
    <d v="2016-10-11T17:57:11"/>
    <m/>
    <x v="47"/>
    <d v="2016-10-14T00:00:00"/>
    <d v="2016-10-11T23:59:00"/>
    <m/>
    <n v="53"/>
    <n v="53"/>
    <n v="16211.64"/>
    <n v="16211.64"/>
    <s v="N258"/>
    <s v="NWK ACCESS TECH"/>
    <s v="HEO"/>
    <s v="TRANSMITTERS AURORA"/>
    <s v="HDTX"/>
    <s v="OM-INTERNAL ORDER"/>
    <s v="A-SURFACE"/>
    <s v="OP"/>
    <n v="1241217"/>
    <s v="A-SURFACE"/>
    <m/>
    <m/>
    <m/>
    <s v="A-SURFACE"/>
    <s v="LTL"/>
    <s v="EXW"/>
    <s v="Prepaid"/>
    <m/>
    <m/>
    <s v="**Less than 10 pallets Use UPS freight line, on Consolidate shipment over than 10 pallets use KSC freight FTL truckload**"/>
    <m/>
    <m/>
  </r>
  <r>
    <s v="SJ2"/>
    <s v="5033308"/>
    <s v="NSG TECHNOLOGY INC"/>
    <s v="161827"/>
    <s v="R015P44L4"/>
    <s v="SJ2_STAG"/>
    <s v="NSG Technology, Inc."/>
    <s v="1705 Junction Ct Ste 200"/>
    <s v="CA"/>
    <s v="San Jose"/>
    <s v="95112-1023"/>
    <s v="DT4250N-50-00"/>
    <s v="DGTL XCVR ENH MULTI-MODES OF O"/>
    <s v="6900377"/>
    <s v="7.1"/>
    <n v="9751606"/>
    <n v="1945183"/>
    <d v="2016-05-26T00:00:00"/>
    <m/>
    <x v="48"/>
    <d v="2016-10-11T00:00:00"/>
    <d v="2016-10-11T23:59:00"/>
    <m/>
    <n v="30"/>
    <n v="30"/>
    <n v="4650"/>
    <n v="4650"/>
    <s v="N065"/>
    <s v="NWK ACCESS TECH"/>
    <s v="NODE"/>
    <s v="NODE MISC AURORA"/>
    <s v="N065"/>
    <s v="AUR-RAW MATERIAL ORDER"/>
    <s v="A-SURFACE"/>
    <s v="OP"/>
    <n v="1238361"/>
    <s v="A-SURFACE"/>
    <m/>
    <m/>
    <m/>
    <s v="A-SURFACE"/>
    <s v="LTL"/>
    <s v="EXW"/>
    <s v="Collect"/>
    <m/>
    <m/>
    <s v="Arris provides transportation to NSG"/>
    <m/>
    <m/>
  </r>
  <r>
    <s v="SJ2"/>
    <s v="5033308"/>
    <s v="NSG TECHNOLOGY INC"/>
    <s v="161827"/>
    <s v="R016P16L2B01"/>
    <s v="SJ2_STAG"/>
    <s v="NSG Technology, Inc."/>
    <s v="1705 Junction Ct Ste 200"/>
    <s v="CA"/>
    <s v="San Jose"/>
    <s v="95112-1023"/>
    <s v="AR4203G-AS"/>
    <s v="OPTICAL RECEIVER 51-1002MHz FW"/>
    <s v="6900575"/>
    <s v="17.1"/>
    <n v="9751604"/>
    <n v="1945184"/>
    <d v="2016-04-14T00:00:00"/>
    <m/>
    <x v="48"/>
    <d v="2016-10-11T00:00:00"/>
    <d v="2016-10-11T23:59:00"/>
    <m/>
    <n v="2"/>
    <n v="2"/>
    <n v="260"/>
    <n v="260"/>
    <s v="N222"/>
    <s v="NWK ACCESS TECH"/>
    <s v="HPON"/>
    <s v="VHUB AURORA"/>
    <s v="N222"/>
    <s v="AUR-RAW MATERIAL ORDER"/>
    <s v="A-SURFACE"/>
    <s v="OP"/>
    <n v="1238361"/>
    <s v="A-SURFACE"/>
    <m/>
    <m/>
    <m/>
    <s v="A-SURFACE"/>
    <s v="LTL"/>
    <s v="EXW"/>
    <s v="Collect"/>
    <m/>
    <m/>
    <s v="Arris provides transportation to NSG"/>
    <m/>
    <m/>
  </r>
  <r>
    <s v="SJ2"/>
    <s v="5033308"/>
    <s v="NSG TECHNOLOGY INC"/>
    <s v="161827"/>
    <s v="R015P53L2"/>
    <s v="SJ2_STAG"/>
    <s v="NSG Technology, Inc."/>
    <s v="1705 Junction Ct Ste 200"/>
    <s v="CA"/>
    <s v="San Jose"/>
    <s v="95112-1023"/>
    <s v="10-10324-1+"/>
    <s v="ASSY HOUSING 1W AN DX4 RoHS"/>
    <s v="6901039"/>
    <s v="43.1"/>
    <n v="9753502"/>
    <n v="1949536"/>
    <d v="2016-08-03T00:00:00"/>
    <m/>
    <x v="42"/>
    <d v="2016-10-17T00:00:00"/>
    <d v="2016-10-17T23:59:00"/>
    <m/>
    <n v="41"/>
    <m/>
    <n v="246"/>
    <m/>
    <s v="CT30"/>
    <s v="NWK ACCESS TECH"/>
    <s v="ACCESS OTHER"/>
    <s v="OTHER AURORA"/>
    <s v="CT30"/>
    <s v="AUR-RAW MATERIAL ORDER"/>
    <s v="A-SURFACE"/>
    <s v="OP"/>
    <n v="1241987"/>
    <s v="A-SURFACE"/>
    <m/>
    <m/>
    <m/>
    <s v="A-SURFACE"/>
    <s v="LTL"/>
    <s v="EXW"/>
    <s v="Collect"/>
    <m/>
    <m/>
    <s v="Arris provides transportation to NSG"/>
    <m/>
    <m/>
  </r>
  <r>
    <s v="SJ2"/>
    <s v="5033308"/>
    <s v="NSG TECHNOLOGY INC"/>
    <s v="161827"/>
    <s v="R016P10L1B01"/>
    <s v="SJ2_STAG"/>
    <s v="NSG Technology, Inc."/>
    <s v="1705 Junction Ct Ste 200"/>
    <s v="CA"/>
    <s v="San Jose"/>
    <s v="95112-1023"/>
    <s v="NCM3201-1L"/>
    <s v="RET COMBINER NCM3201 NODE"/>
    <s v="6901384"/>
    <s v="3.1"/>
    <n v="9751607"/>
    <n v="1945183"/>
    <d v="2016-07-27T00:00:00"/>
    <m/>
    <x v="48"/>
    <d v="2016-10-11T00:00:00"/>
    <d v="2016-10-11T23:59:00"/>
    <m/>
    <n v="8"/>
    <n v="8"/>
    <n v="79.680000000000007"/>
    <n v="79.680000000000007"/>
    <s v="N224"/>
    <s v="NWK ACCESS TECH"/>
    <s v="ACCESS OTHER"/>
    <s v="OTHER AURORA"/>
    <s v="N224"/>
    <s v="AUR-RAW MATERIAL ORDER"/>
    <s v="A-SURFACE"/>
    <s v="OP"/>
    <n v="1238361"/>
    <s v="A-SURFACE"/>
    <m/>
    <m/>
    <m/>
    <s v="A-SURFACE"/>
    <s v="LTL"/>
    <s v="EXW"/>
    <s v="Collect"/>
    <m/>
    <m/>
    <s v="Arris provides transportation to NSG"/>
    <m/>
    <m/>
  </r>
  <r>
    <s v="SJ2"/>
    <s v="5033308"/>
    <s v="NSG TECHNOLOGY INC"/>
    <s v="161827"/>
    <s v="R015P19L1"/>
    <s v="SJ2_STAG"/>
    <s v="NSG Technology, Inc."/>
    <s v="1705 Junction Ct Ste 200"/>
    <s v="CA"/>
    <s v="San Jose"/>
    <s v="95112-1023"/>
    <s v="AR4414G-AS"/>
    <s v="OPT RX 85-1002MHZ FWD HIGH-GAI"/>
    <s v="6901384"/>
    <s v="36.1"/>
    <n v="9753501"/>
    <n v="1949536"/>
    <d v="2016-07-27T00:00:00"/>
    <m/>
    <x v="42"/>
    <d v="2016-10-17T00:00:00"/>
    <d v="2016-10-17T23:59:00"/>
    <m/>
    <n v="57"/>
    <m/>
    <n v="9806.2800000000007"/>
    <m/>
    <s v="HE64"/>
    <s v="NWK ACCESS TECH"/>
    <s v="HEO"/>
    <s v="TRANSMITTER"/>
    <s v="HT"/>
    <s v="AUR-RAW MATERIAL ORDER"/>
    <s v="A-SURFACE"/>
    <s v="OP"/>
    <n v="1241987"/>
    <s v="A-SURFACE"/>
    <m/>
    <m/>
    <m/>
    <s v="A-SURFACE"/>
    <s v="LTL"/>
    <s v="EXW"/>
    <s v="Collect"/>
    <m/>
    <m/>
    <s v="Arris provides transportation to NSG"/>
    <m/>
    <m/>
  </r>
  <r>
    <s v="SJ2"/>
    <s v="5033308"/>
    <s v="NSG TECHNOLOGY INC"/>
    <s v="161827"/>
    <s v="R016P41L1B01"/>
    <s v="SJ2_STAG"/>
    <s v="NSG Technology, Inc."/>
    <s v="1705 Junction Ct Ste 200"/>
    <s v="CA"/>
    <s v="San Jose"/>
    <s v="95112-1023"/>
    <s v="NCM3800-1L"/>
    <s v="FW JUMPER NCM3800 NODE"/>
    <s v="6901384"/>
    <s v="4.1"/>
    <n v="9751607"/>
    <n v="1945183"/>
    <d v="2016-07-27T00:00:00"/>
    <m/>
    <x v="48"/>
    <d v="2016-10-11T00:00:00"/>
    <d v="2016-10-11T23:59:00"/>
    <m/>
    <n v="8"/>
    <n v="8"/>
    <n v="32.32"/>
    <n v="32.32"/>
    <s v="N050"/>
    <s v="NWK ACCESS TECH"/>
    <s v="NODE"/>
    <s v="HL NODE MISC AURORA"/>
    <s v="N050"/>
    <s v="AUR-RAW MATERIAL ORDER"/>
    <s v="A-SURFACE"/>
    <s v="OP"/>
    <n v="1238361"/>
    <s v="A-SURFACE"/>
    <m/>
    <m/>
    <m/>
    <s v="A-SURFACE"/>
    <s v="LTL"/>
    <s v="EXW"/>
    <s v="Collect"/>
    <m/>
    <m/>
    <s v="Arris provides transportation to NSG"/>
    <m/>
    <m/>
  </r>
  <r>
    <s v="SJ2"/>
    <s v="5033308"/>
    <s v="NSG TECHNOLOGY INC"/>
    <s v="161827"/>
    <s v="R015P53L2"/>
    <s v="SJ2_STAG"/>
    <s v="NSG Technology, Inc."/>
    <s v="1705 Junction Ct Ste 200"/>
    <s v="CA"/>
    <s v="San Jose"/>
    <s v="95112-1023"/>
    <s v="10-10324-1+"/>
    <s v="ASSY HOUSING 1W AN DX4 RoHS"/>
    <s v="6901384"/>
    <s v="48.1"/>
    <n v="9753501"/>
    <n v="1949536"/>
    <d v="2016-07-27T00:00:00"/>
    <m/>
    <x v="42"/>
    <d v="2016-10-17T00:00:00"/>
    <d v="2016-10-17T23:59:00"/>
    <m/>
    <n v="41"/>
    <m/>
    <n v="246"/>
    <m/>
    <s v="CT30"/>
    <s v="NWK ACCESS TECH"/>
    <s v="ACCESS OTHER"/>
    <s v="OTHER AURORA"/>
    <s v="CT30"/>
    <s v="AUR-RAW MATERIAL ORDER"/>
    <s v="A-SURFACE"/>
    <s v="OP"/>
    <n v="1241987"/>
    <s v="A-SURFACE"/>
    <m/>
    <m/>
    <m/>
    <s v="A-SURFACE"/>
    <s v="LTL"/>
    <s v="EXW"/>
    <s v="Collect"/>
    <m/>
    <m/>
    <s v="Arris provides transportation to NSG"/>
    <m/>
    <m/>
  </r>
  <r>
    <s v="SJ2"/>
    <s v="5033308"/>
    <s v="NSG TECHNOLOGY INC"/>
    <s v="161827"/>
    <s v="R016P19L1B01"/>
    <s v="SJ2_STAG"/>
    <s v="NSG Technology, Inc."/>
    <s v="1705 Junction Ct Ste 200"/>
    <s v="CA"/>
    <s v="San Jose"/>
    <s v="95112-1023"/>
    <s v="NJC3800-3L"/>
    <s v="CABLE KIT 12.5&quot; NODE"/>
    <s v="6901384"/>
    <s v="5.1"/>
    <n v="9751607"/>
    <n v="1945183"/>
    <d v="2016-07-27T00:00:00"/>
    <m/>
    <x v="48"/>
    <d v="2016-10-11T00:00:00"/>
    <d v="2016-10-11T23:59:00"/>
    <m/>
    <n v="24"/>
    <n v="24"/>
    <n v="87.84"/>
    <n v="87.84"/>
    <s v="N224"/>
    <s v="NWK ACCESS TECH"/>
    <s v="ACCESS OTHER"/>
    <s v="OTHER AURORA"/>
    <s v="N224"/>
    <s v="AUR-RAW MATERIAL ORDER"/>
    <s v="A-SURFACE"/>
    <s v="OP"/>
    <n v="1238361"/>
    <s v="A-SURFACE"/>
    <m/>
    <m/>
    <m/>
    <s v="A-SURFACE"/>
    <s v="LTL"/>
    <s v="EXW"/>
    <s v="Collect"/>
    <m/>
    <m/>
    <s v="Arris provides transportation to NSG"/>
    <m/>
    <m/>
  </r>
  <r>
    <s v="SJ2"/>
    <s v="5033308"/>
    <s v="NSG TECHNOLOGY INC"/>
    <s v="161827"/>
    <s v="R015P22L2"/>
    <s v="SJ2_STAG"/>
    <s v="NSG Technology, Inc."/>
    <s v="1705 Junction Ct Ste 200"/>
    <s v="CA"/>
    <s v="San Jose"/>
    <s v="95112-1023"/>
    <s v="NFT3000-1L"/>
    <s v="NODE FIBER TRAY HFC"/>
    <s v="6901393"/>
    <s v="5.1"/>
    <n v="9751608"/>
    <n v="1945183"/>
    <d v="2016-08-11T00:00:00"/>
    <m/>
    <x v="48"/>
    <d v="2016-10-11T00:00:00"/>
    <d v="2016-10-11T23:59:00"/>
    <m/>
    <n v="2"/>
    <n v="2"/>
    <n v="9.86"/>
    <n v="9.86"/>
    <s v="N224"/>
    <s v="NWK ACCESS TECH"/>
    <s v="ACCESS OTHER"/>
    <s v="OTHER AURORA"/>
    <s v="N224"/>
    <s v="AUR-RAW MATERIAL ORDER"/>
    <s v="A-SURFACE"/>
    <s v="OP"/>
    <n v="1238361"/>
    <s v="A-SURFACE"/>
    <m/>
    <m/>
    <m/>
    <s v="A-SURFACE"/>
    <s v="LTL"/>
    <s v="EXW"/>
    <s v="Collect"/>
    <m/>
    <m/>
    <s v="Arris provides transportation to NSG"/>
    <m/>
    <m/>
  </r>
  <r>
    <s v="SJ2"/>
    <s v="5033537"/>
    <s v="DERY TELECOM"/>
    <s v="LA BAIE"/>
    <m/>
    <s v="SJ2_STAG"/>
    <s v="DERYTELECOM"/>
    <s v="531 RUE ALBERT"/>
    <s v="QC"/>
    <s v="LA BAIE"/>
    <s v="G7B 3L5"/>
    <s v="OP9401-0-R2-AS"/>
    <s v="FILTER CWDM/1310 S-CASE 2.0MM"/>
    <s v="92001322"/>
    <s v="9.1"/>
    <n v="9751982"/>
    <n v="1945921"/>
    <d v="2016-08-25T10:38:34"/>
    <m/>
    <x v="49"/>
    <d v="2016-08-25T00:00:00"/>
    <d v="2016-10-10T23:59:00"/>
    <m/>
    <n v="1"/>
    <m/>
    <n v="252"/>
    <m/>
    <s v="N156"/>
    <s v="NWK ACCESS TECH"/>
    <s v="ACCESS OTHER"/>
    <s v="OTHER AURORA"/>
    <s v="N156"/>
    <s v="UK-STANDARD ORDER MIXED"/>
    <s v="A-SURFACE"/>
    <s v="OP"/>
    <n v="1239007"/>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r>
  <r>
    <s v="SJ2"/>
    <s v="5033537"/>
    <s v="DERY TELECOM"/>
    <s v="LA BAIE"/>
    <m/>
    <s v="SJ2_STAG"/>
    <s v="DERYTELECOM"/>
    <s v="531 RUE ALBERT"/>
    <s v="QC"/>
    <s v="LA BAIE"/>
    <m/>
    <s v="OP9401-0-R2-AS"/>
    <s v="FILTER CWDM/1310 S-CASE 2.0MM"/>
    <s v="92001326"/>
    <s v="9.1"/>
    <n v="9751981"/>
    <n v="1945921"/>
    <d v="2016-08-25T12:10:36"/>
    <m/>
    <x v="49"/>
    <d v="2016-08-25T00:00:00"/>
    <d v="2016-10-10T23:59:00"/>
    <m/>
    <n v="1"/>
    <m/>
    <n v="252"/>
    <m/>
    <s v="N156"/>
    <s v="NWK ACCESS TECH"/>
    <s v="ACCESS OTHER"/>
    <s v="OTHER AURORA"/>
    <s v="N156"/>
    <s v="UK-STANDARD ORDER MIXED"/>
    <s v="A-SURFACE"/>
    <s v="OP"/>
    <n v="1239007"/>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r>
  <r>
    <s v="SJ2"/>
    <s v="5037777"/>
    <s v="SCSK CORPORATION"/>
    <s v="SCSK C/O NEC NETWORK"/>
    <s v="STAGE"/>
    <s v="SJ2_FOB"/>
    <s v="SCSK CORPORATION"/>
    <s v="NEC NETWORKS &amp; SYSTEM INTECGRATION CORPORATION"/>
    <s v="TOKYO"/>
    <s v="KOTO-KU"/>
    <s v="135-0053"/>
    <s v="OA4324HG-60"/>
    <s v="RF MODULE GaN FD 2x2 5-60MHz R"/>
    <s v="20116211"/>
    <s v="2.1"/>
    <n v="9752958"/>
    <n v="1948343"/>
    <d v="2016-10-11T04:25:53"/>
    <m/>
    <x v="50"/>
    <d v="2016-10-11T00:00:00"/>
    <d v="2016-10-11T23:59:00"/>
    <m/>
    <n v="2"/>
    <m/>
    <n v="3000"/>
    <m/>
    <s v="CT30"/>
    <s v="NWK ACCESS TECH"/>
    <s v="ACCESS OTHER"/>
    <s v="OTHER AURORA"/>
    <s v="CT30"/>
    <s v="AS-DEFECTIVE MIXED"/>
    <s v="FEDEX ECONOMY"/>
    <s v="OP"/>
    <n v="1241316"/>
    <s v="FEDEX"/>
    <m/>
    <m/>
    <m/>
    <s v="FEDERAL EXPRESS"/>
    <s v="ECO"/>
    <s v="DDP"/>
    <s v="Prepaid"/>
    <m/>
    <m/>
    <s v="This is DOA replacement order. Please ship the order via FEDEX Economy Service using ARRIS Account#."/>
    <m/>
    <m/>
  </r>
  <r>
    <s v="SJ2"/>
    <s v="5037777"/>
    <s v="SCSK CORPORATION"/>
    <s v="SCSK C/O NEC NETWORK"/>
    <s v="R016P10L2B01"/>
    <s v="SJ2_FOB"/>
    <s v="SCSK CORPORATION"/>
    <s v="NEC NETWORKS &amp; SYSTEM INTECGRATION CORPORATION"/>
    <s v="TOKYO"/>
    <s v="KOTO-KU"/>
    <s v="135-0053"/>
    <s v="OS32M2S-00-AS"/>
    <s v="OPT SWITCH 2X1 MASTER/SLAVE SC"/>
    <s v="20116217"/>
    <s v="2.1"/>
    <n v="9752959"/>
    <n v="1948343"/>
    <d v="2016-10-11T05:40:54"/>
    <m/>
    <x v="50"/>
    <d v="2016-10-11T00:00:00"/>
    <d v="2016-10-11T23:59:00"/>
    <m/>
    <n v="1"/>
    <n v="1"/>
    <n v="1197"/>
    <n v="1197"/>
    <s v="N171"/>
    <s v="NWK ACCESS TECH"/>
    <s v="HEO"/>
    <s v="HEO MISC AURORA"/>
    <s v="N171"/>
    <s v="AS-DEFECTIVE MIXED"/>
    <s v="FEDEX ECONOMY"/>
    <s v="OP"/>
    <n v="1241316"/>
    <s v="FEDEX"/>
    <m/>
    <m/>
    <m/>
    <s v="FEDERAL EXPRESS"/>
    <s v="ECO"/>
    <s v="DDP"/>
    <s v="Prepaid"/>
    <m/>
    <m/>
    <s v="This is DOA replacement order. Pleaser ship via FEDEX Economy usin ARRIS Account#"/>
    <m/>
    <m/>
  </r>
  <r>
    <s v="SJ2"/>
    <s v="5037777"/>
    <s v="SCSK CORPORATION"/>
    <s v="167891"/>
    <s v="R015P39L3"/>
    <s v="SJ2_STAG"/>
    <s v="SCSK USA Inc."/>
    <s v="SCSK Corporation C/O NEC Networks &amp; System Integration"/>
    <m/>
    <s v="TOKYO"/>
    <s v="3-8-10"/>
    <s v="DT4250N-50-00"/>
    <s v="DGTL XCVR ENH MULTI-MODES OF O"/>
    <s v="6900882"/>
    <s v="2.1"/>
    <n v="9726394"/>
    <n v="1920709"/>
    <d v="2016-07-15T00:00:00"/>
    <m/>
    <x v="51"/>
    <d v="2016-09-15T00:00:00"/>
    <d v="2016-09-15T23:59:00"/>
    <m/>
    <n v="5"/>
    <n v="5"/>
    <n v="1360"/>
    <n v="1360"/>
    <s v="N065"/>
    <s v="NWK ACCESS TECH"/>
    <s v="NODE"/>
    <s v="NODE MISC AURORA"/>
    <s v="N065"/>
    <s v="AUR-STANDARD ORDER MIXED"/>
    <s v="HNSH-Air"/>
    <s v="OP"/>
    <n v="1224483"/>
    <s v="HNSH"/>
    <m/>
    <m/>
    <m/>
    <s v="HNSH"/>
    <s v="TW1"/>
    <s v="EXW"/>
    <s v="Third Party Billing"/>
    <m/>
    <m/>
    <s v="Ship Hankyu, if critical shipment and missed pick up time, email orders@scsusa.com for approval to ship FedEx"/>
    <m/>
    <m/>
  </r>
  <r>
    <s v="SJ2"/>
    <s v="5037777"/>
    <s v="SCSK CORPORATION"/>
    <s v="167891"/>
    <s v="R016P40L4B01"/>
    <s v="SJ2_STAG"/>
    <s v="SCSK USA Inc."/>
    <s v="SCSK Corporation C/O NEC Networks &amp; System Integration"/>
    <m/>
    <s v="TOKYO"/>
    <s v="3-8-10"/>
    <s v="CH3000N"/>
    <s v="CHASSIS NO COVERS 3RU"/>
    <s v="6901227"/>
    <s v="13.1"/>
    <n v="9751017"/>
    <n v="1944026"/>
    <d v="2016-08-11T00:00:00"/>
    <m/>
    <x v="44"/>
    <d v="2016-10-10T00:00:00"/>
    <d v="2016-10-10T23:59:00"/>
    <m/>
    <n v="3"/>
    <n v="3"/>
    <n v="672"/>
    <n v="672"/>
    <s v="N199"/>
    <s v="NWK ACCESS TECH"/>
    <s v="HEO"/>
    <s v="HEO MISC AURORA"/>
    <s v="N199"/>
    <s v="AUR-STANDARD ORDER MIXED"/>
    <s v="HNSH-Air"/>
    <s v="OP"/>
    <n v="1237749"/>
    <s v="HNSH"/>
    <m/>
    <m/>
    <m/>
    <s v="HNSH"/>
    <s v="TW1"/>
    <s v="EXW"/>
    <s v="Third Party Billing"/>
    <m/>
    <m/>
    <s v="Ship Hankyu, if critical shipment and missed pick up time, email orders@scsusa.com for approval to ship FedEx"/>
    <m/>
    <m/>
  </r>
  <r>
    <s v="SJ2"/>
    <s v="5037777"/>
    <s v="SCSK CORPORATION"/>
    <s v="167891"/>
    <s v="R016P37L1B01"/>
    <s v="SJ2_STAG"/>
    <s v="SCSK USA Inc."/>
    <s v="SCSK Corporation C/O NEC Networks &amp; System Integration"/>
    <m/>
    <s v="TOKYO"/>
    <s v="3-8-10"/>
    <s v="CH3000N"/>
    <s v="CHASSIS NO COVERS 3RU"/>
    <s v="6901227"/>
    <s v="13.1"/>
    <n v="9751017"/>
    <n v="1944026"/>
    <d v="2016-08-11T00:00:00"/>
    <m/>
    <x v="44"/>
    <d v="2016-10-10T00:00:00"/>
    <d v="2016-10-10T23:59:00"/>
    <m/>
    <n v="6"/>
    <n v="6"/>
    <n v="1344"/>
    <n v="1344"/>
    <s v="N199"/>
    <s v="NWK ACCESS TECH"/>
    <s v="HEO"/>
    <s v="HEO MISC AURORA"/>
    <s v="N199"/>
    <s v="AUR-STANDARD ORDER MIXED"/>
    <s v="HNSH-Air"/>
    <s v="OP"/>
    <n v="1237749"/>
    <s v="HNSH"/>
    <m/>
    <m/>
    <m/>
    <s v="HNSH"/>
    <s v="TW1"/>
    <s v="EXW"/>
    <s v="Third Party Billing"/>
    <m/>
    <m/>
    <s v="Ship Hankyu, if critical shipment and missed pick up time, email orders@scsusa.com for approval to ship FedEx"/>
    <m/>
    <m/>
  </r>
  <r>
    <s v="SJ2"/>
    <s v="5037777"/>
    <s v="SCSK CORPORATION"/>
    <s v="167891"/>
    <s v="R015P07L1"/>
    <s v="SJ2_STAG"/>
    <s v="SCSK USA Inc."/>
    <s v="SCSK Corporation C/O NEC Networks &amp; System Integration"/>
    <m/>
    <s v="TOKYO"/>
    <s v="3-8-10"/>
    <s v="CH3000U-FM-01"/>
    <s v="SHELF FIBER ROUTING CH3000 1RU"/>
    <s v="6901227"/>
    <s v="14.1"/>
    <n v="9751017"/>
    <n v="1944026"/>
    <d v="2016-08-11T00:00:00"/>
    <m/>
    <x v="44"/>
    <d v="2016-10-10T00:00:00"/>
    <d v="2016-10-10T23:59:00"/>
    <m/>
    <n v="9"/>
    <n v="9"/>
    <n v="342"/>
    <n v="342"/>
    <s v="N199"/>
    <s v="NWK ACCESS TECH"/>
    <s v="HEO"/>
    <s v="HEO MISC AURORA"/>
    <s v="N199"/>
    <s v="AUR-STANDARD ORDER MIXED"/>
    <s v="HNSH-Air"/>
    <s v="OP"/>
    <n v="1237749"/>
    <s v="HNSH"/>
    <m/>
    <m/>
    <m/>
    <s v="HNSH"/>
    <s v="TW1"/>
    <s v="EXW"/>
    <s v="Third Party Billing"/>
    <m/>
    <m/>
    <s v="Ship Hankyu, if critical shipment and missed pick up time, email orders@scsusa.com for approval to ship FedEx"/>
    <m/>
    <m/>
  </r>
  <r>
    <s v="SJ2"/>
    <s v="5037777"/>
    <s v="SCSK CORPORATION"/>
    <s v="167891"/>
    <s v="R015P18L2"/>
    <s v="SJ2_STAG"/>
    <s v="SCSK USA Inc."/>
    <s v="SCSK Corporation C/O NEC Networks &amp; System Integration"/>
    <m/>
    <s v="TOKYO"/>
    <s v="3-8-10"/>
    <s v="PS3005D"/>
    <s v="POWER SUPPLY 250W CE TUV W/DIS"/>
    <s v="6901227"/>
    <s v="16.1"/>
    <n v="9751017"/>
    <n v="1944025"/>
    <d v="2016-08-11T00:00:00"/>
    <m/>
    <x v="44"/>
    <d v="2016-10-10T00:00:00"/>
    <d v="2016-10-10T23:59:00"/>
    <m/>
    <n v="8"/>
    <n v="8"/>
    <n v="4488"/>
    <n v="4488"/>
    <s v="N204"/>
    <s v="NWK ACCESS TECH"/>
    <s v="ACCESS OTHER"/>
    <s v="OTHER AURORA"/>
    <s v="N204"/>
    <s v="AUR-STANDARD ORDER MIXED"/>
    <s v="HNSH-Air"/>
    <s v="OP"/>
    <n v="1237749"/>
    <s v="HNSH"/>
    <m/>
    <m/>
    <m/>
    <s v="HNSH"/>
    <s v="TW1"/>
    <s v="EXW"/>
    <s v="Third Party Billing"/>
    <m/>
    <m/>
    <s v="Ship Hankyu, if critical shipment and missed pick up time, email orders@scsusa.com for approval to ship FedEx"/>
    <m/>
    <m/>
  </r>
  <r>
    <s v="SJ2"/>
    <s v="5037777"/>
    <s v="SCSK CORPORATION"/>
    <s v="167891"/>
    <s v="R016P39L4B02"/>
    <s v="SJ2_STAG"/>
    <s v="SCSK USA Inc."/>
    <s v="SCSK Corporation C/O NEC Networks &amp; System Integration"/>
    <m/>
    <s v="TOKYO"/>
    <s v="3-8-10"/>
    <s v="PS3005N"/>
    <s v="POWER SUPPLY 250W CE TUV W/O D"/>
    <s v="6901227"/>
    <s v="17.1"/>
    <n v="9751017"/>
    <n v="1944026"/>
    <d v="2016-08-11T00:00:00"/>
    <m/>
    <x v="44"/>
    <d v="2016-10-10T00:00:00"/>
    <d v="2016-10-10T23:59:00"/>
    <m/>
    <n v="8"/>
    <n v="8"/>
    <n v="3768"/>
    <n v="3768"/>
    <s v="N204"/>
    <s v="NWK ACCESS TECH"/>
    <s v="ACCESS OTHER"/>
    <s v="OTHER AURORA"/>
    <s v="N204"/>
    <s v="AUR-STANDARD ORDER MIXED"/>
    <s v="HNSH-Air"/>
    <s v="OP"/>
    <n v="1237749"/>
    <s v="HNSH"/>
    <m/>
    <m/>
    <m/>
    <s v="HNSH"/>
    <s v="TW1"/>
    <s v="EXW"/>
    <s v="Third Party Billing"/>
    <m/>
    <m/>
    <s v="Ship Hankyu, if critical shipment and missed pick up time, email orders@scsusa.com for approval to ship FedEx"/>
    <m/>
    <m/>
  </r>
  <r>
    <s v="SJ2"/>
    <s v="5037777"/>
    <s v="SCSK CORPORATION"/>
    <s v="167891"/>
    <s v="REC1"/>
    <s v="SJ2_STAG"/>
    <s v="SCSK USA Inc."/>
    <s v="SCSK Corporation C/O NEC Networks &amp; System Integration"/>
    <m/>
    <s v="TOKYO"/>
    <s v="3-8-10"/>
    <s v="CX3002"/>
    <s v="COMMUNICATIONS MODULE"/>
    <s v="6901227"/>
    <s v="18.1"/>
    <n v="9751017"/>
    <n v="1944025"/>
    <d v="2016-08-11T00:00:00"/>
    <m/>
    <x v="44"/>
    <d v="2016-10-10T00:00:00"/>
    <d v="2016-10-10T23:59:00"/>
    <m/>
    <n v="8"/>
    <n v="8"/>
    <n v="2960"/>
    <n v="2960"/>
    <s v="N080"/>
    <s v="NWK ACCESS TECH"/>
    <s v="HEO"/>
    <s v="HEO MISC AURORA"/>
    <s v="N080"/>
    <s v="AUR-STANDARD ORDER MIXED"/>
    <s v="HNSH-Air"/>
    <s v="OP"/>
    <n v="1237749"/>
    <s v="HNSH"/>
    <m/>
    <m/>
    <m/>
    <s v="HNSH"/>
    <s v="TW1"/>
    <s v="EXW"/>
    <s v="Third Party Billing"/>
    <m/>
    <m/>
    <s v="Ship Hankyu, if critical shipment and missed pick up time, email orders@scsusa.com for approval to ship FedEx"/>
    <m/>
    <m/>
  </r>
  <r>
    <s v="SJ2"/>
    <s v="5037777"/>
    <s v="SCSK CORPORATION"/>
    <s v="167891"/>
    <s v="R017P65L4"/>
    <s v="SJ2_STAG"/>
    <s v="SCSK USA Inc."/>
    <s v="SCSK Corporation C/O NEC Networks &amp; System Integration"/>
    <m/>
    <s v="TOKYO"/>
    <s v="3-8-10"/>
    <s v="DR3450N-50-00"/>
    <s v="DIGITAL RECEIVER Q-RX 2.125GBP"/>
    <s v="6901227"/>
    <s v="5.1"/>
    <n v="9751017"/>
    <n v="1944026"/>
    <d v="2016-08-11T00:00:00"/>
    <m/>
    <x v="44"/>
    <d v="2016-10-10T00:00:00"/>
    <d v="2016-10-10T23:59:00"/>
    <m/>
    <n v="7"/>
    <n v="7"/>
    <n v="7616"/>
    <n v="7616"/>
    <s v="N275"/>
    <s v="NWK ACCESS TECH"/>
    <s v="HEO"/>
    <s v="RECEIVERS AURORA"/>
    <s v="N275"/>
    <s v="AUR-STANDARD ORDER MIXED"/>
    <s v="HNSH-Air"/>
    <s v="OP"/>
    <n v="1237749"/>
    <s v="HNSH"/>
    <m/>
    <m/>
    <m/>
    <s v="HNSH"/>
    <s v="TW1"/>
    <s v="EXW"/>
    <s v="Third Party Billing"/>
    <m/>
    <m/>
    <s v="Ship Hankyu, if critical shipment and missed pick up time, email orders@scsusa.com for approval to ship FedEx"/>
    <m/>
    <m/>
  </r>
  <r>
    <s v="SJ2"/>
    <s v="5037777"/>
    <s v="SCSK CORPORATION"/>
    <s v="167891"/>
    <s v="R017P57L2"/>
    <s v="SJ2_STAG"/>
    <s v="SCSK USA Inc."/>
    <s v="SCSK Corporation C/O NEC Networks &amp; System Integration"/>
    <m/>
    <s v="TOKYO"/>
    <s v="3-8-10"/>
    <s v="DR3450N-50-00"/>
    <s v="DIGITAL RECEIVER Q-RX 2.125GBP"/>
    <s v="6901227"/>
    <s v="5.1"/>
    <n v="9751017"/>
    <n v="1944026"/>
    <d v="2016-08-11T00:00:00"/>
    <m/>
    <x v="44"/>
    <d v="2016-10-10T00:00:00"/>
    <d v="2016-10-10T23:59:00"/>
    <m/>
    <n v="6"/>
    <n v="6"/>
    <n v="6528"/>
    <n v="6528"/>
    <s v="N275"/>
    <s v="NWK ACCESS TECH"/>
    <s v="HEO"/>
    <s v="RECEIVERS AURORA"/>
    <s v="N275"/>
    <s v="AUR-STANDARD ORDER MIXED"/>
    <s v="HNSH-Air"/>
    <s v="OP"/>
    <n v="1237749"/>
    <s v="HNSH"/>
    <m/>
    <m/>
    <m/>
    <s v="HNSH"/>
    <s v="TW1"/>
    <s v="EXW"/>
    <s v="Third Party Billing"/>
    <m/>
    <m/>
    <s v="Ship Hankyu, if critical shipment and missed pick up time, email orders@scsusa.com for approval to ship FedEx"/>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r>
    <m/>
    <m/>
    <m/>
    <m/>
    <m/>
    <m/>
    <m/>
    <m/>
    <m/>
    <m/>
    <m/>
    <m/>
    <m/>
    <m/>
    <m/>
    <m/>
    <m/>
    <m/>
    <m/>
    <x v="31"/>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342">
  <r>
    <x v="0"/>
    <s v="EXPEDITORS SAN JOSE INV"/>
    <s v="NON_ROHS"/>
    <s v="NWK ACCESS TECH"/>
    <s v="N204"/>
    <s v="PO Receipt"/>
    <x v="0"/>
    <s v="PS1911W-00"/>
    <s v="POWER ADPTR 120VAC-12VDC 525MA WALL ROHS"/>
    <n v="15000"/>
    <s v="148001"/>
  </r>
  <r>
    <x v="0"/>
    <s v="EXPEDITORS SAN JOSE INV"/>
    <s v="NON_ROHS"/>
    <s v="NWK ACCESS TECH"/>
    <s v="N211"/>
    <s v="PO Receipt"/>
    <x v="1"/>
    <s v="ONT-2-E4020IWN-UK"/>
    <s v="EPON ONT 4GE 2 POTS Wi-Fi UK PS"/>
    <n v="150"/>
    <s v="148001"/>
  </r>
  <r>
    <x v="0"/>
    <s v="EXPEDITORS SAN JOSE INV"/>
    <s v="NON_ROHS"/>
    <s v="NWK ACCESS TECH"/>
    <s v="N213"/>
    <s v="PO Receipt"/>
    <x v="2"/>
    <s v="ONT-2-E4021IWN-US"/>
    <s v="EPON ONT 4GE 2 POTS RF Wi-Fi US PS"/>
    <n v="1000"/>
    <s v="148001"/>
  </r>
  <r>
    <x v="1"/>
    <s v="EXPEDITORS SAN JOSE INV"/>
    <s v="NON_ROHS"/>
    <s v="NWK ACCESS TECH"/>
    <s v="N034"/>
    <s v="PO Receipt"/>
    <x v="3"/>
    <s v="NC4121S2A1-00000000"/>
    <s v="BASE NODE 5-42/51-1GHz JXP 1X1 SEG"/>
    <n v="100"/>
    <s v="148001"/>
  </r>
  <r>
    <x v="1"/>
    <s v="EXPEDITORS SAN JOSE INV"/>
    <s v="NON_ROHS"/>
    <s v="NWK ACCESS TECH"/>
    <s v="N034"/>
    <s v="PO Receipt"/>
    <x v="3"/>
    <s v="NC412A1S2A5-U0000000"/>
    <s v="NODE 5-42/51-1GHz JXP 1x2 SEG AR4214 +DT"/>
    <n v="90"/>
    <s v="148001"/>
  </r>
  <r>
    <x v="1"/>
    <s v="EXPEDITORS SAN JOSE INV"/>
    <s v="NON_ROHS"/>
    <s v="NWK ACCESS TECH"/>
    <s v="N034"/>
    <s v="PO Receipt"/>
    <x v="3"/>
    <s v="NC412A4S2A4-UU000000"/>
    <s v="NODE 5-42/51-1GHz JXP 4x4 SEG AR4214 +DT"/>
    <n v="100"/>
    <s v="148001"/>
  </r>
  <r>
    <x v="1"/>
    <s v="EXPEDITORS SAN JOSE INV"/>
    <s v="NON_ROHS"/>
    <s v="NWK ACCESS TECH"/>
    <s v="N140"/>
    <s v="PO Receipt"/>
    <x v="4"/>
    <s v="HLP4800-6F"/>
    <s v="PLATFORM HLP4800"/>
    <n v="179"/>
    <s v="148001"/>
  </r>
  <r>
    <x v="1"/>
    <s v="EXPEDITORS SAN JOSE INV"/>
    <s v="NON_ROHS"/>
    <s v="NWK ACCESS TECH"/>
    <s v="N199"/>
    <s v="PO Receipt"/>
    <x v="5"/>
    <s v="CH3000N"/>
    <s v="CHASSIS NO COVERS 3RU"/>
    <n v="150"/>
    <s v="148001"/>
  </r>
  <r>
    <x v="1"/>
    <s v="EXPEDITORS SAN JOSE INV"/>
    <s v="NON_ROHS"/>
    <s v="NWK ACCESS TECH"/>
    <s v="N222"/>
    <s v="PO Receipt"/>
    <x v="3"/>
    <s v="AR4203G-AS"/>
    <s v="OPTICAL RECEIVER 51-1002MHz FWD PASSBAND"/>
    <n v="500"/>
    <s v="148001"/>
  </r>
  <r>
    <x v="2"/>
    <s v="EXPEDITORS SAN JOSE INV"/>
    <s v="NON_ROHS"/>
    <s v="NWK ACCESS TECH"/>
    <s v="N027"/>
    <s v="PO Receipt"/>
    <x v="6"/>
    <s v="AR4214G-AS"/>
    <s v="OPT RCVR 51-1000MHZ FWD HG ALC VER 2"/>
    <n v="560"/>
    <s v="148001"/>
  </r>
  <r>
    <x v="2"/>
    <s v="EXPEDITORS SAN JOSE INV"/>
    <s v="NON_ROHS"/>
    <s v="NWK ACCESS TECH"/>
    <s v="N030"/>
    <s v="Intransit Receipt"/>
    <x v="7"/>
    <s v="NC2111HGE1-0000000"/>
    <s v="NODE 5-45MHz RVS 54-1002MHz FWD 1x1 SEG"/>
    <n v="32"/>
    <s v="148001"/>
  </r>
  <r>
    <x v="2"/>
    <s v="EXPEDITORS SAN JOSE INV"/>
    <s v="NON_ROHS"/>
    <s v="NWK ACCESS TECH"/>
    <s v="N032"/>
    <s v="Intransit Receipt"/>
    <x v="7"/>
    <s v="NC411A1H3K5-00000000"/>
    <s v="NODE FD 45/54-1GHz UHG ATO JXP +HG RX"/>
    <n v="6"/>
    <s v="148001"/>
  </r>
  <r>
    <x v="2"/>
    <s v="EXPEDITORS SAN JOSE INV"/>
    <s v="NON_ROHS"/>
    <s v="NWK ACCESS TECH"/>
    <s v="N032"/>
    <s v="PO Receipt"/>
    <x v="3"/>
    <s v="NC4111H3H9-00000000"/>
    <s v="NODE FD 2x2 5-45/54-1GHz UHG AUTO &amp; JXP"/>
    <n v="120"/>
    <s v="148001"/>
  </r>
  <r>
    <x v="2"/>
    <s v="EXPEDITORS SAN JOSE INV"/>
    <s v="NON_ROHS"/>
    <s v="NWK ACCESS TECH"/>
    <s v="N034"/>
    <s v="PO Receipt"/>
    <x v="3"/>
    <s v="NC412A1S2A5-U0000000"/>
    <s v="NODE 5-42/51-1GHz JXP 1x2 SEG AR4214 +DT"/>
    <n v="10"/>
    <s v="148001"/>
  </r>
  <r>
    <x v="2"/>
    <s v="EXPEDITORS SAN JOSE INV"/>
    <s v="NON_ROHS"/>
    <s v="NWK ACCESS TECH"/>
    <s v="N043"/>
    <s v="Intransit Receipt"/>
    <x v="7"/>
    <s v="NC419A1H3K5-U0000000"/>
    <s v="NODE FD 85/104-1GHz UHG ATO JXP +HG RX"/>
    <n v="20"/>
    <s v="148001"/>
  </r>
  <r>
    <x v="2"/>
    <s v="EXPEDITORS SAN JOSE INV"/>
    <s v="NON_ROHS"/>
    <s v="NWK ACCESS TECH"/>
    <s v="N121"/>
    <s v="Intransit Receipt"/>
    <x v="7"/>
    <s v="NC214A1HG61-U000000"/>
    <s v="NODE 5-65MHZ RVS 85-1GHZ FWD 1X1SEG"/>
    <n v="45"/>
    <s v="148001"/>
  </r>
  <r>
    <x v="2"/>
    <s v="EXPEDITORS SAN JOSE INV"/>
    <s v="NON_ROHS"/>
    <s v="NWK ACCESS TECH"/>
    <s v="N121"/>
    <s v="Intransit Receipt"/>
    <x v="7"/>
    <s v="NC214A1HG61-U00KV01"/>
    <s v="CUSTOM NODE 5-65MHZ RVS 85-1GHZ FWD 1X1"/>
    <n v="21"/>
    <s v="148001"/>
  </r>
  <r>
    <x v="2"/>
    <s v="EXPEDITORS SAN JOSE INV"/>
    <s v="NON_ROHS"/>
    <s v="NWK ACCESS TECH"/>
    <s v="N121"/>
    <s v="Intransit Receipt"/>
    <x v="8"/>
    <s v="NC214A1HG61-U00KV01"/>
    <s v="CUSTOM NODE 5-65MHZ RVS 85-1GHZ FWD 1X1"/>
    <n v="58"/>
    <s v="148001"/>
  </r>
  <r>
    <x v="2"/>
    <s v="EXPEDITORS SAN JOSE INV"/>
    <s v="NON_ROHS"/>
    <s v="NWK ACCESS TECH"/>
    <s v="N224"/>
    <s v="Intransit Receipt"/>
    <x v="7"/>
    <s v="NH4000-RFP2"/>
    <s v="HOUSING VHUB-RFPON DUAL PWR SPLY"/>
    <n v="20"/>
    <s v="148001"/>
  </r>
  <r>
    <x v="2"/>
    <s v="EXPEDITORS SAN JOSE INV"/>
    <s v="SJ2_SALE"/>
    <s v="NWK ACCESS TECH"/>
    <s v="N226"/>
    <s v="PO Receipt"/>
    <x v="9"/>
    <s v="CP8015U-02-10"/>
    <s v="CPE RFOG 1550/1610 42MHZ PWR INSR"/>
    <n v="1920"/>
    <s v="148001"/>
  </r>
  <r>
    <x v="2"/>
    <s v="EXPEDITORS SAN JOSE INV"/>
    <s v="SJ2_SALE"/>
    <s v="NWK ACCESS TECH"/>
    <s v="N262"/>
    <s v="PO Receipt"/>
    <x v="10"/>
    <s v="CP801TU-01-00"/>
    <s v="CPE RFOG SDU OBI FIXED 1610 5-42MHZ RTN"/>
    <n v="20"/>
    <s v="148001"/>
  </r>
  <r>
    <x v="3"/>
    <s v="EXPEDITORS SAN JOSE INV"/>
    <s v="NON_ROHS"/>
    <s v="NWK ACCESS TECH"/>
    <s v="N027"/>
    <s v="PO Receipt"/>
    <x v="6"/>
    <s v="AR4214G-AS"/>
    <s v="OPT RCVR 51-1000MHZ FWD HG ALC VER 2"/>
    <n v="40"/>
    <s v="148001"/>
  </r>
  <r>
    <x v="4"/>
    <s v="EXPEDITORS SAN JOSE INV"/>
    <s v="NON_ROHS"/>
    <s v="NWK ACCESS TECH"/>
    <s v="N141"/>
    <s v="PO Receipt"/>
    <x v="11"/>
    <s v="HNC4801-WEB/SNMP-1F"/>
    <s v="HNC4801+FIRMWARE LICENSE"/>
    <n v="15"/>
    <s v="148001"/>
  </r>
  <r>
    <x v="4"/>
    <s v="EXPEDITORS SAN JOSE INV"/>
    <s v="NON_ROHS"/>
    <s v="NWK ACCESS TECH"/>
    <s v="N204"/>
    <s v="PO Receipt"/>
    <x v="12"/>
    <s v="PS3148N"/>
    <s v="POWER SUPPLY NO DISPLAY -48VDC 250W 3RU"/>
    <n v="240"/>
    <s v="148001"/>
  </r>
  <r>
    <x v="5"/>
    <s v="EXPEDITORS SAN JOSE INV"/>
    <s v="NON_ROHS"/>
    <s v="NWK ACCESS TECH"/>
    <s v="N055"/>
    <s v="PO Receipt"/>
    <x v="13"/>
    <s v="VH4000-EP-09-01"/>
    <s v="VHub RFoG 1PSU 4-1RTN OP4138 EDFA UDT"/>
    <n v="5"/>
    <s v="148001"/>
  </r>
  <r>
    <x v="5"/>
    <s v="EXPEDITORS SAN JOSE INV"/>
    <s v="SJ2_SALE"/>
    <s v="NWK ACCESS TECH"/>
    <s v="N226"/>
    <s v="PO Receipt"/>
    <x v="14"/>
    <s v="CP8015U-02-10"/>
    <s v="CPE RFOG 1550/1610 42MHZ PWR INSR"/>
    <n v="1920"/>
    <s v="148001"/>
  </r>
  <r>
    <x v="6"/>
    <s v="EXPEDITORS SAN JOSE INV"/>
    <s v="NON_ROHS"/>
    <s v="NWK ACCESS TECH"/>
    <s v="N224"/>
    <s v="PO Receipt"/>
    <x v="15"/>
    <s v="NH4000-VHP2"/>
    <s v="HOUSING VHUB DUAL PWR SPLY FBR TRAY"/>
    <n v="10"/>
    <s v="148001"/>
  </r>
  <r>
    <x v="6"/>
    <s v="EXPEDITORS SAN JOSE INV"/>
    <s v="SJ2_SALE"/>
    <s v="NWK ACCESS TECH"/>
    <s v="N027"/>
    <s v="PO Receipt"/>
    <x v="16"/>
    <s v="AR4214G-AS"/>
    <s v="OPT RCVR 51-1000MHZ FWD HG ALC VER 2"/>
    <n v="600"/>
    <s v="148001"/>
  </r>
  <r>
    <x v="6"/>
    <s v="EXPEDITORS SAN JOSE INV"/>
    <s v="SJ2_SALE"/>
    <s v="NWK VIDEO SYS"/>
    <s v="MXXX"/>
    <s v="PO Receipt"/>
    <x v="17"/>
    <s v="79-10193-313+"/>
    <s v="SCREW 4-40X5/16 SEM SPT LCK PPH SST ROHS"/>
    <n v="4500"/>
    <s v="148001"/>
  </r>
  <r>
    <x v="6"/>
    <s v="EXPEDITORS SAN JOSE INV"/>
    <s v="SJ2_SALE"/>
    <s v="NWK VIDEO SYS"/>
    <s v="MXXX"/>
    <s v="PO Receipt"/>
    <x v="18"/>
    <s v="79-10422-440-250"/>
    <s v="SCREW 4-40X1/4 PPH SST TRUSS"/>
    <n v="6000"/>
    <s v="148001"/>
  </r>
  <r>
    <x v="7"/>
    <s v="EXPEDITORS SAN JOSE INV"/>
    <s v="NON_ROHS"/>
    <s v="NWK ACCESS TECH"/>
    <s v="HE64"/>
    <s v="PO Receipt"/>
    <x v="19"/>
    <s v="AR4414G-AS"/>
    <s v="OPT RX 85-1002MHZ FWD HIGH-GAIN ALC"/>
    <n v="600"/>
    <s v="148001"/>
  </r>
  <r>
    <x v="7"/>
    <s v="EXPEDITORS SAN JOSE INV"/>
    <s v="NON_ROHS"/>
    <s v="NWK ACCESS TECH"/>
    <s v="HE64"/>
    <s v="PO Receipt"/>
    <x v="20"/>
    <s v="AR4414G-AS"/>
    <s v="OPT RX 85-1002MHZ FWD HIGH-GAIN ALC"/>
    <n v="200"/>
    <s v="148001"/>
  </r>
  <r>
    <x v="7"/>
    <s v="EXPEDITORS SAN JOSE INV"/>
    <s v="NON_ROHS"/>
    <s v="NWK ACCESS TECH"/>
    <s v="N034"/>
    <s v="PO Receipt"/>
    <x v="20"/>
    <s v="NC4121S251-00000000"/>
    <s v="NODE 5-42/51-870MHz JXP 1X1 SEG"/>
    <n v="90"/>
    <s v="148001"/>
  </r>
  <r>
    <x v="7"/>
    <s v="EXPEDITORS SAN JOSE INV"/>
    <s v="NON_ROHS"/>
    <s v="NWK ACCESS TECH"/>
    <s v="N034"/>
    <s v="PO Receipt"/>
    <x v="20"/>
    <s v="NC4121S2A1-00000000"/>
    <s v="BASE NODE 5-42/51-1GHz JXP 1X1 SEG"/>
    <n v="100"/>
    <s v="148001"/>
  </r>
  <r>
    <x v="7"/>
    <s v="EXPEDITORS SAN JOSE INV"/>
    <s v="NON_ROHS"/>
    <s v="NWK ACCESS TECH"/>
    <s v="N034"/>
    <s v="PO Receipt"/>
    <x v="20"/>
    <s v="NC412A1S2A5-U0000000"/>
    <s v="NODE 5-42/51-1GHz JXP 1x2 SEG AR4214 +DT"/>
    <n v="100"/>
    <s v="148001"/>
  </r>
  <r>
    <x v="7"/>
    <s v="EXPEDITORS SAN JOSE INV"/>
    <s v="NON_ROHS"/>
    <s v="NWK ACCESS TECH"/>
    <s v="N199"/>
    <s v="PO Receipt"/>
    <x v="21"/>
    <s v="CH3000N"/>
    <s v="CHASSIS NO COVERS 3RU"/>
    <n v="150"/>
    <s v="148001"/>
  </r>
  <r>
    <x v="7"/>
    <s v="EXPEDITORS SAN JOSE INV"/>
    <s v="NON_ROHS"/>
    <s v="NWK ACCESS TECH"/>
    <s v="N204"/>
    <s v="PO Receipt"/>
    <x v="19"/>
    <s v="PS4001"/>
    <s v="POWER SUPPLY"/>
    <n v="500"/>
    <s v="148001"/>
  </r>
  <r>
    <x v="7"/>
    <s v="EXPEDITORS SAN JOSE INV"/>
    <s v="NON_ROHS"/>
    <s v="NWK ACCESS TECH"/>
    <s v="N224"/>
    <s v="PO Receipt"/>
    <x v="19"/>
    <s v="NH4000-H1"/>
    <s v="HOUSING STD NODE HORIZ TP BASE MON"/>
    <n v="200"/>
    <s v="148001"/>
  </r>
  <r>
    <x v="7"/>
    <s v="EXPEDITORS SAN JOSE INV"/>
    <s v="NON_ROHS"/>
    <s v="NWK ACCESS TECH"/>
    <s v="N224"/>
    <s v="PO Receipt"/>
    <x v="20"/>
    <s v="NFT3000-1L"/>
    <s v="NODE FIBER TRAY HFC"/>
    <n v="300"/>
    <s v="148001"/>
  </r>
  <r>
    <x v="7"/>
    <s v="EXPEDITORS SAN JOSE INV"/>
    <s v="NON_ROHS"/>
    <s v="NWK ACCESS TECH"/>
    <s v="N224"/>
    <s v="PO Receipt"/>
    <x v="20"/>
    <s v="NRF3142Q-42-NRH3840"/>
    <s v="RF MOD SEG MNLMUTE 42/53 1GHZ LPF NRH"/>
    <n v="100"/>
    <s v="148001"/>
  </r>
  <r>
    <x v="8"/>
    <s v="EXPEDITORS SAN JOSE INV"/>
    <s v="NON_ROHS"/>
    <s v="NWK ACCESS TECH"/>
    <s v="N030"/>
    <s v="PO Receipt"/>
    <x v="22"/>
    <s v="NC2111HGE1-0000000"/>
    <s v="NODE 5-45MHz RVS 54-1002MHz FWD 1x1 SEG"/>
    <n v="8"/>
    <s v="148001"/>
  </r>
  <r>
    <x v="8"/>
    <s v="EXPEDITORS SAN JOSE INV"/>
    <s v="NON_ROHS"/>
    <s v="NWK ACCESS TECH"/>
    <s v="N030"/>
    <s v="PO Receipt"/>
    <x v="23"/>
    <s v="NC2111HGE1-0000000"/>
    <s v="NODE 5-45MHz RVS 54-1002MHz FWD 1x1 SEG"/>
    <n v="8"/>
    <s v="148001"/>
  </r>
  <r>
    <x v="8"/>
    <s v="EXPEDITORS SAN JOSE INV"/>
    <s v="NON_ROHS"/>
    <s v="NWK ACCESS TECH"/>
    <s v="N116"/>
    <s v="PO Receipt"/>
    <x v="24"/>
    <s v="HLN3142C-4111-COM167"/>
    <s v="Configured node BOM for HLN3142C"/>
    <n v="10"/>
    <s v="148001"/>
  </r>
  <r>
    <x v="8"/>
    <s v="EXPEDITORS SAN JOSE INV"/>
    <s v="NON_ROHS"/>
    <s v="NWK ACCESS TECH"/>
    <s v="N117"/>
    <s v="PO Receipt"/>
    <x v="25"/>
    <s v="HLN3144-4111-DRK18"/>
    <s v="Configured node BOM for HLN3144"/>
    <n v="3"/>
    <s v="148001"/>
  </r>
  <r>
    <x v="8"/>
    <s v="EXPEDITORS SAN JOSE INV"/>
    <s v="NON_ROHS"/>
    <s v="NWK ACCESS TECH"/>
    <s v="N121"/>
    <s v="PO Receipt"/>
    <x v="26"/>
    <s v="NC214A1HG61-U00KV01"/>
    <s v="CUSTOM NODE 5-65MHZ RVS 85-1GHZ FWD 1X1"/>
    <n v="5"/>
    <s v="148001"/>
  </r>
  <r>
    <x v="8"/>
    <s v="EXPEDITORS SAN JOSE INV"/>
    <s v="NON_ROHS"/>
    <s v="NWK ACCESS TECH"/>
    <s v="N121"/>
    <s v="PO Receipt"/>
    <x v="27"/>
    <s v="NC214A1HG61-U00KV01"/>
    <s v="CUSTOM NODE 5-65MHZ RVS 85-1GHZ FWD 1X1"/>
    <n v="7"/>
    <s v="148001"/>
  </r>
  <r>
    <x v="8"/>
    <s v="EXPEDITORS SAN JOSE INV"/>
    <s v="NON_ROHS"/>
    <s v="NWK ACCESS TECH"/>
    <s v="N121"/>
    <s v="PO Receipt"/>
    <x v="28"/>
    <s v="NC214A1HG61-U00KV01"/>
    <s v="CUSTOM NODE 5-65MHZ RVS 85-1GHZ FWD 1X1"/>
    <n v="8"/>
    <s v="148001"/>
  </r>
  <r>
    <x v="8"/>
    <s v="EXPEDITORS SAN JOSE INV"/>
    <s v="NON_ROHS"/>
    <s v="NWK ACCESS TECH"/>
    <s v="N121"/>
    <s v="PO Receipt"/>
    <x v="29"/>
    <s v="NC214A1HG61-U00KV01"/>
    <s v="CUSTOM NODE 5-65MHZ RVS 85-1GHZ FWD 1X1"/>
    <n v="12"/>
    <s v="148001"/>
  </r>
  <r>
    <x v="9"/>
    <s v="EXPEDITORS SAN JOSE INV"/>
    <s v="NON_ROHS"/>
    <s v="NWK ACCESS TECH"/>
    <s v="CT30"/>
    <s v="PO Receipt"/>
    <x v="30"/>
    <s v="70-10151+"/>
    <s v="CONN SEIZURE FEMALE PC MT RoHS"/>
    <n v="2000"/>
    <s v="148001"/>
  </r>
  <r>
    <x v="9"/>
    <s v="EXPEDITORS SAN JOSE INV"/>
    <s v="NON_ROHS"/>
    <s v="NWK ACCESS TECH"/>
    <s v="HE62"/>
    <s v="PO Receipt"/>
    <x v="30"/>
    <s v="70-10093+"/>
    <s v="CONN SMB FEMALE PLUG PCB MT 75 OHM ROHS"/>
    <n v="2000"/>
    <s v="148001"/>
  </r>
  <r>
    <x v="9"/>
    <s v="EXPEDITORS SAN JOSE INV"/>
    <s v="NON_ROHS"/>
    <s v="NWK ACCESS TECH"/>
    <s v="N022"/>
    <s v="PO Receipt"/>
    <x v="30"/>
    <s v="NC449A1H5N9-00000000"/>
    <s v="NODE FD 5-85/102-1.2GHz 35V 64dB O/P"/>
    <n v="50"/>
    <s v="148001"/>
  </r>
  <r>
    <x v="9"/>
    <s v="EXPEDITORS SAN JOSE INV"/>
    <s v="NON_ROHS"/>
    <s v="NWK ACCESS TECH"/>
    <s v="N222"/>
    <s v="PO Receipt"/>
    <x v="30"/>
    <s v="AR4003G-AS"/>
    <s v="OPTICAL RECEIVER 54-1002MHz FWD PASSBAND"/>
    <n v="200"/>
    <s v="148001"/>
  </r>
  <r>
    <x v="9"/>
    <s v="EXPEDITORS SAN JOSE INV"/>
    <s v="NON_ROHS"/>
    <s v="NWK ACCESS TECH"/>
    <s v="N224"/>
    <s v="PO Receipt"/>
    <x v="30"/>
    <s v="FT4005-C"/>
    <s v="FIBER TRAY UNIVERSAL F/S-CASE MOUNTS"/>
    <n v="400"/>
    <s v="148001"/>
  </r>
  <r>
    <x v="9"/>
    <s v="EXPEDITORS SAN JOSE INV"/>
    <s v="NON_ROHS"/>
    <s v="NWK ACCESS TECH"/>
    <s v="N224"/>
    <s v="PO Receipt"/>
    <x v="30"/>
    <s v="PL-186L"/>
    <s v="POWER BOARD STRIP UNDER PS4001 LEFT"/>
    <n v="300"/>
    <s v="148001"/>
  </r>
  <r>
    <x v="9"/>
    <s v="EXPEDITORS SAN JOSE INV"/>
    <s v="NON_ROHS"/>
    <s v="NWK ACCESS TECH"/>
    <s v="N224"/>
    <s v="PO Receipt"/>
    <x v="30"/>
    <s v="PL-186R"/>
    <s v="POWER BOARD STRIP UNDER PS4001 RIGHT"/>
    <n v="300"/>
    <s v="148001"/>
  </r>
  <r>
    <x v="10"/>
    <s v="EXPEDITORS SAN JOSE INV"/>
    <s v="NON_ROHS"/>
    <s v="NWK ACCESS TECH"/>
    <s v="N156"/>
    <s v="PO Receipt"/>
    <x v="31"/>
    <s v="OP95F1S-25-N0-00"/>
    <s v="FILTER DWDM N-CASE 0.25MM CH 25"/>
    <n v="2"/>
    <s v="148001"/>
  </r>
  <r>
    <x v="10"/>
    <s v="EXPEDITORS SAN JOSE INV"/>
    <s v="NON_ROHS"/>
    <s v="NWK ACCESS TECH"/>
    <s v="N156"/>
    <s v="PO Receipt"/>
    <x v="32"/>
    <s v="OP95F4S-N-00-N1-00"/>
    <s v="FLTR SGL N-CASE ITU GROUP N SI 0.90MM"/>
    <n v="2"/>
    <s v="148001"/>
  </r>
  <r>
    <x v="10"/>
    <s v="EXPEDITORS SAN JOSE INV"/>
    <s v="NON_ROHS"/>
    <s v="NWK ACCESS TECH"/>
    <s v="N156"/>
    <s v="PO Receipt"/>
    <x v="33"/>
    <s v="OP95F1S-39-N0-00"/>
    <s v="FILTER DWDM N-CASE 0.25MM CH 39"/>
    <n v="1"/>
    <s v="148001"/>
  </r>
  <r>
    <x v="10"/>
    <s v="EXPEDITORS SAN JOSE INV"/>
    <s v="NON_ROHS"/>
    <s v="NWK ACCESS TECH"/>
    <s v="N156"/>
    <s v="PO Receipt"/>
    <x v="34"/>
    <s v="OP95F1S-45-N0-00"/>
    <s v="FILTER DWDM N-CASE 0.25MM CH 45"/>
    <n v="5"/>
    <s v="148001"/>
  </r>
  <r>
    <x v="10"/>
    <s v="EXPEDITORS SAN JOSE INV"/>
    <s v="NON_ROHS"/>
    <s v="NWK ACCESS TECH"/>
    <s v="N156"/>
    <s v="PO Receipt"/>
    <x v="35"/>
    <s v="OP95F1S-36-N0-00"/>
    <s v="FILTER DWDM N-CASE 0.25MM CH 36"/>
    <n v="1"/>
    <s v="148001"/>
  </r>
  <r>
    <x v="10"/>
    <s v="EXPEDITORS SAN JOSE INV"/>
    <s v="NON_ROHS"/>
    <s v="NWK ACCESS TECH"/>
    <s v="N156"/>
    <s v="PO Receipt"/>
    <x v="36"/>
    <s v="OP94F1S-1590-N0-00"/>
    <s v="FILTER CWDM N-CASE 0.25MM 1590NM"/>
    <n v="71"/>
    <s v="148001"/>
  </r>
  <r>
    <x v="11"/>
    <s v="EXPEDITORS SAN JOSE INV"/>
    <s v="NON_ROHS"/>
    <s v="NWK ACCESS TECH"/>
    <s v="N066"/>
    <s v="PO Receipt"/>
    <x v="37"/>
    <s v="DT6250N-50-00"/>
    <s v="DGTL XCVR MULTI-MODES OF OPN"/>
    <n v="226"/>
    <s v="148001"/>
  </r>
  <r>
    <x v="11"/>
    <s v="EXPEDITORS SAN JOSE INV"/>
    <s v="NON_ROHS"/>
    <s v="NWK ACCESS TECH"/>
    <s v="N204"/>
    <s v="PO Receipt"/>
    <x v="38"/>
    <s v="PS3148N"/>
    <s v="POWER SUPPLY NO DISPLAY -48VDC 250W 3RU"/>
    <n v="480"/>
    <s v="148001"/>
  </r>
  <r>
    <x v="11"/>
    <s v="EXPEDITORS SAN JOSE INV"/>
    <s v="NON_ROHS"/>
    <s v="NWK ACCESS TECH"/>
    <s v="N204"/>
    <s v="PO Receipt"/>
    <x v="39"/>
    <s v="PS3005N"/>
    <s v="POWER SUPPLY 250W CE TUV W/O DISPLAY"/>
    <n v="192"/>
    <s v="148001"/>
  </r>
  <r>
    <x v="11"/>
    <s v="EXPEDITORS SAN JOSE INV"/>
    <s v="NON_ROHS"/>
    <s v="NWK ACCESS TECH"/>
    <s v="N237"/>
    <s v="PO Receipt"/>
    <x v="40"/>
    <s v="CP851TU-01-00"/>
    <s v="CPE RFOG MDU OBI 16CH 1610NM 5-42 RTN"/>
    <n v="79"/>
    <s v="148001"/>
  </r>
  <r>
    <x v="11"/>
    <s v="EXPEDITORS SAN JOSE INV"/>
    <s v="NON_ROHS"/>
    <s v="NWK ACCESS TECH"/>
    <s v="N275"/>
    <s v="PO Receipt"/>
    <x v="41"/>
    <s v="DR3450N-50-00"/>
    <s v="DIGITAL RECEIVER Q-RX 2.125GBPS 5-50MHZ"/>
    <n v="960"/>
    <s v="148001"/>
  </r>
  <r>
    <x v="11"/>
    <s v="EXPEDITORS SAN JOSE INV"/>
    <s v="SJ2_SALE"/>
    <s v="NWK ACCESS TECH"/>
    <s v="N199"/>
    <s v="PO Receipt"/>
    <x v="42"/>
    <s v="CH3000N"/>
    <s v="CHASSIS NO COVERS 3RU"/>
    <n v="150"/>
    <s v="148001"/>
  </r>
  <r>
    <x v="12"/>
    <s v="EXPEDITORS SAN JOSE INV"/>
    <s v="NON_ROHS"/>
    <s v="NWK ACCESS TECH"/>
    <s v="HE64"/>
    <s v="PO Receipt"/>
    <x v="43"/>
    <s v="HT3541H-D-A490-2-AS"/>
    <s v="XMTR DD 1.2GHZ FULL SPECTRUM 30A CH 49"/>
    <n v="2"/>
    <s v="148001"/>
  </r>
  <r>
    <x v="12"/>
    <s v="EXPEDITORS SAN JOSE INV"/>
    <s v="NON_ROHS"/>
    <s v="NWK ACCESS TECH"/>
    <s v="N035"/>
    <s v="PO Receipt"/>
    <x v="44"/>
    <s v="NC412B1S3H5-U0000000"/>
    <s v="NODE 5-42MHz RVS 51-1GHz FWD GaN 1X2 SEG"/>
    <n v="20"/>
    <s v="148001"/>
  </r>
  <r>
    <x v="12"/>
    <s v="EXPEDITORS SAN JOSE INV"/>
    <s v="NON_ROHS"/>
    <s v="NWK ACCESS TECH"/>
    <s v="N117"/>
    <s v="PO Receipt"/>
    <x v="45"/>
    <s v="HLN3144-4102-GCI15"/>
    <s v="Configured node BOM for HLN3144"/>
    <n v="27"/>
    <s v="148001"/>
  </r>
  <r>
    <x v="12"/>
    <s v="EXPEDITORS SAN JOSE INV"/>
    <s v="NON_ROHS"/>
    <s v="NWK ACCESS TECH"/>
    <s v="N121"/>
    <s v="PO Receipt"/>
    <x v="46"/>
    <s v="NC214A1HG61-U000000"/>
    <s v="NODE 5-65MHZ RVS 85-1GHZ FWD 1X1SEG"/>
    <n v="30"/>
    <s v="148001"/>
  </r>
  <r>
    <x v="12"/>
    <s v="EXPEDITORS SAN JOSE INV"/>
    <s v="NON_ROHS"/>
    <s v="NWK ACCESS TECH"/>
    <s v="N127"/>
    <s v="PO Receipt"/>
    <x v="47"/>
    <s v="FA4524S-01-AS"/>
    <s v="EDFA 24DBM FOR VH4000/NC4000 SC/APC CONN"/>
    <n v="48"/>
    <s v="148001"/>
  </r>
  <r>
    <x v="12"/>
    <s v="EXPEDITORS SAN JOSE INV"/>
    <s v="NON_ROHS"/>
    <s v="NWK ACCESS TECH"/>
    <s v="N133"/>
    <s v="PO Receipt"/>
    <x v="48"/>
    <s v="BP-35M3-C6-1-00-2-AS"/>
    <s v="OPT MUX3 BP 1RF 100GHZ A2 CH 27 30 38"/>
    <n v="10"/>
    <s v="148001"/>
  </r>
  <r>
    <x v="12"/>
    <s v="EXPEDITORS SAN JOSE INV"/>
    <s v="NON_ROHS"/>
    <s v="NWK ACCESS TECH"/>
    <s v="N156"/>
    <s v="PO Receipt"/>
    <x v="49"/>
    <s v="OP94F1S-1530-R2-AS"/>
    <s v="FILTER CWDM S-CASE 2MM SC/APC 1530NM"/>
    <n v="150"/>
    <s v="148001"/>
  </r>
  <r>
    <x v="12"/>
    <s v="EXPEDITORS SAN JOSE INV"/>
    <s v="NON_ROHS"/>
    <s v="NWK ACCESS TECH"/>
    <s v="N156"/>
    <s v="PO Receipt"/>
    <x v="50"/>
    <s v="OP94F1S-1530-R2-AS"/>
    <s v="FILTER CWDM S-CASE 2MM SC/APC 1530NM"/>
    <n v="250"/>
    <s v="148001"/>
  </r>
  <r>
    <x v="12"/>
    <s v="EXPEDITORS SAN JOSE INV"/>
    <s v="NON_ROHS"/>
    <s v="NWK ACCESS TECH"/>
    <s v="N160"/>
    <s v="PO Receipt"/>
    <x v="51"/>
    <s v="OP95D4-CF1-102-R1-00"/>
    <s v="DEMUX DWDM 100GHz 4 CH 02 F-CASE 900um"/>
    <n v="12"/>
    <s v="148001"/>
  </r>
  <r>
    <x v="12"/>
    <s v="EXPEDITORS SAN JOSE INV"/>
    <s v="NON_ROHS"/>
    <s v="NWK ACCESS TECH"/>
    <s v="N160"/>
    <s v="PO Receipt"/>
    <x v="52"/>
    <s v="OP35M4-CF1-1-99-AS"/>
    <s v="OPT MUX4 100GHZ A1 CF1 EXP -20TP 3RU"/>
    <n v="30"/>
    <s v="148001"/>
  </r>
  <r>
    <x v="12"/>
    <s v="EXPEDITORS SAN JOSE INV"/>
    <s v="NON_ROHS"/>
    <s v="NWK ACCESS TECH"/>
    <s v="N160"/>
    <s v="PO Receipt"/>
    <x v="53"/>
    <s v="OP95D4-CF1-102-R1-00"/>
    <s v="DEMUX DWDM 100GHz 4 CH 02 F-CASE 900um"/>
    <n v="14"/>
    <s v="148001"/>
  </r>
  <r>
    <x v="12"/>
    <s v="EXPEDITORS SAN JOSE INV"/>
    <s v="NON_ROHS"/>
    <s v="NWK ACCESS TECH"/>
    <s v="N160"/>
    <s v="PO Receipt"/>
    <x v="54"/>
    <s v="OP35M4-CF2-1-99-3-AS"/>
    <s v="OPT MUX4 100GHZ D CF2 EXP -20TP 3RU"/>
    <n v="5"/>
    <s v="148001"/>
  </r>
  <r>
    <x v="12"/>
    <s v="EXPEDITORS SAN JOSE INV"/>
    <s v="NON_ROHS"/>
    <s v="NWK ACCESS TECH"/>
    <s v="N160"/>
    <s v="PO Receipt"/>
    <x v="55"/>
    <s v="OP35M4-CF2-1-99-3-AS"/>
    <s v="OPT MUX4 100GHZ D CF2 EXP -20TP 3RU"/>
    <n v="5"/>
    <s v="148001"/>
  </r>
  <r>
    <x v="12"/>
    <s v="EXPEDITORS SAN JOSE INV"/>
    <s v="NON_ROHS"/>
    <s v="NWK ACCESS TECH"/>
    <s v="N164"/>
    <s v="PO Receipt"/>
    <x v="53"/>
    <s v="OP93F1S-LLL-R2-AS"/>
    <s v="LCWDM FILTER S-CASE 2MM CH LL"/>
    <n v="10"/>
    <s v="148001"/>
  </r>
  <r>
    <x v="12"/>
    <s v="EXPEDITORS SAN JOSE INV"/>
    <s v="NON_ROHS"/>
    <s v="NWK ACCESS TECH"/>
    <s v="N224"/>
    <s v="PO Receipt"/>
    <x v="56"/>
    <s v="CE8300H-00"/>
    <s v="ENCLOSURE PRIMEX OUTDOOR SINGLE"/>
    <n v="282"/>
    <s v="148001"/>
  </r>
  <r>
    <x v="12"/>
    <s v="EXPEDITORS SAN JOSE INV"/>
    <s v="NON_ROHS"/>
    <s v="NWK ACCESS TECH"/>
    <s v="N224"/>
    <s v="PO Receipt"/>
    <x v="57"/>
    <s v="CE8302H-IND"/>
    <s v="BRACKET MOUNTING SFU RFOG"/>
    <n v="90"/>
    <s v="148001"/>
  </r>
  <r>
    <x v="12"/>
    <s v="EXPEDITORS SAN JOSE INV"/>
    <s v="NON_ROHS"/>
    <s v="NWK ACCESS TECH"/>
    <s v="N224"/>
    <s v="PO Receipt"/>
    <x v="58"/>
    <s v="CE8300H-00"/>
    <s v="ENCLOSURE PRIMEX OUTDOOR SINGLE"/>
    <n v="18"/>
    <s v="148001"/>
  </r>
  <r>
    <x v="12"/>
    <s v="EXPEDITORS SAN JOSE INV"/>
    <s v="NON_ROHS"/>
    <s v="NWK ACCESS TECH"/>
    <s v="N276"/>
    <s v="PO Receipt"/>
    <x v="59"/>
    <s v="NC219A1HGE1-0000000"/>
    <s v="NODE 5-85MHZ RVS 102-1GHZ FWD 1X1 SEG"/>
    <n v="18"/>
    <s v="148001"/>
  </r>
  <r>
    <x v="13"/>
    <s v="EXPEDITORS SAN JOSE INV"/>
    <s v="NON_ROHS"/>
    <s v="NWK ACCESS TECH"/>
    <s v="N007"/>
    <s v="PO Receipt"/>
    <x v="60"/>
    <s v="AT3552D-33-02-AS"/>
    <s v="ANLG XMTR XMOD LC 12dBm ITU-33"/>
    <n v="2"/>
    <s v="148001"/>
  </r>
  <r>
    <x v="13"/>
    <s v="EXPEDITORS SAN JOSE INV"/>
    <s v="NON_ROHS"/>
    <s v="NWK ACCESS TECH"/>
    <s v="N016"/>
    <s v="PO Receipt"/>
    <x v="61"/>
    <s v="PWL4208S-AS"/>
    <s v="HD-PWLINK XMTR 8 DB 1GHZ AS LTE"/>
    <n v="7"/>
    <s v="148001"/>
  </r>
  <r>
    <x v="13"/>
    <s v="EXPEDITORS SAN JOSE INV"/>
    <s v="NON_ROHS"/>
    <s v="NWK ACCESS TECH"/>
    <s v="N027"/>
    <s v="PO Receipt"/>
    <x v="19"/>
    <s v="AR4114G-AS"/>
    <s v="OPT RCVR 70-1002MHZ FWD HI-GAIN ALC"/>
    <n v="7"/>
    <s v="148001"/>
  </r>
  <r>
    <x v="13"/>
    <s v="EXPEDITORS SAN JOSE INV"/>
    <s v="NON_ROHS"/>
    <s v="NWK ACCESS TECH"/>
    <s v="N032"/>
    <s v="PO Receipt"/>
    <x v="62"/>
    <s v="NC4111H3H9-00000000"/>
    <s v="NODE FD 2x2 5-45/54-1GHz UHG AUTO &amp; JXP"/>
    <n v="100"/>
    <s v="148001"/>
  </r>
  <r>
    <x v="13"/>
    <s v="EXPEDITORS SAN JOSE INV"/>
    <s v="NON_ROHS"/>
    <s v="NWK ACCESS TECH"/>
    <s v="N034"/>
    <s v="PO Receipt"/>
    <x v="62"/>
    <s v="NC4121S2A1-00000000"/>
    <s v="BASE NODE 5-42/51-1GHz JXP 1X1 SEG"/>
    <n v="180"/>
    <s v="148001"/>
  </r>
  <r>
    <x v="13"/>
    <s v="EXPEDITORS SAN JOSE INV"/>
    <s v="NON_ROHS"/>
    <s v="NWK ACCESS TECH"/>
    <s v="N034"/>
    <s v="PO Receipt"/>
    <x v="62"/>
    <s v="NC412A1S2A5-U0000000"/>
    <s v="NODE 5-42/51-1GHz JXP 1x2 SEG AR4214 +DT"/>
    <n v="100"/>
    <s v="148001"/>
  </r>
  <r>
    <x v="13"/>
    <s v="EXPEDITORS SAN JOSE INV"/>
    <s v="NON_ROHS"/>
    <s v="NWK ACCESS TECH"/>
    <s v="N035"/>
    <s v="PO Receipt"/>
    <x v="62"/>
    <s v="NC412B1S3H5-U0000000"/>
    <s v="NODE 5-42MHz RVS 51-1GHz FWD GaN 1X2 SEG"/>
    <n v="194"/>
    <s v="148001"/>
  </r>
  <r>
    <x v="13"/>
    <s v="EXPEDITORS SAN JOSE INV"/>
    <s v="NON_ROHS"/>
    <s v="NWK ACCESS TECH"/>
    <s v="N073"/>
    <s v="PO Receipt"/>
    <x v="63"/>
    <s v="RDR4002A-AS-12L"/>
    <s v="RETURN DIGITAL RX SC/APC"/>
    <n v="6"/>
    <s v="148001"/>
  </r>
  <r>
    <x v="13"/>
    <s v="EXPEDITORS SAN JOSE INV"/>
    <s v="NON_ROHS"/>
    <s v="NWK ACCESS TECH"/>
    <s v="N133"/>
    <s v="PO Receipt"/>
    <x v="64"/>
    <s v="BP-35M4-CF1-1-002-AS"/>
    <s v="OPT MUX BP 100GHZ A2 ITU CH 20 21 24 29"/>
    <n v="12"/>
    <s v="148001"/>
  </r>
  <r>
    <x v="13"/>
    <s v="EXPEDITORS SAN JOSE INV"/>
    <s v="NON_ROHS"/>
    <s v="NWK ACCESS TECH"/>
    <s v="N156"/>
    <s v="PO Receipt"/>
    <x v="65"/>
    <s v="OP35F1S-46-0-00-AS"/>
    <s v="DWDM FILTER SINGLE ITU CH 46 SC/APC 3RU"/>
    <n v="1"/>
    <s v="148001"/>
  </r>
  <r>
    <x v="13"/>
    <s v="EXPEDITORS SAN JOSE INV"/>
    <s v="NON_ROHS"/>
    <s v="NWK ACCESS TECH"/>
    <s v="N156"/>
    <s v="PO Receipt"/>
    <x v="66"/>
    <s v="OP94F1S-1530-R2-AS"/>
    <s v="FILTER CWDM S-CASE 2MM SC/APC 1530NM"/>
    <n v="100"/>
    <s v="148001"/>
  </r>
  <r>
    <x v="13"/>
    <s v="EXPEDITORS SAN JOSE INV"/>
    <s v="NON_ROHS"/>
    <s v="NWK ACCESS TECH"/>
    <s v="N156"/>
    <s v="PO Receipt"/>
    <x v="67"/>
    <s v="OP94F1S-1430-N0-00"/>
    <s v="FILTER CWDM N-CASE 0.25MM 1430NM"/>
    <n v="1"/>
    <s v="148001"/>
  </r>
  <r>
    <x v="13"/>
    <s v="EXPEDITORS SAN JOSE INV"/>
    <s v="NON_ROHS"/>
    <s v="NWK ACCESS TECH"/>
    <s v="N156"/>
    <s v="PO Receipt"/>
    <x v="68"/>
    <s v="OP94F1S-1610-R2-AS"/>
    <s v="FILTER CWDM S-CASE 2MM SC/APC 1610NM"/>
    <n v="35"/>
    <s v="148001"/>
  </r>
  <r>
    <x v="13"/>
    <s v="EXPEDITORS SAN JOSE INV"/>
    <s v="NON_ROHS"/>
    <s v="NWK ACCESS TECH"/>
    <s v="N156"/>
    <s v="PO Receipt"/>
    <x v="69"/>
    <s v="OP35F1D-28-0-00-AS"/>
    <s v="DWDM FILTER DUAL ITU CH 28 SC/APC 3RU"/>
    <n v="2"/>
    <s v="148001"/>
  </r>
  <r>
    <x v="13"/>
    <s v="EXPEDITORS SAN JOSE INV"/>
    <s v="NON_ROHS"/>
    <s v="NWK ACCESS TECH"/>
    <s v="N160"/>
    <s v="PO Receipt"/>
    <x v="70"/>
    <s v="OP35M8-CF4-0-00-3-AS"/>
    <s v="OPT MUX8 100GHZ D CF4 3RU"/>
    <n v="2"/>
    <s v="148001"/>
  </r>
  <r>
    <x v="13"/>
    <s v="EXPEDITORS SAN JOSE INV"/>
    <s v="NON_ROHS"/>
    <s v="NWK ACCESS TECH"/>
    <s v="N160"/>
    <s v="PO Receipt"/>
    <x v="71"/>
    <s v="OP95D4-CF1-102-R2-AS"/>
    <s v="DEMUX DWDM 100GHz 4 CH F-CASE 2mm SC/APC"/>
    <n v="3"/>
    <s v="148001"/>
  </r>
  <r>
    <x v="13"/>
    <s v="EXPEDITORS SAN JOSE INV"/>
    <s v="NON_ROHS"/>
    <s v="NWK ACCESS TECH"/>
    <s v="N160"/>
    <s v="PO Receipt"/>
    <x v="71"/>
    <s v="OP95D4-CF3-100-R2-AS"/>
    <s v="DEMUX DWDM 100GHz 4 CH F-CASE 2mm SC/APC"/>
    <n v="1"/>
    <s v="148001"/>
  </r>
  <r>
    <x v="13"/>
    <s v="EXPEDITORS SAN JOSE INV"/>
    <s v="NON_ROHS"/>
    <s v="NWK ACCESS TECH"/>
    <s v="N160"/>
    <s v="PO Receipt"/>
    <x v="71"/>
    <s v="OP95D4-CF4-100-R2-AS"/>
    <s v="DEMUX DWDM 100GHz 4 CH F-CASE 2mm SC/APC"/>
    <n v="8"/>
    <s v="148001"/>
  </r>
  <r>
    <x v="13"/>
    <s v="EXPEDITORS SAN JOSE INV"/>
    <s v="NON_ROHS"/>
    <s v="NWK ACCESS TECH"/>
    <s v="N165"/>
    <s v="PO Receipt"/>
    <x v="72"/>
    <s v="OP95D8U-1-00-R2-00"/>
    <s v="DEMUX DWDM 100GHZ CH 52-59 F-CASE 2MM"/>
    <n v="2"/>
    <s v="148001"/>
  </r>
  <r>
    <x v="13"/>
    <s v="EXPEDITORS SAN JOSE INV"/>
    <s v="NON_ROHS"/>
    <s v="NWK ACCESS TECH"/>
    <s v="N165"/>
    <s v="PO Receipt"/>
    <x v="73"/>
    <s v="OP34D5H-1-00-AS"/>
    <s v="DEMUX CWDM HIGH 5CH 1310 FLTR SC/APC"/>
    <n v="1"/>
    <s v="148001"/>
  </r>
  <r>
    <x v="13"/>
    <s v="EXPEDITORS SAN JOSE INV"/>
    <s v="NON_ROHS"/>
    <s v="NWK ACCESS TECH"/>
    <s v="N165"/>
    <s v="PO Receipt"/>
    <x v="69"/>
    <s v="OP34D5H-1-99-AS"/>
    <s v="DEMUX CWDM HIGH 5CH 1310 -20TP SC/APC"/>
    <n v="3"/>
    <s v="148001"/>
  </r>
  <r>
    <x v="13"/>
    <s v="EXPEDITORS SAN JOSE INV"/>
    <s v="NON_ROHS"/>
    <s v="NWK ACCESS TECH"/>
    <s v="N224"/>
    <s v="PO Receipt"/>
    <x v="19"/>
    <s v="OA4244SG-42"/>
    <s v="RF MODULE SCALABLE 5-42MHz RTN BP VERT"/>
    <n v="20"/>
    <s v="148001"/>
  </r>
  <r>
    <x v="13"/>
    <s v="EXPEDITORS SAN JOSE INV"/>
    <s v="NON_ROHS"/>
    <s v="NWK ACCESS TECH"/>
    <s v="N224"/>
    <s v="PO Receipt"/>
    <x v="74"/>
    <s v="CPS4801-AC-01F"/>
    <s v="MOD POWER SUPPLY CPS4801-AC"/>
    <n v="1000"/>
    <s v="148001"/>
  </r>
  <r>
    <x v="13"/>
    <s v="EXPEDITORS SAN JOSE INV"/>
    <s v="NON_ROHS"/>
    <s v="NWK ACCESS TECH"/>
    <s v="N310"/>
    <s v="PO Receipt"/>
    <x v="60"/>
    <s v="AT3553A-33-00-AS"/>
    <s v="ANLG XMTR XMOD 65km GP A ITU-33"/>
    <n v="1"/>
    <s v="148001"/>
  </r>
  <r>
    <x v="14"/>
    <s v="EXPEDITORS SAN JOSE INV"/>
    <s v="NON_ROHS"/>
    <s v="NWK ACCESS TECH"/>
    <s v="HE64"/>
    <s v="PO Receipt"/>
    <x v="62"/>
    <s v="AR4414G-AS"/>
    <s v="OPT RX 85-1002MHZ FWD HIGH-GAIN ALC"/>
    <n v="300"/>
    <s v="148001"/>
  </r>
  <r>
    <x v="14"/>
    <s v="EXPEDITORS SAN JOSE INV"/>
    <s v="NON_ROHS"/>
    <s v="NWK ACCESS TECH"/>
    <s v="HE64"/>
    <s v="PO Receipt"/>
    <x v="75"/>
    <s v="HT3541H-D-A350-2-AS"/>
    <s v="XMTR DD 1.2GHZ FULL SPECTRUM 30A CH 35"/>
    <n v="4"/>
    <s v="148001"/>
  </r>
  <r>
    <x v="14"/>
    <s v="EXPEDITORS SAN JOSE INV"/>
    <s v="NON_ROHS"/>
    <s v="NWK ACCESS TECH"/>
    <s v="HE64"/>
    <s v="PO Receipt"/>
    <x v="75"/>
    <s v="HT3541H-D-A470-2-AS"/>
    <s v="XMTR DD 1.2GHZ FULL SPECTRUM 30A CH 47"/>
    <n v="12"/>
    <s v="148001"/>
  </r>
  <r>
    <x v="14"/>
    <s v="EXPEDITORS SAN JOSE INV"/>
    <s v="NON_ROHS"/>
    <s v="NWK ACCESS TECH"/>
    <s v="HE64"/>
    <s v="PO Receipt"/>
    <x v="76"/>
    <s v="HT3541H-D-A290-2-AS"/>
    <s v="XMTR DD 1.2GHZ FULL SPECTRUM 30A CH 29"/>
    <n v="25"/>
    <s v="148001"/>
  </r>
  <r>
    <x v="14"/>
    <s v="EXPEDITORS SAN JOSE INV"/>
    <s v="NON_ROHS"/>
    <s v="NWK ACCESS TECH"/>
    <s v="HE64"/>
    <s v="PO Receipt"/>
    <x v="76"/>
    <s v="HT3541H-D-A330-2-AS"/>
    <s v="XMTR DD 1.2GHZ FULL SPECTRUM 30A CH 33"/>
    <n v="31"/>
    <s v="148001"/>
  </r>
  <r>
    <x v="14"/>
    <s v="EXPEDITORS SAN JOSE INV"/>
    <s v="NON_ROHS"/>
    <s v="NWK ACCESS TECH"/>
    <s v="HE64"/>
    <s v="PO Receipt"/>
    <x v="76"/>
    <s v="HT3541H-D-A440-2-AS"/>
    <s v="XMTR DD 1.2GHZ FULL SPECTRUM 30A CH 44"/>
    <n v="30"/>
    <s v="148001"/>
  </r>
  <r>
    <x v="14"/>
    <s v="EXPEDITORS SAN JOSE INV"/>
    <s v="NON_ROHS"/>
    <s v="NWK ACCESS TECH"/>
    <s v="HE64"/>
    <s v="PO Receipt"/>
    <x v="76"/>
    <s v="HT3541H-D-A580-2-AS"/>
    <s v="XMTR DD 1.2GHZ FULL SPECTRUM 30A CH 58"/>
    <n v="6"/>
    <s v="148001"/>
  </r>
  <r>
    <x v="14"/>
    <s v="EXPEDITORS SAN JOSE INV"/>
    <s v="NON_ROHS"/>
    <s v="NWK ACCESS TECH"/>
    <s v="HE64"/>
    <s v="PO Receipt"/>
    <x v="76"/>
    <s v="HT3542H-D-A200-2-AS"/>
    <s v="XMTR DD 1.2GHZ FULL SPECTRUM 79A CH 20"/>
    <n v="5"/>
    <s v="148001"/>
  </r>
  <r>
    <x v="14"/>
    <s v="EXPEDITORS SAN JOSE INV"/>
    <s v="NON_ROHS"/>
    <s v="NWK ACCESS TECH"/>
    <s v="HE64"/>
    <s v="PO Receipt"/>
    <x v="76"/>
    <s v="HT3542H-D-A350-2-AS"/>
    <s v="XMTR DD 1.2GHZ FULL SPECTRUM 79A CH 35"/>
    <n v="9"/>
    <s v="148001"/>
  </r>
  <r>
    <x v="14"/>
    <s v="EXPEDITORS SAN JOSE INV"/>
    <s v="NON_ROHS"/>
    <s v="NWK ACCESS TECH"/>
    <s v="N016"/>
    <s v="PO Receipt"/>
    <x v="77"/>
    <s v="PWL4210S-AS"/>
    <s v="HD-PWLINK XMTR 10 DB 1GHZ AS LTE"/>
    <n v="1"/>
    <s v="148001"/>
  </r>
  <r>
    <x v="14"/>
    <s v="EXPEDITORS SAN JOSE INV"/>
    <s v="NON_ROHS"/>
    <s v="NWK ACCESS TECH"/>
    <s v="N016"/>
    <s v="PO Receipt"/>
    <x v="78"/>
    <s v="PWL4204S-AS"/>
    <s v="HD-PWLINK XMTR 4 DB 1GHZ AS LTE"/>
    <n v="71"/>
    <s v="148001"/>
  </r>
  <r>
    <x v="14"/>
    <s v="EXPEDITORS SAN JOSE INV"/>
    <s v="NON_ROHS"/>
    <s v="NWK ACCESS TECH"/>
    <s v="N016"/>
    <s v="PO Receipt"/>
    <x v="78"/>
    <s v="PWL4206S-AS"/>
    <s v="HD-PWLINK XMTR 6 DB 1GHZ AS LTE"/>
    <n v="26"/>
    <s v="148001"/>
  </r>
  <r>
    <x v="14"/>
    <s v="EXPEDITORS SAN JOSE INV"/>
    <s v="NON_ROHS"/>
    <s v="NWK ACCESS TECH"/>
    <s v="N016"/>
    <s v="PO Receipt"/>
    <x v="79"/>
    <s v="PWL4208S-AS"/>
    <s v="HD-PWLINK XMTR 8 DB 1GHZ AS LTE"/>
    <n v="2"/>
    <s v="148001"/>
  </r>
  <r>
    <x v="14"/>
    <s v="EXPEDITORS SAN JOSE INV"/>
    <s v="NON_ROHS"/>
    <s v="NWK ACCESS TECH"/>
    <s v="N050"/>
    <s v="PO Receipt"/>
    <x v="62"/>
    <s v="NCM3800-1L"/>
    <s v="FW JUMPER NCM3800 NODE"/>
    <n v="500"/>
    <s v="148001"/>
  </r>
  <r>
    <x v="14"/>
    <s v="EXPEDITORS SAN JOSE INV"/>
    <s v="NON_ROHS"/>
    <s v="NWK ACCESS TECH"/>
    <s v="N054"/>
    <s v="PO Receipt"/>
    <x v="62"/>
    <s v="NRP3203-4L"/>
    <s v="AMP/SWITCH LPF NRP3203 NODE"/>
    <n v="1000"/>
    <s v="148001"/>
  </r>
  <r>
    <x v="14"/>
    <s v="EXPEDITORS SAN JOSE INV"/>
    <s v="NON_ROHS"/>
    <s v="NWK ACCESS TECH"/>
    <s v="N141"/>
    <s v="PO Receipt"/>
    <x v="80"/>
    <s v="HMC4801"/>
    <s v="MODULE CARRIER TURNKEY HMC4801 LTE"/>
    <n v="32"/>
    <s v="148001"/>
  </r>
  <r>
    <x v="14"/>
    <s v="EXPEDITORS SAN JOSE INV"/>
    <s v="NON_ROHS"/>
    <s v="NWK ACCESS TECH"/>
    <s v="N141"/>
    <s v="PO Receipt"/>
    <x v="81"/>
    <s v="HMC4801"/>
    <s v="MODULE CARRIER TURNKEY HMC4801 LTE"/>
    <n v="168"/>
    <s v="148001"/>
  </r>
  <r>
    <x v="14"/>
    <s v="EXPEDITORS SAN JOSE INV"/>
    <s v="NON_ROHS"/>
    <s v="NWK ACCESS TECH"/>
    <s v="N149"/>
    <s v="PO Receipt"/>
    <x v="82"/>
    <s v="NP95D16S04Z01-1GA-00"/>
    <s v="DEMUX DWDM 100GHZ 16CH 01 G-CASE 1.6MM"/>
    <n v="2"/>
    <s v="148001"/>
  </r>
  <r>
    <x v="14"/>
    <s v="EXPEDITORS SAN JOSE INV"/>
    <s v="NON_ROHS"/>
    <s v="NWK ACCESS TECH"/>
    <s v="N156"/>
    <s v="PO Receipt"/>
    <x v="83"/>
    <s v="OP35F1D-25-0-00-AS"/>
    <s v="DWDM FILTER DUAL ITU CH 25 SC/APC 3RU"/>
    <n v="4"/>
    <s v="148001"/>
  </r>
  <r>
    <x v="14"/>
    <s v="EXPEDITORS SAN JOSE INV"/>
    <s v="NON_ROHS"/>
    <s v="NWK ACCESS TECH"/>
    <s v="N156"/>
    <s v="PO Receipt"/>
    <x v="84"/>
    <s v="OP35F1D-34-0-00-AS"/>
    <s v="DWDM FILTER DUAL ITU CH 34 SC/APC 3RU"/>
    <n v="3"/>
    <s v="148001"/>
  </r>
  <r>
    <x v="14"/>
    <s v="EXPEDITORS SAN JOSE INV"/>
    <s v="NON_ROHS"/>
    <s v="NWK ACCESS TECH"/>
    <s v="N156"/>
    <s v="PO Receipt"/>
    <x v="82"/>
    <s v="OP3401D-0-00-AS"/>
    <s v="FLTR CWDM -1310 SINGLE SC/APC 3RU"/>
    <n v="20"/>
    <s v="148001"/>
  </r>
  <r>
    <x v="14"/>
    <s v="EXPEDITORS SAN JOSE INV"/>
    <s v="NON_ROHS"/>
    <s v="NWK ACCESS TECH"/>
    <s v="N160"/>
    <s v="PO Receipt"/>
    <x v="85"/>
    <s v="OP95D4-CF1-102-R2-AS"/>
    <s v="DEMUX DWDM 100GHz 4 CH F-CASE 2mm SC/APC"/>
    <n v="7"/>
    <s v="148001"/>
  </r>
  <r>
    <x v="14"/>
    <s v="EXPEDITORS SAN JOSE INV"/>
    <s v="NON_ROHS"/>
    <s v="NWK ACCESS TECH"/>
    <s v="N165"/>
    <s v="PO Receipt"/>
    <x v="86"/>
    <s v="OP94D8C-2-00-R1-00"/>
    <s v="FLD DEMUX CWDM 8CH SKIP C-BAND 1310 DWDM OUT F-CASE"/>
    <n v="30"/>
    <s v="148001"/>
  </r>
  <r>
    <x v="14"/>
    <s v="EXPEDITORS SAN JOSE INV"/>
    <s v="NON_ROHS"/>
    <s v="NWK ACCESS TECH"/>
    <s v="N165"/>
    <s v="PO Receipt"/>
    <x v="87"/>
    <s v="OP94D8C-2-00-R1-00"/>
    <s v="FLD DEMUX CWDM 8CH SKIP C-BAND 1310 DWDM OUT F-CASE"/>
    <n v="30"/>
    <s v="148001"/>
  </r>
  <r>
    <x v="14"/>
    <s v="EXPEDITORS SAN JOSE INV"/>
    <s v="NON_ROHS"/>
    <s v="NWK ACCESS TECH"/>
    <s v="N169"/>
    <s v="PO Receipt"/>
    <x v="88"/>
    <s v="OR3144H-85-01-01-AL"/>
    <s v="DIPLXR/RTN RCVR 1550/1590 RFOG HEND 85MHZ"/>
    <n v="30"/>
    <s v="148001"/>
  </r>
  <r>
    <x v="14"/>
    <s v="EXPEDITORS SAN JOSE INV"/>
    <s v="NON_ROHS"/>
    <s v="NWK ACCESS TECH"/>
    <s v="N224"/>
    <s v="PO Receipt"/>
    <x v="62"/>
    <s v="NLE3116-2L"/>
    <s v="EQUALIZER NODE NLE3116 1GHZ"/>
    <n v="450"/>
    <s v="148001"/>
  </r>
  <r>
    <x v="14"/>
    <s v="EXPEDITORS SAN JOSE INV"/>
    <s v="NON_ROHS"/>
    <s v="NWK ACCESS TECH"/>
    <s v="N224"/>
    <s v="PO Receipt"/>
    <x v="62"/>
    <s v="OA4324HG-45"/>
    <s v="RF MODULE GaN FD 2x2 5-45MHz RTN HORIZ TP"/>
    <n v="28"/>
    <s v="148001"/>
  </r>
  <r>
    <x v="14"/>
    <s v="EXPEDITORS SAN JOSE INV"/>
    <s v="NON_ROHS"/>
    <s v="NWK ACCESS TECH"/>
    <s v="N224"/>
    <s v="PO Receipt"/>
    <x v="62"/>
    <s v="OA4344SG-42"/>
    <s v="RF MODULE SCALABLE 42/51 1GHz GAN ATO"/>
    <n v="30"/>
    <s v="148001"/>
  </r>
  <r>
    <x v="14"/>
    <s v="EXPEDITORS SAN JOSE INV"/>
    <s v="NON_ROHS"/>
    <s v="NWK ACCESS TECH"/>
    <s v="N224"/>
    <s v="PO Receipt"/>
    <x v="62"/>
    <s v="RS4002-00"/>
    <s v="COMBINER DUAL RETURN PATH PLUG-IN"/>
    <n v="1000"/>
    <s v="148001"/>
  </r>
  <r>
    <x v="14"/>
    <s v="EXPEDITORS SAN JOSE INV"/>
    <s v="NON_ROHS"/>
    <s v="NWK ACCESS TECH"/>
    <s v="N224"/>
    <s v="PO Receipt"/>
    <x v="62"/>
    <s v="WH4122"/>
    <s v="WIRING HARNESS 2 X 2 COAX"/>
    <n v="100"/>
    <s v="148001"/>
  </r>
  <r>
    <x v="15"/>
    <s v="EXPEDITORS SAN JOSE INV"/>
    <s v="NON_ROHS"/>
    <s v="NWK ACCESS TECH"/>
    <s v="CT30"/>
    <s v="PO Receipt"/>
    <x v="89"/>
    <s v="NCM3201-1L"/>
    <s v="RET COMBINER NCM3201 NODE"/>
    <n v="500"/>
    <s v="148001"/>
  </r>
  <r>
    <x v="15"/>
    <s v="EXPEDITORS SAN JOSE INV"/>
    <s v="NON_ROHS"/>
    <s v="NWK ACCESS TECH"/>
    <s v="HE62"/>
    <s v="PO Receipt"/>
    <x v="89"/>
    <s v="70-10093+"/>
    <s v="CONN SMB FEMALE PLUG PCB MT 75 OHM ROHS"/>
    <n v="4500"/>
    <s v="148001"/>
  </r>
  <r>
    <x v="15"/>
    <s v="EXPEDITORS SAN JOSE INV"/>
    <s v="NON_ROHS"/>
    <s v="NWK ACCESS TECH"/>
    <s v="HE64"/>
    <s v="PO Receipt"/>
    <x v="90"/>
    <s v="HT3541H-D-A340-2-AS"/>
    <s v="XMTR DD 1.2GHZ FULL SPECTRUM 30A CH 34"/>
    <n v="3"/>
    <s v="148001"/>
  </r>
  <r>
    <x v="15"/>
    <s v="EXPEDITORS SAN JOSE INV"/>
    <s v="NON_ROHS"/>
    <s v="NWK ACCESS TECH"/>
    <s v="N022"/>
    <s v="PO Receipt"/>
    <x v="89"/>
    <s v="NC449A1H5N9-00000000"/>
    <s v="NODE FD 5-85/102-1.2GHz 35V 64dB O/P"/>
    <n v="50"/>
    <s v="148001"/>
  </r>
  <r>
    <x v="15"/>
    <s v="EXPEDITORS SAN JOSE INV"/>
    <s v="NON_ROHS"/>
    <s v="NWK ACCESS TECH"/>
    <s v="N133"/>
    <s v="PO Receipt"/>
    <x v="91"/>
    <s v="BP-35M3-C6-1-00-2-AS"/>
    <s v="OPT MUX3 BP 1RF 100GHZ A2 CH 27 30 38"/>
    <n v="15"/>
    <s v="148001"/>
  </r>
  <r>
    <x v="15"/>
    <s v="EXPEDITORS SAN JOSE INV"/>
    <s v="NON_ROHS"/>
    <s v="NWK ACCESS TECH"/>
    <s v="N135"/>
    <s v="PO Receipt"/>
    <x v="92"/>
    <s v="DP35M20S0UB2S-0LB-UL"/>
    <s v="MUX 100G 2W 20CH ITU40-59 UGP EXP 2XTP"/>
    <n v="3"/>
    <s v="148001"/>
  </r>
  <r>
    <x v="15"/>
    <s v="EXPEDITORS SAN JOSE INV"/>
    <s v="NON_ROHS"/>
    <s v="NWK ACCESS TECH"/>
    <s v="N135"/>
    <s v="PO Receipt"/>
    <x v="92"/>
    <s v="DP35M40S0UZ0S-0LB-UL"/>
    <s v="MUX 100G 40CH ITU20-59"/>
    <n v="7"/>
    <s v="148001"/>
  </r>
  <r>
    <x v="15"/>
    <s v="EXPEDITORS SAN JOSE INV"/>
    <s v="NON_ROHS"/>
    <s v="NWK ACCESS TECH"/>
    <s v="N137"/>
    <s v="PO Receipt"/>
    <x v="93"/>
    <s v="DP95D08S0MB2S-1FB-00"/>
    <s v="DEMUX 100G F-CASE 8CH 28-35 UPG EXP TP"/>
    <n v="23"/>
    <s v="148001"/>
  </r>
  <r>
    <x v="15"/>
    <s v="EXPEDITORS SAN JOSE INV"/>
    <s v="NON_ROHS"/>
    <s v="NWK ACCESS TECH"/>
    <s v="N137"/>
    <s v="PO Receipt"/>
    <x v="94"/>
    <s v="DP95D10S05A0S-1MC-UL"/>
    <s v="DEMUX 100G M-CASE 10CH 50-59 UPG"/>
    <n v="3"/>
    <s v="148001"/>
  </r>
  <r>
    <x v="15"/>
    <s v="EXPEDITORS SAN JOSE INV"/>
    <s v="NON_ROHS"/>
    <s v="NWK ACCESS TECH"/>
    <s v="N137"/>
    <s v="PO Receipt"/>
    <x v="94"/>
    <s v="DP95M10S03A0S-1MC-00"/>
    <s v="MUX 100GHZ M-CASE 10CH 30-39 UPG NO CONN"/>
    <n v="2"/>
    <s v="148001"/>
  </r>
  <r>
    <x v="15"/>
    <s v="EXPEDITORS SAN JOSE INV"/>
    <s v="NON_ROHS"/>
    <s v="NWK ACCESS TECH"/>
    <s v="N137"/>
    <s v="PO Receipt"/>
    <x v="94"/>
    <s v="DP95M10S04A0S-1MC-00"/>
    <s v="MUX 100GHZ M-CASE 10CH 40-49 UPG NO CONN"/>
    <n v="3"/>
    <s v="148001"/>
  </r>
  <r>
    <x v="15"/>
    <s v="EXPEDITORS SAN JOSE INV"/>
    <s v="NON_ROHS"/>
    <s v="NWK ACCESS TECH"/>
    <s v="N151"/>
    <s v="PO Receipt"/>
    <x v="89"/>
    <s v="NRM3111A-AS-2L"/>
    <s v="RX MOD NRM3111A-AS-2 1GHZ NODE"/>
    <n v="300"/>
    <s v="148001"/>
  </r>
  <r>
    <x v="15"/>
    <s v="EXPEDITORS SAN JOSE INV"/>
    <s v="NON_ROHS"/>
    <s v="NWK ACCESS TECH"/>
    <s v="N154"/>
    <s v="PO Receipt"/>
    <x v="89"/>
    <s v="NTM3248L-AS-3L"/>
    <s v="OTX NCDFB NTM3248 NODE 0DB OUT AS"/>
    <n v="1"/>
    <s v="148001"/>
  </r>
  <r>
    <x v="15"/>
    <s v="EXPEDITORS SAN JOSE INV"/>
    <s v="NON_ROHS"/>
    <s v="NWK ACCESS TECH"/>
    <s v="N156"/>
    <s v="PO Receipt"/>
    <x v="95"/>
    <s v="OP95F1S-21-R2-AS"/>
    <s v="FILTER DWDM S-CASE 2MM SC/APC CH 21"/>
    <n v="19"/>
    <s v="148001"/>
  </r>
  <r>
    <x v="15"/>
    <s v="EXPEDITORS SAN JOSE INV"/>
    <s v="NON_ROHS"/>
    <s v="NWK ACCESS TECH"/>
    <s v="N156"/>
    <s v="PO Receipt"/>
    <x v="95"/>
    <s v="OP95F1S-23-R2-AS"/>
    <s v="FILTER DWDM S-CASE 2MM SC/APC CH 23"/>
    <n v="2"/>
    <s v="148001"/>
  </r>
  <r>
    <x v="15"/>
    <s v="EXPEDITORS SAN JOSE INV"/>
    <s v="NON_ROHS"/>
    <s v="NWK ACCESS TECH"/>
    <s v="N156"/>
    <s v="PO Receipt"/>
    <x v="95"/>
    <s v="OP95F1S-25-R2-AS"/>
    <s v="FILTER DWDM S-CASE 2MM SC/APC CH 25"/>
    <n v="1"/>
    <s v="148001"/>
  </r>
  <r>
    <x v="15"/>
    <s v="EXPEDITORS SAN JOSE INV"/>
    <s v="NON_ROHS"/>
    <s v="NWK ACCESS TECH"/>
    <s v="N156"/>
    <s v="PO Receipt"/>
    <x v="95"/>
    <s v="OP95F1S-28-R2-AS"/>
    <s v="FILTER DWDM S-CASE 2MM SC/APC CH 28"/>
    <n v="1"/>
    <s v="148001"/>
  </r>
  <r>
    <x v="15"/>
    <s v="EXPEDITORS SAN JOSE INV"/>
    <s v="NON_ROHS"/>
    <s v="NWK ACCESS TECH"/>
    <s v="N156"/>
    <s v="PO Receipt"/>
    <x v="96"/>
    <s v="OP95F1S-35-R2-AS"/>
    <s v="FILTER DWDM S-CASE 2MM SC/APC CH 35"/>
    <n v="3"/>
    <s v="148001"/>
  </r>
  <r>
    <x v="15"/>
    <s v="EXPEDITORS SAN JOSE INV"/>
    <s v="NON_ROHS"/>
    <s v="NWK ACCESS TECH"/>
    <s v="N156"/>
    <s v="PO Receipt"/>
    <x v="96"/>
    <s v="OP95F1S-42-R2-AS"/>
    <s v="FILTER DWDM S-CASE 2MM SC/APC CH 42"/>
    <n v="4"/>
    <s v="148001"/>
  </r>
  <r>
    <x v="15"/>
    <s v="EXPEDITORS SAN JOSE INV"/>
    <s v="NON_ROHS"/>
    <s v="NWK ACCESS TECH"/>
    <s v="N156"/>
    <s v="PO Receipt"/>
    <x v="96"/>
    <s v="OP95F1S-43-R2-AS"/>
    <s v="FILTER DWDM S-CASE 2MM SC/APC CH 43"/>
    <n v="1"/>
    <s v="148001"/>
  </r>
  <r>
    <x v="15"/>
    <s v="EXPEDITORS SAN JOSE INV"/>
    <s v="NON_ROHS"/>
    <s v="NWK ACCESS TECH"/>
    <s v="N156"/>
    <s v="PO Receipt"/>
    <x v="97"/>
    <s v="OP94F1S-1530-R2-AS"/>
    <s v="FILTER CWDM S-CASE 2MM SC/APC 1530NM"/>
    <n v="75"/>
    <s v="148001"/>
  </r>
  <r>
    <x v="15"/>
    <s v="EXPEDITORS SAN JOSE INV"/>
    <s v="NON_ROHS"/>
    <s v="NWK ACCESS TECH"/>
    <s v="N156"/>
    <s v="PO Receipt"/>
    <x v="98"/>
    <s v="OP91S2Q-EQ-R2-MP"/>
    <s v="SPLITTER QUAD 1X2 F-CASE MPO 4 SC/APC"/>
    <n v="30"/>
    <s v="148001"/>
  </r>
  <r>
    <x v="15"/>
    <s v="EXPEDITORS SAN JOSE INV"/>
    <s v="NON_ROHS"/>
    <s v="NWK ACCESS TECH"/>
    <s v="N156"/>
    <s v="PO Receipt"/>
    <x v="99"/>
    <s v="OP95F1S-50-R2-AS"/>
    <s v="FILTER DWDM S-CASE 2MM SC/APC CH 50"/>
    <n v="1"/>
    <s v="148001"/>
  </r>
  <r>
    <x v="15"/>
    <s v="EXPEDITORS SAN JOSE INV"/>
    <s v="NON_ROHS"/>
    <s v="NWK ACCESS TECH"/>
    <s v="N156"/>
    <s v="PO Receipt"/>
    <x v="99"/>
    <s v="OP95F1S-52-R2-AS"/>
    <s v="FILTER DWDM S-CASE 2MM SC/APC CH 52"/>
    <n v="1"/>
    <s v="148001"/>
  </r>
  <r>
    <x v="15"/>
    <s v="EXPEDITORS SAN JOSE INV"/>
    <s v="NON_ROHS"/>
    <s v="NWK ACCESS TECH"/>
    <s v="N156"/>
    <s v="PO Receipt"/>
    <x v="99"/>
    <s v="OP95F1S-CF-2-2-R2-AS"/>
    <s v="FLTR SGL S-CASE 1562.6-1565.0NM HI 2MM"/>
    <n v="3"/>
    <s v="148001"/>
  </r>
  <r>
    <x v="15"/>
    <s v="EXPEDITORS SAN JOSE INV"/>
    <s v="NON_ROHS"/>
    <s v="NWK ACCESS TECH"/>
    <s v="N156"/>
    <s v="PO Receipt"/>
    <x v="100"/>
    <s v="OP95F1S-CF-1-0-R2-AS"/>
    <s v="FLTR SGL S-CASE 1528.0-1545.6NM SI 2MM"/>
    <n v="10"/>
    <s v="148001"/>
  </r>
  <r>
    <x v="15"/>
    <s v="EXPEDITORS SAN JOSE INV"/>
    <s v="NON_ROHS"/>
    <s v="NWK ACCESS TECH"/>
    <s v="N156"/>
    <s v="PO Receipt"/>
    <x v="101"/>
    <s v="OP91S2S-80-R2-AS"/>
    <s v="FLD COUPLER 1X2 80/20 S-CASE SC/APC 2MM"/>
    <n v="1"/>
    <s v="148001"/>
  </r>
  <r>
    <x v="15"/>
    <s v="EXPEDITORS SAN JOSE INV"/>
    <s v="NON_ROHS"/>
    <s v="NWK ACCESS TECH"/>
    <s v="N158"/>
    <s v="PO Receipt"/>
    <x v="102"/>
    <s v="OP3524K-0-00-AS"/>
    <s v="COMBINER BC/NC PWR MGT 100GHZ CH 24-27"/>
    <n v="1"/>
    <s v="148001"/>
  </r>
  <r>
    <x v="15"/>
    <s v="EXPEDITORS SAN JOSE INV"/>
    <s v="NON_ROHS"/>
    <s v="NWK ACCESS TECH"/>
    <s v="N158"/>
    <s v="PO Receipt"/>
    <x v="102"/>
    <s v="OP3524L-0-00-AS"/>
    <s v="COMBINER BC/NC PWR MGT 100GHZ CH 28-31"/>
    <n v="3"/>
    <s v="148001"/>
  </r>
  <r>
    <x v="15"/>
    <s v="EXPEDITORS SAN JOSE INV"/>
    <s v="NON_ROHS"/>
    <s v="NWK ACCESS TECH"/>
    <s v="N160"/>
    <s v="PO Receipt"/>
    <x v="103"/>
    <s v="OP95D4-CF1-103-R1-00"/>
    <s v="DEMUX DWDM 100GHz 4 CH 03 F-CASE 900um"/>
    <n v="19"/>
    <s v="148001"/>
  </r>
  <r>
    <x v="15"/>
    <s v="EXPEDITORS SAN JOSE INV"/>
    <s v="NON_ROHS"/>
    <s v="NWK ACCESS TECH"/>
    <s v="N160"/>
    <s v="PO Receipt"/>
    <x v="91"/>
    <s v="OP35D8-CF2-0-00-AS"/>
    <s v="OPT DEMUX8 100GHZ A1 CF2 3RU"/>
    <n v="2"/>
    <s v="148001"/>
  </r>
  <r>
    <x v="15"/>
    <s v="EXPEDITORS SAN JOSE INV"/>
    <s v="NON_ROHS"/>
    <s v="NWK ACCESS TECH"/>
    <s v="N165"/>
    <s v="PO Receipt"/>
    <x v="104"/>
    <s v="OP35M16M-0-99-AS"/>
    <s v="OPT MUX 100GHZ ITU CH 20-35 -20TP 3RU"/>
    <n v="2"/>
    <s v="148001"/>
  </r>
  <r>
    <x v="15"/>
    <s v="EXPEDITORS SAN JOSE INV"/>
    <s v="NON_ROHS"/>
    <s v="NWK ACCESS TECH"/>
    <s v="N165"/>
    <s v="PO Receipt"/>
    <x v="104"/>
    <s v="OP35M8M-1-99-AS"/>
    <s v="OPT MUX 100GHZ ITU CH 28-35 EXP PORT -20TP 3RU"/>
    <n v="9"/>
    <s v="148001"/>
  </r>
  <r>
    <x v="15"/>
    <s v="EXPEDITORS SAN JOSE INV"/>
    <s v="NON_ROHS"/>
    <s v="NWK ACCESS TECH"/>
    <s v="N165"/>
    <s v="PO Receipt"/>
    <x v="105"/>
    <s v="OP95M8K-1-00-R1-00"/>
    <s v="MUX DWDM 100GHZ CH 20-27 F-CASE 900UM"/>
    <n v="2"/>
    <s v="148001"/>
  </r>
  <r>
    <x v="15"/>
    <s v="EXPEDITORS SAN JOSE INV"/>
    <s v="NON_ROHS"/>
    <s v="NWK ACCESS TECH"/>
    <s v="N165"/>
    <s v="PO Receipt"/>
    <x v="105"/>
    <s v="OP95M8K-1-00-R2-00"/>
    <s v="MUX DWDM 100GHZ CH 20-27 F-CASE 2MM"/>
    <n v="3"/>
    <s v="148001"/>
  </r>
  <r>
    <x v="15"/>
    <s v="EXPEDITORS SAN JOSE INV"/>
    <s v="NON_ROHS"/>
    <s v="NWK ACCESS TECH"/>
    <s v="N170"/>
    <s v="PO Receipt"/>
    <x v="106"/>
    <s v="OR4168H-42-1-MP"/>
    <s v="DIPLEXR/RTN RX 1550/1610 1310/1490 RFPON"/>
    <n v="1"/>
    <s v="148001"/>
  </r>
  <r>
    <x v="15"/>
    <s v="EXPEDITORS SAN JOSE INV"/>
    <s v="NON_ROHS"/>
    <s v="NWK ACCESS TECH"/>
    <s v="N171"/>
    <s v="PO Receipt"/>
    <x v="107"/>
    <s v="OS32M2S-00-AS"/>
    <s v="OPT SWITCH 2X1 MASTER/SLAVE SC/APC"/>
    <n v="30"/>
    <s v="148001"/>
  </r>
  <r>
    <x v="15"/>
    <s v="EXPEDITORS SAN JOSE INV"/>
    <s v="NON_ROHS"/>
    <s v="NWK ACCESS TECH"/>
    <s v="N224"/>
    <s v="PO Receipt"/>
    <x v="89"/>
    <s v="NJC3818-1L"/>
    <s v="CABLE RF COAX JMPER SMB 18 IN"/>
    <n v="100"/>
    <s v="148001"/>
  </r>
  <r>
    <x v="15"/>
    <s v="EXPEDITORS SAN JOSE INV"/>
    <s v="NON_ROHS"/>
    <s v="NWK ACCESS TECH"/>
    <s v="N224"/>
    <s v="PO Receipt"/>
    <x v="89"/>
    <s v="WH4144"/>
    <s v="WIRING HARNESS 4 X 4 COAX"/>
    <n v="400"/>
    <s v="148001"/>
  </r>
  <r>
    <x v="15"/>
    <s v="EXPEDITORS SAN JOSE INV"/>
    <s v="SJ2_SALE"/>
    <s v="NWK ACCESS TECH"/>
    <s v="N226"/>
    <s v="PO Receipt"/>
    <x v="108"/>
    <s v="CP8015U-02-10"/>
    <s v="CPE RFOG 1550/1610 42MHZ PWR INSR"/>
    <n v="2560"/>
    <s v="148001"/>
  </r>
  <r>
    <x v="16"/>
    <s v="EXPEDITORS SAN JOSE INV"/>
    <s v="NON_ROHS"/>
    <s v="NWK ACCESS TECH"/>
    <s v="HE64"/>
    <s v="PO Receipt"/>
    <x v="109"/>
    <s v="HT3542H-D-A350-2-AS"/>
    <s v="XMTR DD 1.2GHZ FULL SPECTRUM 79A CH 35"/>
    <n v="13"/>
    <s v="148001"/>
  </r>
  <r>
    <x v="16"/>
    <s v="EXPEDITORS SAN JOSE INV"/>
    <s v="NON_ROHS"/>
    <s v="NWK ACCESS TECH"/>
    <s v="N002"/>
    <s v="PO Receipt"/>
    <x v="110"/>
    <s v="AT3306G-E-1-AS"/>
    <s v="ANLG XMTR 1310nm 1GHz SGL INP vE 6dB"/>
    <n v="18"/>
    <s v="148001"/>
  </r>
  <r>
    <x v="16"/>
    <s v="EXPEDITORS SAN JOSE INV"/>
    <s v="NON_ROHS"/>
    <s v="NWK ACCESS TECH"/>
    <s v="N004"/>
    <s v="PO Receipt"/>
    <x v="111"/>
    <s v="AT3535G-29-1-AS"/>
    <s v="TRANSMITTER 1GHZ 80 QAM CHAN 29"/>
    <n v="1"/>
    <s v="148001"/>
  </r>
  <r>
    <x v="16"/>
    <s v="EXPEDITORS SAN JOSE INV"/>
    <s v="NON_ROHS"/>
    <s v="NWK ACCESS TECH"/>
    <s v="N004"/>
    <s v="PO Receipt"/>
    <x v="110"/>
    <s v="AT3535G-20-1-AS"/>
    <s v="TRANSMITTER 1GHZ 80 QAM CHAN 20"/>
    <n v="1"/>
    <s v="148001"/>
  </r>
  <r>
    <x v="16"/>
    <s v="EXPEDITORS SAN JOSE INV"/>
    <s v="NON_ROHS"/>
    <s v="NWK ACCESS TECH"/>
    <s v="N005"/>
    <s v="PO Receipt"/>
    <x v="111"/>
    <s v="AT3545G-20-2-AS"/>
    <s v="TRANSMITTER 1GHZ FULL SPECTRUM 79A CH 20"/>
    <n v="1"/>
    <s v="148001"/>
  </r>
  <r>
    <x v="16"/>
    <s v="EXPEDITORS SAN JOSE INV"/>
    <s v="NON_ROHS"/>
    <s v="NWK ACCESS TECH"/>
    <s v="N005"/>
    <s v="PO Receipt"/>
    <x v="111"/>
    <s v="AT3545G-21-2-AS"/>
    <s v="TRANSMITTER 1GHZ FULL SPECTRUM 79A CH 21"/>
    <n v="1"/>
    <s v="148001"/>
  </r>
  <r>
    <x v="16"/>
    <s v="EXPEDITORS SAN JOSE INV"/>
    <s v="NON_ROHS"/>
    <s v="NWK ACCESS TECH"/>
    <s v="N005"/>
    <s v="PO Receipt"/>
    <x v="111"/>
    <s v="AT3545G-29-2-AS"/>
    <s v="TRANSMITTER 1GHZ FULL SPECTRUM 79A CH 29"/>
    <n v="1"/>
    <s v="148001"/>
  </r>
  <r>
    <x v="16"/>
    <s v="EXPEDITORS SAN JOSE INV"/>
    <s v="NON_ROHS"/>
    <s v="NWK ACCESS TECH"/>
    <s v="N005"/>
    <s v="PO Receipt"/>
    <x v="111"/>
    <s v="AT3545G-42-1-AS"/>
    <s v="TRANSMITTER 1GHZ FULL SPECTRUM 30A CH 42"/>
    <n v="1"/>
    <s v="148001"/>
  </r>
  <r>
    <x v="16"/>
    <s v="EXPEDITORS SAN JOSE INV"/>
    <s v="NON_ROHS"/>
    <s v="NWK ACCESS TECH"/>
    <s v="N005"/>
    <s v="PO Receipt"/>
    <x v="110"/>
    <s v="AT3545G-25-1-AS"/>
    <s v="TRANSMITTER 1GHZ FULL SPECTRUM 30A CH 25"/>
    <n v="1"/>
    <s v="148001"/>
  </r>
  <r>
    <x v="16"/>
    <s v="EXPEDITORS SAN JOSE INV"/>
    <s v="NON_ROHS"/>
    <s v="NWK ACCESS TECH"/>
    <s v="N005"/>
    <s v="PO Receipt"/>
    <x v="110"/>
    <s v="AT3545G-30-1-AS"/>
    <s v="TRANSMITTER 1GHZ FULL SPECTRUM 30A CH 30"/>
    <n v="2"/>
    <s v="148001"/>
  </r>
  <r>
    <x v="16"/>
    <s v="EXPEDITORS SAN JOSE INV"/>
    <s v="NON_ROHS"/>
    <s v="NWK ACCESS TECH"/>
    <s v="N055"/>
    <s v="PO Receipt"/>
    <x v="112"/>
    <s v="VH4000-COM-04"/>
    <s v="VH CUSTOM COMCAST 1X2 1XFA4521"/>
    <n v="10"/>
    <s v="148001"/>
  </r>
  <r>
    <x v="16"/>
    <s v="EXPEDITORS SAN JOSE INV"/>
    <s v="NON_ROHS"/>
    <s v="NWK ACCESS TECH"/>
    <s v="N065"/>
    <s v="PO Receipt"/>
    <x v="113"/>
    <s v="DT4250N-50-00"/>
    <s v="DGTL XCVR ENH MULTI-MODES OF OPN 5-50MHZ"/>
    <n v="1440"/>
    <s v="148001"/>
  </r>
  <r>
    <x v="16"/>
    <s v="EXPEDITORS SAN JOSE INV"/>
    <s v="NON_ROHS"/>
    <s v="NWK ACCESS TECH"/>
    <s v="N121"/>
    <s v="PO Receipt"/>
    <x v="114"/>
    <s v="NC231A1HGE1-0000000"/>
    <s v="NODE 5-45MHz RVS 54-1GHz FWD 1x1 SEG"/>
    <n v="5"/>
    <s v="148001"/>
  </r>
  <r>
    <x v="16"/>
    <s v="EXPEDITORS SAN JOSE INV"/>
    <s v="NON_ROHS"/>
    <s v="NWK ACCESS TECH"/>
    <s v="N126"/>
    <s v="PO Receipt"/>
    <x v="115"/>
    <s v="FA3533M-16-00-AS"/>
    <s v="FBROPT AMPL SINGLE 33DBM 16X21 DBM 3RU"/>
    <n v="7"/>
    <s v="148001"/>
  </r>
  <r>
    <x v="16"/>
    <s v="EXPEDITORS SAN JOSE INV"/>
    <s v="NON_ROHS"/>
    <s v="NWK ACCESS TECH"/>
    <s v="N156"/>
    <s v="PO Receipt"/>
    <x v="116"/>
    <s v="OP94F1S-1430-R3-00"/>
    <s v="FILTER CWDM C-CASE 3MM 1430NM"/>
    <n v="1"/>
    <s v="148001"/>
  </r>
  <r>
    <x v="16"/>
    <s v="EXPEDITORS SAN JOSE INV"/>
    <s v="NON_ROHS"/>
    <s v="NWK ACCESS TECH"/>
    <s v="N180"/>
    <s v="PO Receipt"/>
    <x v="117"/>
    <s v="GE4404M-00-D"/>
    <s v="NODEOLT WITH 4 EPON AND 4 UPLINK PORTS"/>
    <n v="15"/>
    <s v="148001"/>
  </r>
  <r>
    <x v="16"/>
    <s v="EXPEDITORS SAN JOSE INV"/>
    <s v="NON_ROHS"/>
    <s v="NWK ACCESS TECH"/>
    <s v="N180"/>
    <s v="PO Receipt"/>
    <x v="118"/>
    <s v="GE4404M-00-D"/>
    <s v="NODEOLT WITH 4 EPON AND 4 UPLINK PORTS"/>
    <n v="15"/>
    <s v="148001"/>
  </r>
  <r>
    <x v="16"/>
    <s v="EXPEDITORS SAN JOSE INV"/>
    <s v="NON_ROHS"/>
    <s v="NWK ACCESS TECH"/>
    <s v="N180"/>
    <s v="PO Receipt"/>
    <x v="119"/>
    <s v="GE4404M-00-D"/>
    <s v="NODEOLT WITH 4 EPON AND 4 UPLINK PORTS"/>
    <n v="30"/>
    <s v="148001"/>
  </r>
  <r>
    <x v="16"/>
    <s v="EXPEDITORS SAN JOSE INV"/>
    <s v="NON_ROHS"/>
    <s v="NWK ACCESS TECH"/>
    <s v="N180"/>
    <s v="PO Receipt"/>
    <x v="120"/>
    <s v="GE4404M-00-D"/>
    <s v="NODEOLT WITH 4 EPON AND 4 UPLINK PORTS"/>
    <n v="5"/>
    <s v="148001"/>
  </r>
  <r>
    <x v="16"/>
    <s v="EXPEDITORS SAN JOSE INV"/>
    <s v="NON_ROHS"/>
    <s v="NWK ACCESS TECH"/>
    <s v="N199"/>
    <s v="PO Receipt"/>
    <x v="121"/>
    <s v="CH3000U-FM-01"/>
    <s v="SHELF FIBER ROUTING CH3000 1RU"/>
    <n v="120"/>
    <s v="148001"/>
  </r>
  <r>
    <x v="16"/>
    <s v="EXPEDITORS SAN JOSE INV"/>
    <s v="NON_ROHS"/>
    <s v="NWK ACCESS TECH"/>
    <s v="N204"/>
    <s v="PO Receipt"/>
    <x v="122"/>
    <s v="PS3005D"/>
    <s v="POWER SUPPLY 250W CE TUV W/DISPLAY"/>
    <n v="192"/>
    <s v="148001"/>
  </r>
  <r>
    <x v="16"/>
    <s v="EXPEDITORS SAN JOSE INV"/>
    <s v="NON_ROHS"/>
    <s v="NWK ACCESS TECH"/>
    <s v="N204"/>
    <s v="PO Receipt"/>
    <x v="123"/>
    <s v="PS3148D"/>
    <s v="POWER SUPPLY W/DISPLAY -48VDC 250W 3RU"/>
    <n v="240"/>
    <s v="148001"/>
  </r>
  <r>
    <x v="16"/>
    <s v="EXPEDITORS SAN JOSE INV"/>
    <s v="NON_ROHS"/>
    <s v="NWK ACCESS TECH"/>
    <s v="N224"/>
    <s v="PO Receipt"/>
    <x v="124"/>
    <s v="NH4000-RFP2"/>
    <s v="HOUSING VHUB-RFPON DUAL PWR SPLY"/>
    <n v="10"/>
    <s v="148001"/>
  </r>
  <r>
    <x v="16"/>
    <s v="EXPEDITORS SAN JOSE INV"/>
    <s v="NON_ROHS"/>
    <s v="NWK ACCESS TECH"/>
    <s v="N224"/>
    <s v="PO Receipt"/>
    <x v="125"/>
    <s v="CE8300H-00"/>
    <s v="ENCLOSURE PRIMEX OUTDOOR SINGLE"/>
    <n v="180"/>
    <s v="148001"/>
  </r>
  <r>
    <x v="16"/>
    <s v="EXPEDITORS SAN JOSE INV"/>
    <s v="NON_ROHS"/>
    <s v="NWK ACCESS TECH"/>
    <s v="N224"/>
    <s v="PO Receipt"/>
    <x v="126"/>
    <s v="CE8300H-00"/>
    <s v="ENCLOSURE PRIMEX OUTDOOR SINGLE"/>
    <n v="180"/>
    <s v="148001"/>
  </r>
  <r>
    <x v="16"/>
    <s v="EXPEDITORS SAN JOSE INV"/>
    <s v="NON_ROHS"/>
    <s v="NWK ACCESS TECH"/>
    <s v="N275"/>
    <s v="PO Receipt"/>
    <x v="127"/>
    <s v="DR3450N-50-00"/>
    <s v="DIGITAL RECEIVER Q-RX 2.125GBPS 5-50MHZ"/>
    <n v="320"/>
    <s v="148001"/>
  </r>
  <r>
    <x v="16"/>
    <s v="EXPEDITORS SAN JOSE INV"/>
    <s v="NON_ROHS"/>
    <s v="NWK ACCESS TECH"/>
    <s v="N276"/>
    <s v="PO Receipt"/>
    <x v="128"/>
    <s v="NC219A1HGE1-0000000"/>
    <s v="NODE 5-85MHZ RVS 102-1GHZ FWD 1X1 SEG"/>
    <n v="13"/>
    <s v="148001"/>
  </r>
  <r>
    <x v="16"/>
    <s v="EXPEDITORS SAN JOSE INV"/>
    <s v="NON_ROHS"/>
    <s v="NWK ACCESS TECH"/>
    <s v="N276"/>
    <s v="PO Receipt"/>
    <x v="114"/>
    <s v="NC219A1HGE1-0000000"/>
    <s v="NODE 5-85MHZ RVS 102-1GHZ FWD 1X1 SEG"/>
    <n v="14"/>
    <s v="148001"/>
  </r>
  <r>
    <x v="16"/>
    <s v="EXPEDITORS SAN JOSE INV"/>
    <s v="SJ2_SALE"/>
    <s v="NWK ACCESS TECH"/>
    <s v="N016"/>
    <s v="PO Receipt"/>
    <x v="129"/>
    <s v="PWL4208S-AS"/>
    <s v="HD-PWLINK XMTR 8 DB 1GHZ AS LTE"/>
    <n v="13"/>
    <s v="148001"/>
  </r>
  <r>
    <x v="16"/>
    <s v="EXPEDITORS SAN JOSE INV"/>
    <s v="SJ2_SALE"/>
    <s v="NWK ACCESS TECH"/>
    <s v="N016"/>
    <s v="PO Receipt"/>
    <x v="130"/>
    <s v="PWL4208S-AS"/>
    <s v="HD-PWLINK XMTR 8 DB 1GHZ AS LTE"/>
    <n v="7"/>
    <s v="148001"/>
  </r>
  <r>
    <x v="17"/>
    <s v="EXPEDITORS SAN JOSE INV"/>
    <s v="NON_ROHS"/>
    <s v="NWK ACCESS TECH"/>
    <s v="HE64"/>
    <s v="PO Receipt"/>
    <x v="131"/>
    <s v="HT3541H-D-A240-2-AS"/>
    <s v="XMTR DD 1.2GHZ FULL SPECTRUM 30A CH 24"/>
    <n v="27"/>
    <s v="148001"/>
  </r>
  <r>
    <x v="17"/>
    <s v="EXPEDITORS SAN JOSE INV"/>
    <s v="NON_ROHS"/>
    <s v="NWK ACCESS TECH"/>
    <s v="HE64"/>
    <s v="PO Receipt"/>
    <x v="132"/>
    <s v="HT3541H-D-A240-2-AS"/>
    <s v="XMTR DD 1.2GHZ FULL SPECTRUM 30A CH 24"/>
    <n v="18"/>
    <s v="148001"/>
  </r>
  <r>
    <x v="17"/>
    <s v="EXPEDITORS SAN JOSE INV"/>
    <s v="NON_ROHS"/>
    <s v="NWK ACCESS TECH"/>
    <s v="HE64"/>
    <s v="PO Receipt"/>
    <x v="133"/>
    <s v="HT3541H-D-A410-2-AS"/>
    <s v="XMTR DD 1.2GHZ FULL SPECTRUM 30A CH 41"/>
    <n v="9"/>
    <s v="148001"/>
  </r>
  <r>
    <x v="17"/>
    <s v="EXPEDITORS SAN JOSE INV"/>
    <s v="NON_ROHS"/>
    <s v="NWK ACCESS TECH"/>
    <s v="HE64"/>
    <s v="PO Receipt"/>
    <x v="134"/>
    <s v="HT3541H-D-A240-2-AS"/>
    <s v="XMTR DD 1.2GHZ FULL SPECTRUM 30A CH 24"/>
    <n v="12"/>
    <s v="148001"/>
  </r>
  <r>
    <x v="17"/>
    <s v="EXPEDITORS SAN JOSE INV"/>
    <s v="NON_ROHS"/>
    <s v="NWK ACCESS TECH"/>
    <s v="HE64"/>
    <s v="PO Receipt"/>
    <x v="135"/>
    <s v="HT3541H-D-A240-2-AS"/>
    <s v="XMTR DD 1.2GHZ FULL SPECTRUM 30A CH 24"/>
    <n v="42"/>
    <s v="148001"/>
  </r>
  <r>
    <x v="17"/>
    <s v="EXPEDITORS SAN JOSE INV"/>
    <s v="NON_ROHS"/>
    <s v="NWK ACCESS TECH"/>
    <s v="HE64"/>
    <s v="PO Receipt"/>
    <x v="136"/>
    <s v="HT3541H-D-A290-2-AS"/>
    <s v="XMTR DD 1.2GHZ FULL SPECTRUM 30A CH 29"/>
    <n v="1"/>
    <s v="148001"/>
  </r>
  <r>
    <x v="17"/>
    <s v="EXPEDITORS SAN JOSE INV"/>
    <s v="NON_ROHS"/>
    <s v="NWK ACCESS TECH"/>
    <s v="HE64"/>
    <s v="PO Receipt"/>
    <x v="137"/>
    <s v="HT3541H-D-A200-2-AS"/>
    <s v="XMTR DD 1.2GHZ FULL SPECTRUM 30A CH 20"/>
    <n v="1"/>
    <s v="148001"/>
  </r>
  <r>
    <x v="17"/>
    <s v="EXPEDITORS SAN JOSE INV"/>
    <s v="NON_ROHS"/>
    <s v="NWK ACCESS TECH"/>
    <s v="HE64"/>
    <s v="PO Receipt"/>
    <x v="137"/>
    <s v="HT3541H-D-A330-2-AS"/>
    <s v="XMTR DD 1.2GHZ FULL SPECTRUM 30A CH 33"/>
    <n v="9"/>
    <s v="148001"/>
  </r>
  <r>
    <x v="17"/>
    <s v="EXPEDITORS SAN JOSE INV"/>
    <s v="NON_ROHS"/>
    <s v="NWK ACCESS TECH"/>
    <s v="HE64"/>
    <s v="PO Receipt"/>
    <x v="137"/>
    <s v="HT3542H-D-A420-2-AS"/>
    <s v="XMTR DD 1.2GHZ FULL SPECTRUM 79A CH 42"/>
    <n v="5"/>
    <s v="148001"/>
  </r>
  <r>
    <x v="17"/>
    <s v="EXPEDITORS SAN JOSE INV"/>
    <s v="NON_ROHS"/>
    <s v="NWK ACCESS TECH"/>
    <s v="HE64"/>
    <s v="PO Receipt"/>
    <x v="138"/>
    <s v="HT3541H-D-A200-2-AS"/>
    <s v="XMTR DD 1.2GHZ FULL SPECTRUM 30A CH 20"/>
    <n v="37"/>
    <s v="148001"/>
  </r>
  <r>
    <x v="17"/>
    <s v="EXPEDITORS SAN JOSE INV"/>
    <s v="NON_ROHS"/>
    <s v="NWK ACCESS TECH"/>
    <s v="HE64"/>
    <s v="PO Receipt"/>
    <x v="139"/>
    <s v="HT3541H-D-A290-2-AS"/>
    <s v="XMTR DD 1.2GHZ FULL SPECTRUM 30A CH 29"/>
    <n v="13"/>
    <s v="148001"/>
  </r>
  <r>
    <x v="17"/>
    <s v="EXPEDITORS SAN JOSE INV"/>
    <s v="NON_ROHS"/>
    <s v="NWK ACCESS TECH"/>
    <s v="HE64"/>
    <s v="PO Receipt"/>
    <x v="140"/>
    <s v="HT3541H-D-A240-2-AS"/>
    <s v="XMTR DD 1.2GHZ FULL SPECTRUM 30A CH 24"/>
    <n v="5"/>
    <s v="148001"/>
  </r>
  <r>
    <x v="17"/>
    <s v="EXPEDITORS SAN JOSE INV"/>
    <s v="NON_ROHS"/>
    <s v="NWK ACCESS TECH"/>
    <s v="HE64"/>
    <s v="PO Receipt"/>
    <x v="141"/>
    <s v="HT3541H-D-A540-2-AS"/>
    <s v="XMTR DD 1.2GHZ FULL SPECTRUM 30A CH 54"/>
    <n v="1"/>
    <s v="148001"/>
  </r>
  <r>
    <x v="17"/>
    <s v="EXPEDITORS SAN JOSE INV"/>
    <s v="NON_ROHS"/>
    <s v="NWK ACCESS TECH"/>
    <s v="HE64"/>
    <s v="PO Receipt"/>
    <x v="142"/>
    <s v="HT3541H-D-A200-2-AS"/>
    <s v="XMTR DD 1.2GHZ FULL SPECTRUM 30A CH 20"/>
    <n v="5"/>
    <s v="148001"/>
  </r>
  <r>
    <x v="17"/>
    <s v="EXPEDITORS SAN JOSE INV"/>
    <s v="NON_ROHS"/>
    <s v="NWK ACCESS TECH"/>
    <s v="HE64"/>
    <s v="PO Receipt"/>
    <x v="142"/>
    <s v="HT3541H-D-A350-2-AS"/>
    <s v="XMTR DD 1.2GHZ FULL SPECTRUM 30A CH 35"/>
    <n v="9"/>
    <s v="148001"/>
  </r>
  <r>
    <x v="17"/>
    <s v="EXPEDITORS SAN JOSE INV"/>
    <s v="NON_ROHS"/>
    <s v="NWK ACCESS TECH"/>
    <s v="HE64"/>
    <s v="PO Receipt"/>
    <x v="143"/>
    <s v="HT3541H-D-A560-2-AS"/>
    <s v="XMTR DD 1.2GHZ FULL SPECTRUM 30A CH 56"/>
    <n v="2"/>
    <s v="148001"/>
  </r>
  <r>
    <x v="17"/>
    <s v="EXPEDITORS SAN JOSE INV"/>
    <s v="NON_ROHS"/>
    <s v="NWK ACCESS TECH"/>
    <s v="HE64"/>
    <s v="PO Receipt"/>
    <x v="144"/>
    <s v="HT3541H-D-A290-2-AS"/>
    <s v="XMTR DD 1.2GHZ FULL SPECTRUM 30A CH 29"/>
    <n v="17"/>
    <s v="148001"/>
  </r>
  <r>
    <x v="17"/>
    <s v="EXPEDITORS SAN JOSE INV"/>
    <s v="NON_ROHS"/>
    <s v="NWK ACCESS TECH"/>
    <s v="HE64"/>
    <s v="PO Receipt"/>
    <x v="145"/>
    <s v="HT3541H-D-A240-2-AS"/>
    <s v="XMTR DD 1.2GHZ FULL SPECTRUM 30A CH 24"/>
    <n v="8"/>
    <s v="148001"/>
  </r>
  <r>
    <x v="17"/>
    <s v="EXPEDITORS SAN JOSE INV"/>
    <s v="NON_ROHS"/>
    <s v="NWK ACCESS TECH"/>
    <s v="N015"/>
    <s v="PO Receipt"/>
    <x v="146"/>
    <s v="PWL4213C-AS"/>
    <s v="HD-PWLINK XMTR 13 DB 1GHZ AS LTE"/>
    <n v="5"/>
    <s v="148001"/>
  </r>
  <r>
    <x v="17"/>
    <s v="EXPEDITORS SAN JOSE INV"/>
    <s v="NON_ROHS"/>
    <s v="NWK ACCESS TECH"/>
    <s v="N023"/>
    <s v="PO Receipt"/>
    <x v="147"/>
    <s v="AR3001-AS"/>
    <s v="ANALOG RETURN RX DUAL 5-225MHz"/>
    <n v="26"/>
    <s v="148001"/>
  </r>
  <r>
    <x v="17"/>
    <s v="EXPEDITORS SAN JOSE INV"/>
    <s v="NON_ROHS"/>
    <s v="NWK ACCESS TECH"/>
    <s v="N024"/>
    <s v="PO Receipt"/>
    <x v="148"/>
    <s v="AR3002G-1-AS"/>
    <s v="ANALOG FORWARD RX 1GHZ MP INP"/>
    <n v="2"/>
    <s v="148001"/>
  </r>
  <r>
    <x v="17"/>
    <s v="EXPEDITORS SAN JOSE INV"/>
    <s v="NON_ROHS"/>
    <s v="NWK ACCESS TECH"/>
    <s v="N027"/>
    <s v="PO Receipt"/>
    <x v="149"/>
    <s v="AR4214G-AS"/>
    <s v="OPT RCVR 51-1000MHZ FWD HG ALC VER 2"/>
    <n v="600"/>
    <s v="148001"/>
  </r>
  <r>
    <x v="17"/>
    <s v="EXPEDITORS SAN JOSE INV"/>
    <s v="NON_ROHS"/>
    <s v="NWK ACCESS TECH"/>
    <s v="N034"/>
    <s v="PO Receipt"/>
    <x v="6"/>
    <s v="NC4121S2A1-00000000"/>
    <s v="BASE NODE 5-42/51-1GHz JXP 1X1 SEG"/>
    <n v="100"/>
    <s v="148001"/>
  </r>
  <r>
    <x v="17"/>
    <s v="EXPEDITORS SAN JOSE INV"/>
    <s v="NON_ROHS"/>
    <s v="NWK ACCESS TECH"/>
    <s v="N034"/>
    <s v="PO Receipt"/>
    <x v="6"/>
    <s v="NC412A1S251-00000000"/>
    <s v="BASE NODE 5-42/51-870MHz JXP 1X1 SEG"/>
    <n v="100"/>
    <s v="148001"/>
  </r>
  <r>
    <x v="17"/>
    <s v="EXPEDITORS SAN JOSE INV"/>
    <s v="NON_ROHS"/>
    <s v="NWK ACCESS TECH"/>
    <s v="N034"/>
    <s v="PO Receipt"/>
    <x v="150"/>
    <s v="NC4122S255-U0000000"/>
    <s v="NODE 5-42/51-870MHz JXP 2x2SEG DT"/>
    <n v="16"/>
    <s v="148001"/>
  </r>
  <r>
    <x v="17"/>
    <s v="EXPEDITORS SAN JOSE INV"/>
    <s v="NON_ROHS"/>
    <s v="NWK ACCESS TECH"/>
    <s v="N055"/>
    <s v="PO Receipt"/>
    <x v="151"/>
    <s v="VH4000-COM-02"/>
    <s v="VHUB CUSTOM COMCAST 2X4 2XFA4521"/>
    <n v="10"/>
    <s v="148001"/>
  </r>
  <r>
    <x v="17"/>
    <s v="EXPEDITORS SAN JOSE INV"/>
    <s v="NON_ROHS"/>
    <s v="NWK ACCESS TECH"/>
    <s v="N055"/>
    <s v="PO Receipt"/>
    <x v="152"/>
    <s v="VH4000-COM-01"/>
    <s v="VHUB CUSTOM COMCAST 2X4 2XFA4524"/>
    <n v="3"/>
    <s v="148001"/>
  </r>
  <r>
    <x v="17"/>
    <s v="EXPEDITORS SAN JOSE INV"/>
    <s v="NON_ROHS"/>
    <s v="NWK ACCESS TECH"/>
    <s v="N055"/>
    <s v="PO Receipt"/>
    <x v="153"/>
    <s v="VH4000-COM-02"/>
    <s v="VHUB CUSTOM COMCAST 2X4 2XFA4521"/>
    <n v="12"/>
    <s v="148001"/>
  </r>
  <r>
    <x v="17"/>
    <s v="EXPEDITORS SAN JOSE INV"/>
    <s v="NON_ROHS"/>
    <s v="NWK ACCESS TECH"/>
    <s v="N055"/>
    <s v="PO Receipt"/>
    <x v="154"/>
    <s v="VH4000-EP-09-01"/>
    <s v="VHub RFoG 1PSU 4-1RTN OP4138 EDFA UDT"/>
    <n v="5"/>
    <s v="148001"/>
  </r>
  <r>
    <x v="17"/>
    <s v="EXPEDITORS SAN JOSE INV"/>
    <s v="NON_ROHS"/>
    <s v="NWK ACCESS TECH"/>
    <s v="N063"/>
    <s v="PO Receipt"/>
    <x v="155"/>
    <s v="DT3515C-59-1-2-65-AS"/>
    <s v="DGTL XMTR 200km 100GHz 2x5-65MHZ ITU 59"/>
    <n v="1"/>
    <s v="148001"/>
  </r>
  <r>
    <x v="17"/>
    <s v="EXPEDITORS SAN JOSE INV"/>
    <s v="NON_ROHS"/>
    <s v="NWK ACCESS TECH"/>
    <s v="N063"/>
    <s v="PO Receipt"/>
    <x v="156"/>
    <s v="DT3515C-57-1-2-65-AS"/>
    <s v="DGTL XMTR 200KM 100GHZ 2X5-65MHZ ITU 57"/>
    <n v="1"/>
    <s v="148001"/>
  </r>
  <r>
    <x v="17"/>
    <s v="EXPEDITORS SAN JOSE INV"/>
    <s v="NON_ROHS"/>
    <s v="NWK ACCESS TECH"/>
    <s v="N076"/>
    <s v="PO Receipt"/>
    <x v="157"/>
    <s v="BP3400C-00"/>
    <s v="BACKPLATE 4.25 GB/S 1-FER/2-FER DR"/>
    <n v="60"/>
    <s v="148001"/>
  </r>
  <r>
    <x v="17"/>
    <s v="EXPEDITORS SAN JOSE INV"/>
    <s v="NON_ROHS"/>
    <s v="NWK ACCESS TECH"/>
    <s v="N080"/>
    <s v="PO Receipt"/>
    <x v="158"/>
    <s v="CX3002"/>
    <s v="COMMUNICATIONS MODULE"/>
    <n v="131"/>
    <s v="148001"/>
  </r>
  <r>
    <x v="17"/>
    <s v="EXPEDITORS SAN JOSE INV"/>
    <s v="NON_ROHS"/>
    <s v="NWK ACCESS TECH"/>
    <s v="N116"/>
    <s v="PO Receipt"/>
    <x v="159"/>
    <s v="HLN3142E-4111-TLR01"/>
    <s v="Configured node BOM for HLN3142E"/>
    <n v="28"/>
    <s v="148001"/>
  </r>
  <r>
    <x v="17"/>
    <s v="EXPEDITORS SAN JOSE INV"/>
    <s v="NON_ROHS"/>
    <s v="NWK ACCESS TECH"/>
    <s v="N116"/>
    <s v="PO Receipt"/>
    <x v="160"/>
    <s v="HLN3142E-4111-TLR01"/>
    <s v="Configured node BOM for HLN3142E"/>
    <n v="20"/>
    <s v="148001"/>
  </r>
  <r>
    <x v="17"/>
    <s v="EXPEDITORS SAN JOSE INV"/>
    <s v="NON_ROHS"/>
    <s v="NWK ACCESS TECH"/>
    <s v="N117"/>
    <s v="PO Receipt"/>
    <x v="161"/>
    <s v="HLN3144-4102-GCI15"/>
    <s v="Configured node BOM for HLN3144"/>
    <n v="3"/>
    <s v="148001"/>
  </r>
  <r>
    <x v="17"/>
    <s v="EXPEDITORS SAN JOSE INV"/>
    <s v="NON_ROHS"/>
    <s v="NWK ACCESS TECH"/>
    <s v="N125"/>
    <s v="PO Receipt"/>
    <x v="162"/>
    <s v="FA3520S-00-AS"/>
    <s v="FIBEROPTIC AMPLIFIER SINGLE 20DBM 3RU"/>
    <n v="2"/>
    <s v="148001"/>
  </r>
  <r>
    <x v="17"/>
    <s v="EXPEDITORS SAN JOSE INV"/>
    <s v="NON_ROHS"/>
    <s v="NWK ACCESS TECH"/>
    <s v="N125"/>
    <s v="PO Receipt"/>
    <x v="163"/>
    <s v="FA3521H-00-AS"/>
    <s v="FBROPT AMPL SGL 21DBM GAIN FLAT 11DBM IN"/>
    <n v="17"/>
    <s v="148001"/>
  </r>
  <r>
    <x v="17"/>
    <s v="EXPEDITORS SAN JOSE INV"/>
    <s v="NON_ROHS"/>
    <s v="NWK ACCESS TECH"/>
    <s v="N125"/>
    <s v="PO Receipt"/>
    <x v="164"/>
    <s v="FA3514S-00-AS"/>
    <s v="FIBEROPTIC AMPLIFIER SINGLE 14DBM 3RU"/>
    <n v="3"/>
    <s v="148001"/>
  </r>
  <r>
    <x v="17"/>
    <s v="EXPEDITORS SAN JOSE INV"/>
    <s v="NON_ROHS"/>
    <s v="NWK ACCESS TECH"/>
    <s v="N125"/>
    <s v="PO Receipt"/>
    <x v="165"/>
    <s v="FA3514S-00-AS"/>
    <s v="FIBEROPTIC AMPLIFIER SINGLE 14DBM 3RU"/>
    <n v="2"/>
    <s v="148001"/>
  </r>
  <r>
    <x v="17"/>
    <s v="EXPEDITORS SAN JOSE INV"/>
    <s v="NON_ROHS"/>
    <s v="NWK ACCESS TECH"/>
    <s v="N125"/>
    <s v="PO Receipt"/>
    <x v="166"/>
    <s v="FA3521H-00-AS"/>
    <s v="FBROPT AMPL SGL 21DBM GAIN FLAT 11DBM IN"/>
    <n v="15"/>
    <s v="148001"/>
  </r>
  <r>
    <x v="17"/>
    <s v="EXPEDITORS SAN JOSE INV"/>
    <s v="NON_ROHS"/>
    <s v="NWK ACCESS TECH"/>
    <s v="N125"/>
    <s v="PO Receipt"/>
    <x v="167"/>
    <s v="FA3514S-00-AS"/>
    <s v="FIBEROPTIC AMPLIFIER SINGLE 14DBM 3RU"/>
    <n v="1"/>
    <s v="148001"/>
  </r>
  <r>
    <x v="17"/>
    <s v="EXPEDITORS SAN JOSE INV"/>
    <s v="NON_ROHS"/>
    <s v="NWK ACCESS TECH"/>
    <s v="N125"/>
    <s v="PO Receipt"/>
    <x v="168"/>
    <s v="FA3514S-00-AS"/>
    <s v="FIBEROPTIC AMPLIFIER SINGLE 14DBM 3RU"/>
    <n v="8"/>
    <s v="148001"/>
  </r>
  <r>
    <x v="17"/>
    <s v="EXPEDITORS SAN JOSE INV"/>
    <s v="NON_ROHS"/>
    <s v="NWK ACCESS TECH"/>
    <s v="N126"/>
    <s v="PO Receipt"/>
    <x v="169"/>
    <s v="FA3533M-16-00-AS"/>
    <s v="FBROPT AMPL SINGLE 33DBM 16X21 DBM 3RU"/>
    <n v="2"/>
    <s v="148001"/>
  </r>
  <r>
    <x v="17"/>
    <s v="EXPEDITORS SAN JOSE INV"/>
    <s v="NON_ROHS"/>
    <s v="NWK ACCESS TECH"/>
    <s v="N126"/>
    <s v="PO Receipt"/>
    <x v="170"/>
    <s v="FA3533M-16-00-AS"/>
    <s v="FBROPT AMPL SINGLE 33DBM 16X21 DBM 3RU"/>
    <n v="6"/>
    <s v="148001"/>
  </r>
  <r>
    <x v="17"/>
    <s v="EXPEDITORS SAN JOSE INV"/>
    <s v="NON_ROHS"/>
    <s v="NWK ACCESS TECH"/>
    <s v="N126"/>
    <s v="PO Receipt"/>
    <x v="171"/>
    <s v="FA3533M-16-00-AS"/>
    <s v="FBROPT AMPL SINGLE 33DBM 16X21 DBM 3RU"/>
    <n v="5"/>
    <s v="148001"/>
  </r>
  <r>
    <x v="17"/>
    <s v="EXPEDITORS SAN JOSE INV"/>
    <s v="NON_ROHS"/>
    <s v="NWK ACCESS TECH"/>
    <s v="N127"/>
    <s v="PO Receipt"/>
    <x v="172"/>
    <s v="FA4521S-02-AS"/>
    <s v="EDFA 21dBm FOR NC4000/NC2000 ASE MUTE SC/APC"/>
    <n v="25"/>
    <s v="148001"/>
  </r>
  <r>
    <x v="17"/>
    <s v="EXPEDITORS SAN JOSE INV"/>
    <s v="NON_ROHS"/>
    <s v="NWK ACCESS TECH"/>
    <s v="N133"/>
    <s v="PO Receipt"/>
    <x v="173"/>
    <s v="BP-35M4-CF1-1-002-AS"/>
    <s v="OPT MUX BP 100GHZ A2 ITU CH 20 21 24 29"/>
    <n v="6"/>
    <s v="148001"/>
  </r>
  <r>
    <x v="17"/>
    <s v="EXPEDITORS SAN JOSE INV"/>
    <s v="NON_ROHS"/>
    <s v="NWK ACCESS TECH"/>
    <s v="N135"/>
    <s v="PO Receipt"/>
    <x v="174"/>
    <s v="DP35M20S0UB2S-0LB-AL"/>
    <s v="MUX 100G 2W 20CH 40-59 UPG EXP TP SINGLE"/>
    <n v="10"/>
    <s v="148001"/>
  </r>
  <r>
    <x v="17"/>
    <s v="EXPEDITORS SAN JOSE INV"/>
    <s v="NON_ROHS"/>
    <s v="NWK ACCESS TECH"/>
    <s v="N156"/>
    <s v="PO Receipt"/>
    <x v="175"/>
    <s v="OP35F1D-25-0-00-AS"/>
    <s v="DWDM FILTER DUAL ITU CH 25 SC/APC 3RU"/>
    <n v="1"/>
    <s v="148001"/>
  </r>
  <r>
    <x v="17"/>
    <s v="EXPEDITORS SAN JOSE INV"/>
    <s v="NON_ROHS"/>
    <s v="NWK ACCESS TECH"/>
    <s v="N156"/>
    <s v="PO Receipt"/>
    <x v="176"/>
    <s v="OP94F1S-1530-R2-AS"/>
    <s v="FILTER CWDM S-CASE 2MM SC/APC 1530NM"/>
    <n v="200"/>
    <s v="148001"/>
  </r>
  <r>
    <x v="17"/>
    <s v="EXPEDITORS SAN JOSE INV"/>
    <s v="NON_ROHS"/>
    <s v="NWK ACCESS TECH"/>
    <s v="N156"/>
    <s v="PO Receipt"/>
    <x v="177"/>
    <s v="OP94F1S-1530-R2-AS"/>
    <s v="FILTER CWDM S-CASE 2MM SC/APC 1530NM"/>
    <n v="600"/>
    <s v="148001"/>
  </r>
  <r>
    <x v="17"/>
    <s v="EXPEDITORS SAN JOSE INV"/>
    <s v="NON_ROHS"/>
    <s v="NWK ACCESS TECH"/>
    <s v="N156"/>
    <s v="PO Receipt"/>
    <x v="178"/>
    <s v="OP91S16S-EQ-R2-AS"/>
    <s v="FLD COUPLER 1X16 F-CASE BAL SC/APC 2MM"/>
    <n v="1"/>
    <s v="148001"/>
  </r>
  <r>
    <x v="17"/>
    <s v="EXPEDITORS SAN JOSE INV"/>
    <s v="NON_ROHS"/>
    <s v="NWK ACCESS TECH"/>
    <s v="N156"/>
    <s v="PO Receipt"/>
    <x v="179"/>
    <s v="OP3401D-0-00-AS"/>
    <s v="FLTR CWDM -1310 SINGLE SC/APC 3RU"/>
    <n v="1"/>
    <s v="148001"/>
  </r>
  <r>
    <x v="17"/>
    <s v="EXPEDITORS SAN JOSE INV"/>
    <s v="NON_ROHS"/>
    <s v="NWK ACCESS TECH"/>
    <s v="N156"/>
    <s v="PO Receipt"/>
    <x v="180"/>
    <s v="OP91S16S-EQ-R2-AS"/>
    <s v="FLD COUPLER 1X16 F-CASE BAL SC/APC 2MM"/>
    <n v="2"/>
    <s v="148001"/>
  </r>
  <r>
    <x v="17"/>
    <s v="EXPEDITORS SAN JOSE INV"/>
    <s v="NON_ROHS"/>
    <s v="NWK ACCESS TECH"/>
    <s v="N156"/>
    <s v="PO Receipt"/>
    <x v="181"/>
    <s v="OP35F1D-34-0-00-AS"/>
    <s v="DWDM FILTER DUAL ITU CH 34 SC/APC 3RU"/>
    <n v="3"/>
    <s v="148001"/>
  </r>
  <r>
    <x v="17"/>
    <s v="EXPEDITORS SAN JOSE INV"/>
    <s v="NON_ROHS"/>
    <s v="NWK ACCESS TECH"/>
    <s v="N156"/>
    <s v="PO Receipt"/>
    <x v="182"/>
    <s v="OP35F1S-46-0-00-AS"/>
    <s v="DWDM FILTER SINGLE ITU CH 46 SC/APC 3RU"/>
    <n v="1"/>
    <s v="148001"/>
  </r>
  <r>
    <x v="17"/>
    <s v="EXPEDITORS SAN JOSE INV"/>
    <s v="NON_ROHS"/>
    <s v="NWK ACCESS TECH"/>
    <s v="N156"/>
    <s v="PO Receipt"/>
    <x v="183"/>
    <s v="OP35F1D-25-0-00-AS"/>
    <s v="DWDM FILTER DUAL ITU CH 25 SC/APC 3RU"/>
    <n v="2"/>
    <s v="148001"/>
  </r>
  <r>
    <x v="17"/>
    <s v="EXPEDITORS SAN JOSE INV"/>
    <s v="NON_ROHS"/>
    <s v="NWK ACCESS TECH"/>
    <s v="N156"/>
    <s v="PO Receipt"/>
    <x v="184"/>
    <s v="OP35F1D-29-0-00-AS"/>
    <s v="DWDM FILTER DUAL ITU CH 29 SC/APC 3RU"/>
    <n v="1"/>
    <s v="148001"/>
  </r>
  <r>
    <x v="17"/>
    <s v="EXPEDITORS SAN JOSE INV"/>
    <s v="NON_ROHS"/>
    <s v="NWK ACCESS TECH"/>
    <s v="N160"/>
    <s v="PO Receipt"/>
    <x v="185"/>
    <s v="OP95D4-CF2-103-R2-AS"/>
    <s v="DEMUX DWDM 100GHz 4 CH 03 F-CASE 2mm"/>
    <n v="17"/>
    <s v="148001"/>
  </r>
  <r>
    <x v="17"/>
    <s v="EXPEDITORS SAN JOSE INV"/>
    <s v="NON_ROHS"/>
    <s v="NWK ACCESS TECH"/>
    <s v="N165"/>
    <s v="PO Receipt"/>
    <x v="186"/>
    <s v="OP35M4N-1-99-AS"/>
    <s v="OPT MUX 100GHZ CH 36-39 EXP PORT &amp; -20TP"/>
    <n v="1"/>
    <s v="148001"/>
  </r>
  <r>
    <x v="17"/>
    <s v="EXPEDITORS SAN JOSE INV"/>
    <s v="NON_ROHS"/>
    <s v="NWK ACCESS TECH"/>
    <s v="N165"/>
    <s v="PO Receipt"/>
    <x v="187"/>
    <s v="OP34D5H-1-99-AS"/>
    <s v="DEMUX CWDM HIGH 5CH 1310 -20TP SC/APC"/>
    <n v="2"/>
    <s v="148001"/>
  </r>
  <r>
    <x v="17"/>
    <s v="EXPEDITORS SAN JOSE INV"/>
    <s v="NON_ROHS"/>
    <s v="NWK ACCESS TECH"/>
    <s v="N165"/>
    <s v="PO Receipt"/>
    <x v="187"/>
    <s v="OP34M10S-1-00-AS"/>
    <s v="MUX CWDM 10CH 1310 FLTR SC/APC"/>
    <n v="8"/>
    <s v="148001"/>
  </r>
  <r>
    <x v="17"/>
    <s v="EXPEDITORS SAN JOSE INV"/>
    <s v="NON_ROHS"/>
    <s v="NWK ACCESS TECH"/>
    <s v="N165"/>
    <s v="PO Receipt"/>
    <x v="188"/>
    <s v="OP35D8U-1-99-AS"/>
    <s v="OPT DEMUX 100GHZ ITU CH 52-59 EXP PORT -20TP 3RU"/>
    <n v="30"/>
    <s v="148001"/>
  </r>
  <r>
    <x v="17"/>
    <s v="EXPEDITORS SAN JOSE INV"/>
    <s v="NON_ROHS"/>
    <s v="NWK ACCESS TECH"/>
    <s v="N165"/>
    <s v="PO Receipt"/>
    <x v="188"/>
    <s v="OP35M8S-1-99-AS"/>
    <s v="OPT MUX 100GHZ ITU CH 44-51 EXP PORT -20TP 3RU"/>
    <n v="17"/>
    <s v="148001"/>
  </r>
  <r>
    <x v="17"/>
    <s v="EXPEDITORS SAN JOSE INV"/>
    <s v="NON_ROHS"/>
    <s v="NWK ACCESS TECH"/>
    <s v="N165"/>
    <s v="PO Receipt"/>
    <x v="189"/>
    <s v="OP35D4M-1-99-AS"/>
    <s v="OPT DEMUX 100GHZ CH 32-35 EXP PORT&amp;-20TP"/>
    <n v="3"/>
    <s v="148001"/>
  </r>
  <r>
    <x v="17"/>
    <s v="EXPEDITORS SAN JOSE INV"/>
    <s v="NON_ROHS"/>
    <s v="NWK ACCESS TECH"/>
    <s v="N165"/>
    <s v="PO Receipt"/>
    <x v="190"/>
    <s v="OP35M4N-1-99-AS"/>
    <s v="OPT MUX 100GHZ CH 36-39 EXP PORT &amp; -20TP"/>
    <n v="2"/>
    <s v="148001"/>
  </r>
  <r>
    <x v="17"/>
    <s v="EXPEDITORS SAN JOSE INV"/>
    <s v="NON_ROHS"/>
    <s v="NWK ACCESS TECH"/>
    <s v="N180"/>
    <s v="PO Receipt"/>
    <x v="191"/>
    <s v="GE4404M-00-D"/>
    <s v="NODEOLT WITH 4 EPON AND 4 UPLINK PORTS"/>
    <n v="44"/>
    <s v="148001"/>
  </r>
  <r>
    <x v="17"/>
    <s v="EXPEDITORS SAN JOSE INV"/>
    <s v="NON_ROHS"/>
    <s v="NWK ACCESS TECH"/>
    <s v="N204"/>
    <s v="PO Receipt"/>
    <x v="192"/>
    <s v="PS3148D"/>
    <s v="POWER SUPPLY W/DISPLAY -48VDC 250W 3RU"/>
    <n v="480"/>
    <s v="148001"/>
  </r>
  <r>
    <x v="17"/>
    <s v="EXPEDITORS SAN JOSE INV"/>
    <s v="NON_ROHS"/>
    <s v="NWK ACCESS TECH"/>
    <s v="N204"/>
    <s v="PO Receipt"/>
    <x v="193"/>
    <s v="PS3005D-2"/>
    <s v="POWER SUPPLY 250W CE TUV W/DISPLAY"/>
    <n v="48"/>
    <s v="148001"/>
  </r>
  <r>
    <x v="17"/>
    <s v="EXPEDITORS SAN JOSE INV"/>
    <s v="NON_ROHS"/>
    <s v="NWK ACCESS TECH"/>
    <s v="N204"/>
    <s v="PO Receipt"/>
    <x v="194"/>
    <s v="PS3005D-2"/>
    <s v="POWER SUPPLY 250W CE TUV W/DISPLAY"/>
    <n v="48"/>
    <s v="148001"/>
  </r>
  <r>
    <x v="17"/>
    <s v="EXPEDITORS SAN JOSE INV"/>
    <s v="NON_ROHS"/>
    <s v="NWK ACCESS TECH"/>
    <s v="N204"/>
    <s v="PO Receipt"/>
    <x v="195"/>
    <s v="PS3005D-2"/>
    <s v="POWER SUPPLY 250W CE TUV W/DISPLAY"/>
    <n v="48"/>
    <s v="148001"/>
  </r>
  <r>
    <x v="17"/>
    <s v="EXPEDITORS SAN JOSE INV"/>
    <s v="NON_ROHS"/>
    <s v="NWK ACCESS TECH"/>
    <s v="N204"/>
    <s v="PO Receipt"/>
    <x v="196"/>
    <s v="PS3005D-2"/>
    <s v="POWER SUPPLY 250W CE TUV W/DISPLAY"/>
    <n v="48"/>
    <s v="148001"/>
  </r>
  <r>
    <x v="17"/>
    <s v="EXPEDITORS SAN JOSE INV"/>
    <s v="NON_ROHS"/>
    <s v="NWK ACCESS TECH"/>
    <s v="N224"/>
    <s v="PO Receipt"/>
    <x v="197"/>
    <s v="BP-A8"/>
    <s v="BACKPLATE BC RF INP NC RF INP OPT OUT"/>
    <n v="3"/>
    <s v="148001"/>
  </r>
  <r>
    <x v="17"/>
    <s v="EXPEDITORS SAN JOSE INV"/>
    <s v="NON_ROHS"/>
    <s v="NWK ACCESS TECH"/>
    <s v="N224"/>
    <s v="PO Receipt"/>
    <x v="198"/>
    <s v="BP-F11"/>
    <s v="BACKPLATE OPT INP OPT OUT 1-8 BLANK"/>
    <n v="5"/>
    <s v="148001"/>
  </r>
  <r>
    <x v="17"/>
    <s v="EXPEDITORS SAN JOSE INV"/>
    <s v="NON_ROHS"/>
    <s v="NWK ACCESS TECH"/>
    <s v="N224"/>
    <s v="PO Receipt"/>
    <x v="199"/>
    <s v="BP-A5"/>
    <s v="BACKPLATE RF INP RF OUT MP OPTICAL INP"/>
    <n v="37"/>
    <s v="148001"/>
  </r>
  <r>
    <x v="17"/>
    <s v="EXPEDITORS SAN JOSE INV"/>
    <s v="NON_ROHS"/>
    <s v="NWK ACCESS TECH"/>
    <s v="N224"/>
    <s v="PO Receipt"/>
    <x v="200"/>
    <s v="BP-A1"/>
    <s v="BACKPLATE RF INP OPTICAL OUT"/>
    <n v="25"/>
    <s v="148001"/>
  </r>
  <r>
    <x v="17"/>
    <s v="EXPEDITORS SAN JOSE INV"/>
    <s v="NON_ROHS"/>
    <s v="NWK ACCESS TECH"/>
    <s v="N224"/>
    <s v="PO Receipt"/>
    <x v="200"/>
    <s v="BP-A2"/>
    <s v="BACKPLATE OPTICAL INP RF OUT DUAL"/>
    <n v="11"/>
    <s v="148001"/>
  </r>
  <r>
    <x v="17"/>
    <s v="EXPEDITORS SAN JOSE INV"/>
    <s v="NON_ROHS"/>
    <s v="NWK ACCESS TECH"/>
    <s v="N224"/>
    <s v="PO Receipt"/>
    <x v="201"/>
    <s v="BP-F2"/>
    <s v="BACKPLATE OPTICAL INP OPTICAL OUT"/>
    <n v="3"/>
    <s v="148001"/>
  </r>
  <r>
    <x v="17"/>
    <s v="EXPEDITORS SAN JOSE INV"/>
    <s v="NON_ROHS"/>
    <s v="NWK ACCESS TECH"/>
    <s v="N224"/>
    <s v="PO Receipt"/>
    <x v="202"/>
    <s v="BP3001"/>
    <s v="BLANK PLATE 1 WIDE REVERSIBLE 3RU"/>
    <n v="102"/>
    <s v="148001"/>
  </r>
  <r>
    <x v="17"/>
    <s v="EXPEDITORS SAN JOSE INV"/>
    <s v="NON_ROHS"/>
    <s v="NWK ACCESS TECH"/>
    <s v="N224"/>
    <s v="PO Receipt"/>
    <x v="203"/>
    <s v="BP3001"/>
    <s v="BLANK PLATE 1 WIDE REVERSIBLE 3RU"/>
    <n v="44"/>
    <s v="148001"/>
  </r>
  <r>
    <x v="17"/>
    <s v="EXPEDITORS SAN JOSE INV"/>
    <s v="NON_ROHS"/>
    <s v="NWK ACCESS TECH"/>
    <s v="N224"/>
    <s v="PO Receipt"/>
    <x v="204"/>
    <s v="CE8300H-00"/>
    <s v="ENCLOSURE PRIMEX OUTDOOR SINGLE"/>
    <n v="170"/>
    <s v="148001"/>
  </r>
  <r>
    <x v="17"/>
    <s v="EXPEDITORS SAN JOSE INV"/>
    <s v="NON_ROHS"/>
    <s v="NWK ACCESS TECH"/>
    <s v="N224"/>
    <s v="PO Receipt"/>
    <x v="205"/>
    <s v="NH4000-VHP2"/>
    <s v="HOUSING VHUB DUAL PWR SPLY FBR TRAY"/>
    <n v="10"/>
    <s v="148001"/>
  </r>
  <r>
    <x v="17"/>
    <s v="EXPEDITORS SAN JOSE INV"/>
    <s v="NON_ROHS"/>
    <s v="NWK ACCESS TECH"/>
    <s v="N224"/>
    <s v="PO Receipt"/>
    <x v="206"/>
    <s v="NH4000-RFP2"/>
    <s v="HOUSING VHUB-RFPON DUAL PWR SPLY"/>
    <n v="10"/>
    <s v="148001"/>
  </r>
  <r>
    <x v="17"/>
    <s v="EXPEDITORS SAN JOSE INV"/>
    <s v="NON_ROHS"/>
    <s v="NWK ACCESS TECH"/>
    <s v="N237"/>
    <s v="PO Receipt"/>
    <x v="207"/>
    <s v="CP851TU-01-00"/>
    <s v="CPE RFOG MDU OBI 16CH 1610NM 5-42 RTN"/>
    <n v="80"/>
    <s v="148001"/>
  </r>
  <r>
    <x v="17"/>
    <s v="EXPEDITORS SAN JOSE INV"/>
    <s v="NON_ROHS"/>
    <s v="NWK ACCESS TECH"/>
    <s v="N237"/>
    <s v="PO Receipt"/>
    <x v="208"/>
    <s v="CP851TU-01-00"/>
    <s v="CPE RFOG MDU OBI 16CH 1610NM 5-42 RTN"/>
    <n v="32"/>
    <s v="148001"/>
  </r>
  <r>
    <x v="17"/>
    <s v="EXPEDITORS SAN JOSE INV"/>
    <s v="NON_ROHS"/>
    <s v="NWK ACCESS TECH"/>
    <s v="N259"/>
    <s v="PO Receipt"/>
    <x v="209"/>
    <s v="CA3008"/>
    <s v="CARRIER MODULE HIGH DENSITY"/>
    <n v="103"/>
    <s v="148001"/>
  </r>
  <r>
    <x v="17"/>
    <s v="EXPEDITORS SAN JOSE INV"/>
    <s v="NON_ROHS"/>
    <s v="NWK ACCESS TECH"/>
    <s v="N275"/>
    <s v="PO Receipt"/>
    <x v="210"/>
    <s v="DR3450N-50-00"/>
    <s v="DIGITAL RECEIVER Q-RX 2.125GBPS 5-50MHZ"/>
    <n v="160"/>
    <s v="148001"/>
  </r>
  <r>
    <x v="17"/>
    <s v="EXPEDITORS SAN JOSE INV"/>
    <s v="NON_ROHS"/>
    <s v="NWK ACCESS TECH"/>
    <s v="N276"/>
    <s v="PO Receipt"/>
    <x v="211"/>
    <s v="NC219A1HGE1-0000000"/>
    <s v="NODE 5-85MHZ RVS 102-1GHZ FWD 1X1 SEG"/>
    <n v="5"/>
    <s v="148001"/>
  </r>
  <r>
    <x v="17"/>
    <s v="EXPEDITORS SAN JOSE INV"/>
    <s v="NON_ROHS"/>
    <s v="NWK ACCESS TECH"/>
    <s v="N288"/>
    <s v="PO Receipt"/>
    <x v="208"/>
    <s v="CP859TU-01-00"/>
    <s v="CPE RFOG MDU 1610 5-85MHZ RTN OBI FIXED"/>
    <n v="136"/>
    <s v="148001"/>
  </r>
  <r>
    <x v="17"/>
    <s v="EXPEDITORS SAN JOSE INV"/>
    <s v="SJ2_SALE"/>
    <s v="NWK ACCESS TECH"/>
    <s v="N065"/>
    <s v="PO Receipt"/>
    <x v="212"/>
    <s v="DT4250N-50-00"/>
    <s v="DGTL XCVR ENH MULTI-MODES OF OPN 5-50MHZ"/>
    <n v="960"/>
    <s v="148001"/>
  </r>
  <r>
    <x v="17"/>
    <s v="EXPEDITORS SAN JOSE INV"/>
    <s v="SJ2_SALE"/>
    <s v="NWK ACCESS TECH"/>
    <s v="N125"/>
    <s v="PO Receipt"/>
    <x v="213"/>
    <s v="FA3514S-00-AS"/>
    <s v="FIBEROPTIC AMPLIFIER SINGLE 14DBM 3RU"/>
    <n v="2"/>
    <s v="148001"/>
  </r>
  <r>
    <x v="17"/>
    <s v="EXPEDITORS SAN JOSE INV"/>
    <s v="SJ2_SALE"/>
    <s v="NWK ACCESS TECH"/>
    <s v="N226"/>
    <s v="PO Receipt"/>
    <x v="214"/>
    <s v="CP8015U-02-10"/>
    <s v="CPE RFOG 1550/1610 42MHZ PWR INSR"/>
    <n v="2560"/>
    <s v="148001"/>
  </r>
  <r>
    <x v="17"/>
    <s v="EXPEDITORS SAN JOSE INV"/>
    <s v="SJ2_SALE"/>
    <s v="NWK ACCESS TECH"/>
    <s v="N275"/>
    <s v="PO Receipt"/>
    <x v="210"/>
    <s v="DR3450N-50-00"/>
    <s v="DIGITAL RECEIVER Q-RX 2.125GBPS 5-50MHZ"/>
    <n v="480"/>
    <s v="148001"/>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r>
    <x v="18"/>
    <m/>
    <m/>
    <m/>
    <m/>
    <m/>
    <x v="215"/>
    <m/>
    <m/>
    <m/>
    <m/>
  </r>
</pivotCacheRecords>
</file>

<file path=xl/pivotCache/pivotCacheRecords3.xml><?xml version="1.0" encoding="utf-8"?>
<pivotCacheRecords xmlns="http://schemas.openxmlformats.org/spreadsheetml/2006/main" xmlns:r="http://schemas.openxmlformats.org/officeDocument/2006/relationships" count="445">
  <r>
    <n v="9726394"/>
    <n v="1"/>
    <s v="6900882"/>
    <s v="SCSK CORPORATION"/>
    <d v="2016-09-13T11:03:21"/>
    <d v="2016-09-13T11:03:21"/>
    <s v="Ship Hankyu, if critical shipment and missed pick up time, email orders@scsusa.com for approval to ship FedEx"/>
    <s v="JULIO"/>
    <s v="given to v to schedule"/>
    <s v="given to v to schedule SCSK"/>
    <x v="0"/>
    <s v=""/>
    <s v="10/06 Order has not been processed, pick slip might need to be reprinted_x000a_10/11 Pick was re-printed and given to the warehouse to pick._x000a_10/12 Freight is ready to ship, SCSK orders only ship Tuesdays and Fridays."/>
    <s v=""/>
    <s v="10/13/2016 Peter Test"/>
    <s v=""/>
    <x v="0"/>
  </r>
  <r>
    <n v="9743244"/>
    <n v="1"/>
    <s v="20106840"/>
    <s v="CHARTER"/>
    <d v="2016-09-22T13:41:45"/>
    <d v="2016-09-22T13:41:45"/>
    <s v=""/>
    <s v="DAVID"/>
    <s v="x"/>
    <s v="9/4 PIR, 9/5 Reaching out to SJO for parts, PIR (Updated 10/11/2016) part number FT4005-c (last updated 10/12/2016) "/>
    <x v="0"/>
    <s v=""/>
    <s v="10/11 Pick was re-printed and given to the warehouse to pick."/>
    <s v=""/>
    <s v=""/>
    <s v=""/>
    <x v="1"/>
  </r>
  <r>
    <n v="9743245"/>
    <n v="1"/>
    <s v="6900900"/>
    <s v="CHARTER"/>
    <d v="2016-09-22T13:41:45"/>
    <d v="2016-09-22T13:41:45"/>
    <s v=""/>
    <s v="DAVID"/>
    <s v="x"/>
    <s v="9/4 PIR, 9/5 Reaching out to SJO for parts, last updated 10/12/16 part number op95d4-cf3-100-rw-as qt 1pc"/>
    <x v="0"/>
    <s v=""/>
    <s v="10/11 Pick was re-printed and given to the warehouse to pick."/>
    <s v=""/>
    <s v=""/>
    <s v=""/>
    <x v="1"/>
  </r>
  <r>
    <n v="9743246"/>
    <n v="1"/>
    <s v="6900902"/>
    <s v="CHARTER"/>
    <d v="2016-09-22T13:41:45"/>
    <d v="2016-09-22T13:41:45"/>
    <s v=""/>
    <s v="DAVID"/>
    <s v="x"/>
    <s v="9/4 PIR, 9/5 Reaching out to SJO for parts, last updated 10/12/16 part number op95f1s-45-no-00 qty 2pc"/>
    <x v="0"/>
    <s v=""/>
    <s v="10/11 Pick was re-printed and given to the warehouse to pick."/>
    <s v=""/>
    <s v=""/>
    <s v=""/>
    <x v="1"/>
  </r>
  <r>
    <n v="9745212"/>
    <n v="1"/>
    <s v="6900800"/>
    <s v="CHARTER"/>
    <d v="2016-09-24T03:31:01"/>
    <d v="2016-09-24T03:31:01"/>
    <s v=""/>
    <s v="DAVID"/>
    <s v="x"/>
    <s v="9/4 PIR, 9/5 Reaching out to SJO for parts, last updated 10/12/16 PART NUMBER OP95F1S-35-R2-AS QTY QPC"/>
    <x v="0"/>
    <s v=""/>
    <s v="10/11 Pick was re-printed and given to the warehouse to pick."/>
    <s v=""/>
    <s v=""/>
    <s v=""/>
    <x v="1"/>
  </r>
  <r>
    <n v="9745878"/>
    <n v="1"/>
    <s v="6900890"/>
    <s v="COMCAST"/>
    <d v="2016-09-26T01:05:30"/>
    <d v="2016-09-26T01:05:30"/>
    <s v="Shipments under 200 lbs. FedEx 128153870 over 200# Omni Acct# Comcast212 Comcast@omnilogistics.com 866-247-6664, cc omnisfoops@omnilogistics.com on all OMNI pickup requests"/>
    <s v="DAVID"/>
    <s v="x"/>
    <s v="9/4 PIR, 9/5 Reaching out to SJO for parts MISSING UNIT FA45245-01- QTY 14, last updated 10/12/16"/>
    <x v="0"/>
    <s v=""/>
    <s v="missing 1 unit / FA45245-01-AS_x000a_10/12 email was sent to Bud to tranfer 1 unit to our warehouse"/>
    <s v=""/>
    <s v=""/>
    <s v=""/>
    <x v="2"/>
  </r>
  <r>
    <n v="9748839"/>
    <n v="1"/>
    <s v="6900936"/>
    <s v="CHARTER"/>
    <d v="2016-09-30T01:04:07"/>
    <d v="2016-09-30T01:04:07"/>
    <s v=""/>
    <s v="DAVID"/>
    <s v=""/>
    <s v=""/>
    <x v="1"/>
    <s v=""/>
    <s v="10/07/2016 Given to Riza at 10AM"/>
    <s v=""/>
    <s v=""/>
    <s v=""/>
    <x v="3"/>
  </r>
  <r>
    <n v="9749482"/>
    <n v="1"/>
    <s v="20113474"/>
    <s v="MEDIACOM"/>
    <d v="2016-10-01T06:31:18"/>
    <d v="2016-10-01T06:31:18"/>
    <s v="Parcel ships &lt;150 lbs use UPS #2E2866. LTL ships EM ECHO at mediacom@echo.com or call 312-488-2753"/>
    <s v="JULIO"/>
    <s v=""/>
    <s v="MEDIA COM / PART NUMBER AT3535G-20-1-AS / QTY 2PC / PENDING RESEARCH / MIGHT NEED A REPRINT OF  PICK TICKET. LAST UPDATED 10/12/2016"/>
    <x v="1"/>
    <s v=""/>
    <s v="10/10 Pick has not been located and units are not staged. We are currently waiting to get approval from Dave to reprint pick."/>
    <s v=""/>
    <s v=""/>
    <s v=""/>
    <x v="4"/>
  </r>
  <r>
    <n v="9749787"/>
    <n v="1"/>
    <s v="20112586"/>
    <s v="MEDIACOM"/>
    <d v="2016-10-03T11:03:37"/>
    <d v="2016-10-03T11:03:37"/>
    <s v="Parcel ships &lt;150 lbs use UPS #2E2866. LTL ships EM ECHO at mediacom@echo.com or call 312-488-2753"/>
    <s v=""/>
    <s v=""/>
    <s v=""/>
    <x v="2"/>
    <s v=""/>
    <s v="10/10 Pick has not been located and units are not staged. We are currently waiting to get approval from Dave to reprint pick."/>
    <s v=""/>
    <s v=""/>
    <s v=""/>
    <x v="4"/>
  </r>
  <r>
    <n v="9749808"/>
    <n v="2"/>
    <s v="20114536"/>
    <s v="COMCAST"/>
    <d v="2016-10-03T12:03:26"/>
    <d v="2016-10-03T12:03:26"/>
    <s v="UNDER 200LBS UNPALLETIZED OR SINGLE BOX UNDER 150LBS USE FEDEX #128153870 OVER 200LBS USE OMNI LOGISTICS ACCT COMCASTLSS-COMCASTLSS@OMNILOGISTICS.COM 866-247-6664"/>
    <s v="JULIO"/>
    <s v="x"/>
    <s v="PIR last updated 10/12/2016 PART NUMBER NC412A1SGA1-U000000 QTY 15PC"/>
    <x v="0"/>
    <s v=""/>
    <s v="9/5 PIR"/>
    <s v=""/>
    <s v=""/>
    <s v=""/>
    <x v="4"/>
  </r>
  <r>
    <n v="9750306"/>
    <n v="4"/>
    <s v="20111098"/>
    <s v="CABLEMAS, S.A. DE C.V."/>
    <d v="2016-10-04T16:03:14"/>
    <d v="2016-10-04T16:03:14"/>
    <s v="FOR EXW SEND W&amp;D TO CSR. MARITA.FERNANDEZ@ARRIS.COM. FOR FCA CONTACT FF."/>
    <s v="DAVID"/>
    <s v="given to v to schedule"/>
    <s v="given to v to schedule"/>
    <x v="0"/>
    <s v=""/>
    <s v="10/04 order has been picked, packed and ready to ship, need to be scheduled with the carrier_x000a_10/05 email has been sent to the CSR Marita, currently waiting for routing instructions._x000a_10/06 email has sent to email for an update and we have not received a response._x000a_10/07 We have not received a response from the CSR _x000a_10/11  CSR sent and email  to arrange pick u_x000a_10/10 We have not received a reponse from the CSR an update email has been sent. Dave has been added to the email."/>
    <s v=""/>
    <s v=""/>
    <s v=""/>
    <x v="3"/>
  </r>
  <r>
    <n v="9750864"/>
    <n v="1"/>
    <s v="20111098"/>
    <s v="CABLEMAS, S.A. DE C.V."/>
    <d v="2016-10-05T15:03:38"/>
    <d v="2016-10-05T15:03:38"/>
    <s v="FOR EXW SEND W&amp;D TO CSR. MARITA.FERNANDEZ@ARRIS.COM. FOR FCA CONTACT FF."/>
    <s v="DAVID"/>
    <s v="given to v to schedule"/>
    <s v="given to v to schedule"/>
    <x v="0"/>
    <s v=""/>
    <s v="10/06 email has been sent to the CSR Marita, waiting for routing instructions._x000a_10/07 we have not received an update from the CSR_x000a_10/10 We have not received a response from the CSR an update email has been sent._x000a_10/11  CSR sent and email  to arrange pick up with carrier._x000a_10/12 Currently waitng for an update from the CSR and carrier"/>
    <s v=""/>
    <s v=""/>
    <s v=""/>
    <x v="5"/>
  </r>
  <r>
    <n v="9750889"/>
    <n v="2"/>
    <s v="20115327"/>
    <s v="COMCAST"/>
    <d v="2016-10-05T16:03:22"/>
    <d v="2016-10-05T16:03:22"/>
    <s v="UNDER 200LBS UNPALLETIZED OR SINGLE BOX UNDER 150LBS USE FEDEX #128153870 OVER 200LBS USE OMNI LOGISTICS ACCT COMCASTLSS-COMCASTLSS@OMNILOGISTICS.COM 866-247-6664"/>
    <s v="AUSTIN"/>
    <s v="x"/>
    <s v="PIR - part number (NC412A1SGA1-U0000000 / QTY 1) all previous locations checked and no parts found in inventory (last update 10/12/2016) "/>
    <x v="0"/>
    <s v=""/>
    <s v="10/10 Pick has not been located and units are not staged. We are currently waiting to get approval from Dave to reprint pick._x000a_10/11 Pick was re-printed and is currently being worked on _x000a_10/12 We are not able to locate item NC412A1SGA1-U0000000 / QTY 1"/>
    <s v=""/>
    <s v=""/>
    <s v=""/>
    <x v="6"/>
  </r>
  <r>
    <n v="9751008"/>
    <n v="1"/>
    <s v="6900902"/>
    <s v="CHARTER"/>
    <d v="2016-10-06T01:04:01"/>
    <d v="2016-10-06T01:04:01"/>
    <s v=""/>
    <s v="JULIO"/>
    <s v=""/>
    <s v="pick in progress - PART NUMBER - OP95F1S-36-NO-00 QTY 1PC *NEEDS REPRINT / NO LABELS CREATED"/>
    <x v="1"/>
    <s v=""/>
    <s v="10/10 pick in progress"/>
    <s v=""/>
    <s v=""/>
    <s v=""/>
    <x v="7"/>
  </r>
  <r>
    <n v="9751017"/>
    <n v="8"/>
    <s v="6901227"/>
    <s v="SCSK CORPORATION"/>
    <d v="2016-10-06T01:04:01"/>
    <d v="2016-10-06T01:04:01"/>
    <s v="Ship Hankyu, if critical shipment and missed pick up time, email orders@scsusa.com for approval to ship FedEx"/>
    <s v="JULIO"/>
    <s v="given to v to schedule"/>
    <s v="given to v to schedule SCSK"/>
    <x v="0"/>
    <s v=""/>
    <s v="10/12 freight is ready for pick up Scsk, they only ship out Tuesday's and Friday's"/>
    <s v=""/>
    <s v=""/>
    <s v=""/>
    <x v="7"/>
  </r>
  <r>
    <n v="9751131"/>
    <n v="3"/>
    <s v="20111078"/>
    <s v="VTR"/>
    <d v="2016-10-06T03:33:27"/>
    <d v="2016-10-06T03:33:27"/>
    <s v="SHIP CIF PPD OCEAN TO (PORT) PUERTO CHILE VALPARAISO. CUSTOMERS BROKER IN CHILE-Agencia de aduanas Patricio Larranaga y Cia Limitada-Matias Cousino 150 Of 540 Santiago.Email-ccaqueo@plk.cl and jponce@plk.cl. PH:01156226766251 "/>
    <s v="DAVID"/>
    <s v="given to v to schedule"/>
    <s v="given to v to schedule"/>
    <x v="0"/>
    <s v=""/>
    <s v="10/06 freight is ready to ship, email has been to CSR to advise carrier._x000a_10/07 order was scheduled with Expeditors via Ocean waiting for pick up confirmation_x000a_10/10 currently still waiting for Expeditors to provide pick up date. They are waiting to receive approval from overseas _x000a_10/11 still waiting for approval from overseas_x000a_ 10/12 shipment has been approved to ship via ocean to CL, will be shipping tomorrow 10/13"/>
    <s v=""/>
    <s v=""/>
    <s v=""/>
    <x v="8"/>
  </r>
  <r>
    <n v="9751232"/>
    <n v="3"/>
    <s v="20106358"/>
    <s v="CABLEVISION RED, S.A. DE C.V."/>
    <d v="2016-10-06T06:03:39"/>
    <d v="2016-10-06T06:03:39"/>
    <s v="FOR EXW SEND W&amp;D TO CSR marita.fernandez@arris.com and hmarquez@izzi.mx .FOR FCA CONTACT FF."/>
    <s v="DAVID"/>
    <s v="given to v to schedule"/>
    <s v="given to v to schedule"/>
    <x v="0"/>
    <s v=""/>
    <s v="10/06 email has been sent to the CSR Marita, waiting for routing instructions._x000a_10/07 we have not received an update from the CSR_x000a_10/10 We have not received a response from the CSR an update email has been sent._x000a_10/11  CSR sent and email  to arrange pick up_x000a_10/12Currently waiting for an update from CSR and carrier"/>
    <s v=""/>
    <s v=""/>
    <s v=""/>
    <x v="8"/>
  </r>
  <r>
    <n v="9751367"/>
    <n v="2"/>
    <s v="20106954"/>
    <s v="TELMEX COLOMBIA S.A."/>
    <d v="2016-10-06T12:04:25"/>
    <d v="2016-10-06T12:04:25"/>
    <s v="PROVIDE PHOTOS OF EACH CONTAINER IF APPLICABLE TO CSR.PHOTOS ARE NEEDED FOR EACH EMPTY CONTAINER AND CONTAINER LOADED. PHOTOS NEED TO SHOW CONTAINER #.ANY CONTAINER DAMAGED OR IN BAD CONDITIONS DO NOT ACCEPT IT AND CONTACT CSR IMMEDIATELY"/>
    <s v="DAVID"/>
    <s v="given to v to schedule"/>
    <s v="given to v to schedule"/>
    <x v="0"/>
    <s v=""/>
    <s v="10/07- email has been sent to the CSR ( Mildaliza) to provide routing information, waiting for a  response _x000a_10/10- We have not received a response from the CSR an update email has been sent._x000a_10/11 CSR requested  COO, information was provided, currently waiting for an update._x000a_10/12 We have not received a response from the CSR"/>
    <s v=""/>
    <s v=""/>
    <s v=""/>
    <x v="8"/>
  </r>
  <r>
    <n v="9751368"/>
    <n v="1"/>
    <s v="20112750"/>
    <s v="TELMEX COLOMBIA S.A."/>
    <d v="2016-10-06T12:04:25"/>
    <d v="2016-10-06T12:04:25"/>
    <s v="PROVIDE PHOTOS OF EACH CONTAINER IF APPLICABLE TO CSR.PHOTOS ARE NEEDED FOR EACH EMPTY CONTAINER AND CONTAINER LOADED. PHOTOS NEED TO SHOW CONTAINER #.ANY CONTAINER DAMAGED OR IN BAD CONDITIONS DO NOT ACCEPT IT AND CONTACT CSR IMMEDIATELY"/>
    <s v="DAVID"/>
    <s v="given to v to schedule"/>
    <s v="given to v to schedule"/>
    <x v="0"/>
    <s v=""/>
    <s v="10/07- email has been sent to the CSR ( Mildaliza) to provide routing information, waiting for a  response _x000a_10/10- We have not received a response from the CSR an update email has been sent._x000a_10/11 CSR requested  COO, information was provided, currently waiting for an update._x000a_10/12 We have not received a response from the CSR"/>
    <s v=""/>
    <s v=""/>
    <s v=""/>
    <x v="8"/>
  </r>
  <r>
    <n v="9751369"/>
    <n v="2"/>
    <s v="6901455"/>
    <s v="TELMEX COLOMBIA S.A."/>
    <d v="2016-10-06T12:04:25"/>
    <d v="2016-10-06T12:04:25"/>
    <s v="PROVIDE PHOTOS OF EACH CONTAINER IF APPLICABLE TO CSR.PHOTOS ARE NEEDED FOR EACH EMPTY CONTAINER AND CONTAINER LOADED. PHOTOS NEED TO SHOW CONTAINER #.ANY CONTAINER DAMAGED OR IN BAD CONDITIONS DO NOT ACCEPT IT AND CONTACT CSR IMMEDIATELY"/>
    <s v="DAVID"/>
    <s v="given to v to schedule"/>
    <s v="given to v to schedule"/>
    <x v="0"/>
    <s v=""/>
    <s v="10/07- email has been sent to the CSR ( Mildaliza) to provide routing information, waiting for a  response _x000a_10/10- We have not received a response from the CSR an update email has been sent._x000a_10/11 CSR requested  COO, information was provided, currently waiting for an update._x000a_10/12 We have not received a response from the CSR"/>
    <s v=""/>
    <s v=""/>
    <s v=""/>
    <x v="8"/>
  </r>
  <r>
    <n v="9751497"/>
    <n v="10"/>
    <s v="20115606"/>
    <s v="CABLE ONE"/>
    <d v="2016-10-06T19:04:11"/>
    <d v="2016-10-06T19:04:11"/>
    <s v=""/>
    <s v="KYLE"/>
    <s v="FEDEX FREIGHT-4039460806"/>
    <s v="fully shipped"/>
    <x v="0"/>
    <s v="10/07/2016 Given to Riza at 8AM"/>
    <s v="10/07/2016 Given to Riza at 8AM"/>
    <s v=""/>
    <s v=""/>
    <s v=""/>
    <x v="8"/>
  </r>
  <r>
    <n v="9751604"/>
    <n v="1"/>
    <s v="6900575"/>
    <s v="NSG TECHNOLOGY INC"/>
    <d v="2016-10-07T01:04:01"/>
    <d v="2016-10-07T01:04:01"/>
    <s v="Arris provides transportation to NSG"/>
    <s v="JULIO"/>
    <s v="JIT 1269100"/>
    <s v="fully shipped"/>
    <x v="0"/>
    <s v="10/11 given to william 7:50 am"/>
    <n v="6900575"/>
    <n v="1269100"/>
    <s v=""/>
    <s v=""/>
    <x v="9"/>
  </r>
  <r>
    <n v="9751606"/>
    <n v="1"/>
    <s v="6900377"/>
    <s v="NSG TECHNOLOGY INC"/>
    <d v="2016-10-07T01:04:01"/>
    <d v="2016-10-07T01:04:01"/>
    <s v="Arris provides transportation to NSG"/>
    <s v="JULIO"/>
    <s v="JIT 1269100"/>
    <s v="fully shipped"/>
    <x v="0"/>
    <s v="10/11 given to william 7:50 am"/>
    <n v="6900377"/>
    <n v="1269100"/>
    <s v=""/>
    <s v=""/>
    <x v="9"/>
  </r>
  <r>
    <n v="9751607"/>
    <n v="3"/>
    <s v="6901384"/>
    <s v="NSG TECHNOLOGY INC"/>
    <d v="2016-10-07T01:04:01"/>
    <d v="2016-10-07T01:04:01"/>
    <s v="Arris provides transportation to NSG"/>
    <s v="JULIO"/>
    <s v="JIT 1269100"/>
    <s v="fully shipped"/>
    <x v="0"/>
    <s v="10/11 given to william 7:50 am"/>
    <n v="6901384"/>
    <n v="1269100"/>
    <s v=""/>
    <s v=""/>
    <x v="9"/>
  </r>
  <r>
    <n v="9751608"/>
    <n v="1"/>
    <s v="6901393"/>
    <s v="NSG TECHNOLOGY INC"/>
    <d v="2016-10-07T01:04:01"/>
    <d v="2016-10-07T01:04:01"/>
    <s v="Arris provides transportation to NSG"/>
    <s v="JULIO"/>
    <s v="JIT 1269100"/>
    <s v="fully shipped"/>
    <x v="0"/>
    <s v=""/>
    <n v="6901393"/>
    <n v="1269100"/>
    <s v=""/>
    <s v=""/>
    <x v="9"/>
  </r>
  <r>
    <n v="9751667"/>
    <n v="1"/>
    <s v="20113079"/>
    <s v="BUCKEYE CABLE"/>
    <d v="2016-10-07T03:40:29"/>
    <d v="2016-10-07T03:40:29"/>
    <s v=""/>
    <s v="AUSTIN"/>
    <s v="x"/>
    <s v="PIR - part number FA3521H-00-AS QTY 2. One piece found in inventory, need one more piece for completion of order. (last updated 10/12/2016) "/>
    <x v="0"/>
    <s v="10/07/2016 Given to Riza at 8AM"/>
    <s v="10/07/2016 Given to Riza at 8AM"/>
    <s v=""/>
    <s v=""/>
    <s v=""/>
    <x v="6"/>
  </r>
  <r>
    <n v="9751868"/>
    <n v="11"/>
    <s v="20114935"/>
    <s v="LIBERTY CABLEVISION OF PUERTO RICO, INC."/>
    <d v="2016-10-07T16:03:31"/>
    <d v="2016-10-07T16:03:31"/>
    <s v="100lbs Or Less Use Fedex 2ndDay Account 1388-5352-7.Shipments for 100 lbs TO 300LBS CONTACT DHL Economy .For pick up sju.domestic@dhl.com;armando.ocasio@dhl.com 310LBS OR MORE CONTACT YELLYANN.VELEZ@ARRIS.COM AND CC PURCHASING@LIBERTYPR.COM"/>
    <s v="DAVID"/>
    <s v="given to v to schedule"/>
    <s v="given to v to schedule DHL"/>
    <x v="0"/>
    <s v=""/>
    <s v="10/11  order is ready to ship will ship via  DHL tomorrow_x000a_10/12 email has been sent to the carrier and the csr to arrange pick up"/>
    <s v=""/>
    <s v=""/>
    <s v=""/>
    <x v="6"/>
  </r>
  <r>
    <n v="9751869"/>
    <n v="11"/>
    <s v="20114938"/>
    <s v="LIBERTY CABLEVISION OF PUERTO RICO, INC."/>
    <d v="2016-10-07T16:03:31"/>
    <d v="2016-10-07T16:03:31"/>
    <s v="100lbs Or Less Use Fedex 2ndDay Account 1388-5352-7.Shipments for 100 lbs TO 300LBS CONTACT DHL Economy .For pick up sju.domestic@dhl.com;armando.ocasio@dhl.com 310LBS OR MORE CONTACT YELLYANN.VELEZ@ARRIS.COM AND CC PURCHASING@LIBERTYPR.COM"/>
    <s v="DAVID"/>
    <s v="given to v to schedule"/>
    <s v="given to v to schedule DHL"/>
    <x v="0"/>
    <s v=""/>
    <s v="10/12 email has been sent to the carrier and the csr to arrange pick up"/>
    <s v=""/>
    <s v=""/>
    <s v=""/>
    <x v="6"/>
  </r>
  <r>
    <n v="9751932"/>
    <n v="2"/>
    <s v="20106720"/>
    <s v="COMCAST"/>
    <d v="2016-10-08T03:52:10"/>
    <d v="2016-10-08T03:52:10"/>
    <s v="UNDER 200LBS UNPALLETIZED OR SINGLE BOX UNDER 150LBS USE FEDEX #128153870 OVER 200LBS USE OMNI LOGISTICS ACCT COMCASTLSS-COMCASTLSS@OMNILOGISTICS.COM 866-247-6664"/>
    <s v="DAVID"/>
    <s v="x"/>
    <s v="SCHEDULE WITH V OMNI"/>
    <x v="0"/>
    <s v=""/>
    <s v=""/>
    <e v="#N/A"/>
    <s v=""/>
    <s v=""/>
    <x v="7"/>
  </r>
  <r>
    <n v="9751937"/>
    <n v="1"/>
    <s v="20111522"/>
    <s v="COMCAST"/>
    <d v="2016-10-08T03:52:10"/>
    <d v="2016-10-08T03:52:10"/>
    <s v="UNDER 200LBS UNPALLETIZED OR SINGLE BOX UNDER 150LBS USE FEDEX #128153870 OVER 200LBS USE OMNI LOGISTICS ACCT COMCASTLSS-COMCASTLSS@OMNILOGISTICS.COM 866-247-6664"/>
    <s v="DAVID"/>
    <s v="x"/>
    <s v="PIR - Part number (OP95F1S-42-R2-AS / QTY 1) last update 10/12/2016"/>
    <x v="0"/>
    <s v=""/>
    <s v="PIR"/>
    <s v=""/>
    <s v=""/>
    <s v=""/>
    <x v="7"/>
  </r>
  <r>
    <n v="9751976"/>
    <n v="1"/>
    <s v="6901385"/>
    <s v="CHARTER"/>
    <d v="2016-10-08T03:52:11"/>
    <d v="2016-10-08T03:52:11"/>
    <s v=""/>
    <s v="JULIO"/>
    <s v="x"/>
    <s v="PIR / missing part # (DP35M04D0NB2S-0LB-UL). QTY 1pc needed to complete order. Last known location R23P13L3 (last updated 10/12/2016)"/>
    <x v="0"/>
    <s v=""/>
    <n v="42651"/>
    <s v=""/>
    <s v=""/>
    <s v=""/>
    <x v="7"/>
  </r>
  <r>
    <n v="9751981"/>
    <n v="1"/>
    <s v="92001326"/>
    <s v="DERY TELECOM"/>
    <d v="2016-10-08T03:52:12"/>
    <d v="2016-10-08T03:52:12"/>
    <s v="Contact gabriel.villeneuve@derytelecom.ca Ph:418-544-3358 Ext 5506 with pieces/wt-Skid: CK Logistics team1@cklogistics.ca Appasone Samonekeo asamonekeo@cklogistics.ca 877-856-7580 ext 3391-Ph: 514-856-7580 ext 3422-Parcel:UPS Acct #5R0W90"/>
    <s v="JULIO"/>
    <s v="x"/>
    <s v="PIR - PART NUMBER OP9401-0-RW-AS QTY 1PC NO LOCATION FOUND (LAST UPDATED 10/12/2016)"/>
    <x v="0"/>
    <s v=""/>
    <s v="PIR"/>
    <s v=""/>
    <s v=""/>
    <s v=""/>
    <x v="7"/>
  </r>
  <r>
    <n v="9751982"/>
    <n v="1"/>
    <s v="92001322"/>
    <s v="DERY TELECOM"/>
    <d v="2016-10-08T03:52:12"/>
    <d v="2016-10-08T03:52:12"/>
    <s v="Contact gabriel.villeneuve@derytelecom.ca Ph:418-544-3358 Ext 5506 with pieces/wt-Skid: CK Logistics team1@cklogistics.ca Appasone Samonekeo asamonekeo@cklogistics.ca 877-856-7580 ext 3391-Ph: 514-856-7580 ext 3422-Parcel:UPS Acct #5R0W90"/>
    <s v="JULIO"/>
    <s v="x"/>
    <s v="PIR - PART NUMBER OP9401-0-RW-AS QTY 1PC NO LOCATION FOUND (LAST UPDATED 10/12/2016)"/>
    <x v="0"/>
    <s v=""/>
    <s v="PIR"/>
    <s v=""/>
    <s v=""/>
    <s v=""/>
    <x v="7"/>
  </r>
  <r>
    <n v="9752135"/>
    <n v="8"/>
    <s v="20115563"/>
    <s v="COMCAST"/>
    <d v="2016-10-10T01:05:26"/>
    <d v="2016-10-10T01:05:26"/>
    <s v="UNDER 200LBS UNPALLETIZED OR SINGLE BOX UNDER 150LBS USE FEDEX #128153870 OVER 200LBS USE OMNI LOGISTICS ACCT COMCASTLSS-COMCASTLSS@OMNILOGISTICS.COM 866-247-6664"/>
    <s v="JULIO"/>
    <s v="x"/>
    <s v="PIR - PART NUMBER B031A4-100-H12F-0-AS / QTY 1. No inventory found last updated 10/12/2016"/>
    <x v="0"/>
    <s v=""/>
    <s v="future date of 10/12"/>
    <s v=""/>
    <s v=""/>
    <s v=""/>
    <x v="10"/>
  </r>
  <r>
    <n v="9752140"/>
    <n v="2"/>
    <s v="20109817"/>
    <s v="CABLE ONE"/>
    <d v="2016-10-10T01:05:26"/>
    <d v="2016-10-10T01:05:26"/>
    <s v=""/>
    <s v="JULIO"/>
    <s v="x"/>
    <s v="PIR - PART NUMBER OP15D40U-0-99-AS QTY 2PC. No inventory found (last updated 10/12/2016)"/>
    <x v="0"/>
    <s v=""/>
    <s v="future date of 10/12"/>
    <s v=""/>
    <s v=""/>
    <s v=""/>
    <x v="10"/>
  </r>
  <r>
    <n v="9752141"/>
    <n v="1"/>
    <s v="6900482"/>
    <s v="NATIONAL CABLE TELEVISION COOP"/>
    <d v="2016-10-10T01:05:26"/>
    <d v="2016-10-10T01:05:26"/>
    <s v=""/>
    <s v="JULIO"/>
    <s v="x"/>
    <s v="INVALID SERIAL 2/3 SN NOT FOUND IN DATA BASE meaning was not fully received in correctly. Awaiting instructions on how to proceed. Last updated 10/12/2016 "/>
    <x v="0"/>
    <s v="10/10 given to Riza 7:40 am"/>
    <s v="10/10 given to Riza 7:40 am"/>
    <s v=""/>
    <s v=""/>
    <s v=""/>
    <x v="10"/>
  </r>
  <r>
    <n v="9752241"/>
    <n v="2"/>
    <s v="6900250"/>
    <s v="MIDCONTINENT COMMUNICATIONS"/>
    <d v="2016-10-10T11:04:01"/>
    <d v="2016-10-10T11:04:01"/>
    <s v=""/>
    <s v="JULIO"/>
    <s v="x"/>
    <s v="PIR - Part number (NC219A1HGE1-0000000 / QTY 10) 9 pieces were found in inventory, missing 1 pc to complete order. (last update 10/12/2016)"/>
    <x v="0"/>
    <s v="10/10 given to Riza 10:10 am"/>
    <s v="10/10 given to Riza 10:10 am"/>
    <s v=""/>
    <s v=""/>
    <s v=""/>
    <x v="7"/>
  </r>
  <r>
    <n v="9752358"/>
    <n v="4"/>
    <s v="20116096"/>
    <s v="CABLE ONE"/>
    <d v="2016-10-10T14:05:22"/>
    <d v="2016-10-10T14:05:22"/>
    <s v=""/>
    <s v="CURTIS"/>
    <s v="x"/>
    <s v="PIR - part number (AR40003G-AS / QTY 1) zero inventory found (last update 10/12/2016)"/>
    <x v="0"/>
    <s v="10/10 given to Riza 11:40 am"/>
    <s v="10/10 given to Riza 11:40 am"/>
    <s v=""/>
    <s v=""/>
    <s v=""/>
    <x v="7"/>
  </r>
  <r>
    <n v="9752369"/>
    <n v="12"/>
    <s v="20115702"/>
    <s v="CABLE ONE"/>
    <d v="2016-10-10T15:05:27"/>
    <d v="2016-10-10T15:05:27"/>
    <s v=""/>
    <s v="DAVID"/>
    <s v="x"/>
    <s v="pick ticket has no locations listed for any of the parts. This happens when an order is zero picked and resubmitted in oracle. A new pick ticket with proper location(s) needs to be resubmitted in for order completion. Viviana to request service from Arris rep on this task. last update 10/12/2016"/>
    <x v="0"/>
    <s v="10/10 given to Austin 1:32 pm"/>
    <s v="10/10 given to Austin 1:32 pm"/>
    <s v=""/>
    <s v=""/>
    <s v=""/>
    <x v="7"/>
  </r>
  <r>
    <n v="9752395"/>
    <n v="1"/>
    <s v="90710900"/>
    <s v="ARRIS TECHNOLOGY, INC."/>
    <d v="2016-10-10T17:04:10"/>
    <d v="2016-10-10T17:04:10"/>
    <s v=""/>
    <s v=""/>
    <s v=""/>
    <s v=""/>
    <x v="2"/>
    <s v=""/>
    <s v="future date 10/14"/>
    <s v=""/>
    <s v=""/>
    <s v=""/>
    <x v="7"/>
  </r>
  <r>
    <n v="9752590"/>
    <n v="1"/>
    <s v="20112894"/>
    <s v="COMCAST"/>
    <d v="2016-10-11T01:03:57"/>
    <d v="2016-10-11T01:03:57"/>
    <s v="UNDER 200LBS UNPALLETIZED OR SINGLE BOX UNDER 150LBS USE FEDEX #128153870 OVER 200LBS USE OMNI LOGISTICS ACCT COMCASTLSS-COMCASTLSS@OMNILOGISTICS.COM 866-247-6664"/>
    <s v="JULIO"/>
    <s v="x"/>
    <s v="Serial numbers show not found in database. Receiving error as they were not scanned into high jump when they were received in. Awaiting instructions on how to proceed Last updated 10/12/2016"/>
    <x v="0"/>
    <s v="10/12 given to Riza 08:15 am"/>
    <s v="10/12 given to Riza 08:15 am"/>
    <s v=""/>
    <s v=""/>
    <s v=""/>
    <x v="11"/>
  </r>
  <r>
    <n v="9752597"/>
    <n v="1"/>
    <s v="20111098"/>
    <s v="CABLEMAS, S.A. DE C.V."/>
    <d v="2016-10-11T01:03:58"/>
    <d v="2016-10-11T01:03:58"/>
    <s v="FOR EXW SEND W&amp;D TO CSR. MARITA.FERNANDEZ@ARRIS.COM. FOR FCA CONTACT FF."/>
    <s v="DAVID"/>
    <s v="given to v to schedule"/>
    <s v="given to v to schedule"/>
    <x v="0"/>
    <s v="10/11 given to william 7:50 am"/>
    <s v="10/11 freight is ready to ship will be scheduled for pick up tomorrow. Received at 6:31 pm 10/11_x000a_10/12 email has been sent to the carrier and the csr Marita to arrange pick up"/>
    <s v=""/>
    <s v=""/>
    <s v=""/>
    <x v="11"/>
  </r>
  <r>
    <n v="9752651"/>
    <n v="1"/>
    <s v="20111078"/>
    <s v="VTR"/>
    <d v="2016-10-11T03:39:06"/>
    <d v="2016-10-11T03:39:06"/>
    <s v="SHIP CIF PPD OCEAN TO (PORT) PUERTO CHILE VALPARAISO. CUSTOMERS BROKER IN CHILE-Agencia de aduanas Patricio Larranaga y Cia Limitada-Matias Cousino 150 Of 540 Santiago.Email-ccaqueo@plk.cl and jponce@plk.cl. PH:01156226766251 "/>
    <s v="AUSTIN"/>
    <s v="given to v to schedule"/>
    <s v="given to v to schedule"/>
    <x v="0"/>
    <s v="10/11 given to william 7:50 am"/>
    <s v="10/11 Ready to ship  freight will be scheduled with Expeditors._x000a_10/12 shipment has been approved to ship via ocean to CL, will be shipping tomorrow 10/13"/>
    <s v=""/>
    <s v=""/>
    <s v=""/>
    <x v="9"/>
  </r>
  <r>
    <n v="9752653"/>
    <n v="2"/>
    <s v="6901101"/>
    <s v="ROGERS CABLE"/>
    <d v="2016-10-11T03:39:06"/>
    <d v="2016-10-11T03:39:06"/>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s v="DAVID"/>
    <s v="x"/>
    <s v="PIR - Part number BP3001 / QTY 150PC. Zero parts found in  inventory and all previous locations checked (last updated 10/12/2016)"/>
    <x v="0"/>
    <s v="10/11 given to william 7:50 am"/>
    <s v="10/11 given to william 7:50 am"/>
    <s v=""/>
    <s v=""/>
    <s v=""/>
    <x v="9"/>
  </r>
  <r>
    <n v="9752798"/>
    <n v="1"/>
    <s v="6900851"/>
    <s v="CABLEMAS, S.A. DE C.V."/>
    <d v="2016-10-11T12:02:46"/>
    <d v="2016-10-11T12:02:46"/>
    <s v="Call for Pick Up: Herlinda Marquez Cedillo - hmarquez@izzi.mx - Andres Del Rosario Perez - adelrosario@cablemas.com.mx - Tel#: 011 52 55 4122 8870 - WOOD PALLETS ONLY"/>
    <s v="JULIO"/>
    <s v="given to v to schedule"/>
    <s v="given to v to schedule"/>
    <x v="0"/>
    <s v="10/11 given to Riza 2:00 PM"/>
    <s v="10/12 email has been sent to the carrier and the csr  Marita to arrange pick up"/>
    <s v=""/>
    <s v=""/>
    <s v=""/>
    <x v="9"/>
  </r>
  <r>
    <n v="9752799"/>
    <n v="1"/>
    <s v="6901031"/>
    <s v="CABLEMAS, S.A. DE C.V."/>
    <d v="2016-10-11T12:02:46"/>
    <d v="2016-10-11T12:02:46"/>
    <s v="Call for Pick Up: Herlinda Marquez Cedillo - hmarquez@izzi.mx - Andres Del Rosario Perez - adelrosario@cablemas.com.mx - Tel#: 011 52 55 4122 8870 - WOOD PALLETS ONLY"/>
    <s v=""/>
    <s v=""/>
    <s v=""/>
    <x v="3"/>
    <s v="10/11 given to Riza 2:00 PM"/>
    <s v="10/11 given to Riza 2:00 PM"/>
    <s v=""/>
    <s v=""/>
    <s v=""/>
    <x v="9"/>
  </r>
  <r>
    <n v="9752897"/>
    <n v="3"/>
    <s v="90710912"/>
    <s v="ARRIS SOLUTIONS, INC."/>
    <d v="2016-10-11T19:04:43"/>
    <d v="2016-10-11T19:04:43"/>
    <s v="**Less than 10 pallets Use UPS freight line, on Consolidate shipment over than 10 pallets use KSC freight FTL truckload**"/>
    <s v="JULIO"/>
    <s v="UPS FREIGHT-999637951"/>
    <s v="fully shipped"/>
    <x v="0"/>
    <s v=""/>
    <s v="10/12 order is in pick in progress"/>
    <s v=""/>
    <s v=""/>
    <s v=""/>
    <x v="9"/>
  </r>
  <r>
    <n v="9752958"/>
    <n v="1"/>
    <s v="20116211"/>
    <s v="SCSK CORPORATION"/>
    <d v="2016-10-11T23:04:44"/>
    <d v="2016-10-11T23:04:44"/>
    <s v="This is DOA replacement order. Please ship the order via FEDEX Economy Service using ARRIS Account#."/>
    <s v="JULIO"/>
    <s v=""/>
    <s v=""/>
    <x v="1"/>
    <s v=""/>
    <s v="10/12 order is in pick in progress"/>
    <s v=""/>
    <s v=""/>
    <s v=""/>
    <x v="9"/>
  </r>
  <r>
    <n v="9752959"/>
    <n v="1"/>
    <s v="20116217"/>
    <s v="SCSK CORPORATION"/>
    <d v="2016-10-11T23:04:44"/>
    <d v="2016-10-11T23:04:44"/>
    <s v="This is DOA replacement order. Pleaser ship via FEDEX Economy usin ARRIS Account#"/>
    <s v="JULIO"/>
    <s v=""/>
    <s v="SCHEDULE WITH V SCSK"/>
    <x v="1"/>
    <s v=""/>
    <s v="10/12 order is in pick in progress"/>
    <s v=""/>
    <s v=""/>
    <s v=""/>
    <x v="9"/>
  </r>
  <r>
    <n v="9753005"/>
    <n v="2"/>
    <s v="20110666"/>
    <s v="COMCAST"/>
    <d v="2016-10-12T01:04:40"/>
    <d v="2016-10-12T01:04:40"/>
    <s v="UNDER 200LBS UNPALLETIZED OR SINGLE BOX UNDER 150LBS USE FEDEX #128153870 OVER 200LBS USE OMNI LOGISTICS ACCT COMCASTLSS-COMCASTLSS@OMNILOGISTICS.COM 866-247-6664"/>
    <s v=""/>
    <s v=""/>
    <s v=""/>
    <x v="4"/>
    <s v=""/>
    <s v="future date 10/14"/>
    <s v=""/>
    <s v=""/>
    <s v=""/>
    <x v="12"/>
  </r>
  <r>
    <n v="9753082"/>
    <n v="9"/>
    <s v="90710916"/>
    <s v="ARRIS TECHNOLOGY, INC."/>
    <d v="2016-10-12T03:15:38"/>
    <d v="2016-10-12T03:15:38"/>
    <s v=""/>
    <s v=""/>
    <s v=""/>
    <s v=""/>
    <x v="2"/>
    <s v=""/>
    <s v="future date 10/14"/>
    <s v=""/>
    <s v=""/>
    <s v=""/>
    <x v="10"/>
  </r>
  <r>
    <n v="9753324"/>
    <n v="2"/>
    <s v="20116478"/>
    <s v="COMCAST"/>
    <d v="2016-10-12T15:04:29"/>
    <d v="2016-10-12T15:04:29"/>
    <s v="UNDER 200LBS UNPALLETIZED OR SINGLE BOX UNDER 150LBS USE FEDEX #128153870 OVER 200LBS USE OMNI LOGISTICS ACCT COMCASTLSS-COMCASTLSS@OMNILOGISTICS.COM 866-247-6664"/>
    <s v=""/>
    <s v=""/>
    <s v=""/>
    <x v="3"/>
    <s v="10/12 given to Riza 12:00 pm"/>
    <s v="10/12 given to Riza 12:00 pm"/>
    <s v=""/>
    <s v=""/>
    <s v=""/>
    <x v="10"/>
  </r>
  <r>
    <n v="9753344"/>
    <n v="9"/>
    <s v="20116471"/>
    <s v="COMCAST"/>
    <d v="2016-10-12T16:04:13"/>
    <d v="2016-10-12T16:04:13"/>
    <s v="UNDER 200LBS UNPALLETIZED OR SINGLE BOX UNDER 150LBS USE FEDEX #128153870 OVER 200LBS USE OMNI LOGISTICS ACCT COMCASTLSS-COMCASTLSS@OMNILOGISTICS.COM 866-247-6664"/>
    <s v=""/>
    <s v=""/>
    <s v=""/>
    <x v="3"/>
    <s v="10/12 given to Riza 12:00 pm"/>
    <s v="10/12 given to Riza 12:00 pm"/>
    <s v=""/>
    <s v=""/>
    <s v=""/>
    <x v="10"/>
  </r>
  <r>
    <n v="9753345"/>
    <n v="2"/>
    <s v="90710542"/>
    <s v="ARRIS TECHNOLOGY, INC."/>
    <d v="2016-10-12T16:04:13"/>
    <d v="2016-10-12T16:04:13"/>
    <s v=""/>
    <s v=""/>
    <s v=""/>
    <s v=""/>
    <x v="3"/>
    <s v="10/12 given to Riza 12:00 pm"/>
    <s v="10/12 given to Riza 12:00 pm"/>
    <s v=""/>
    <s v=""/>
    <s v=""/>
    <x v="9"/>
  </r>
  <r>
    <n v="9753363"/>
    <n v="19"/>
    <s v="20116418"/>
    <s v="COMCAST"/>
    <d v="2016-10-12T17:04:23"/>
    <d v="2016-10-12T17:04:23"/>
    <s v="UNDER 200LBS UNPALLETIZED OR SINGLE BOX UNDER 150LBS USE FEDEX #128153870 OVER 200LBS USE OMNI LOGISTICS ACCT COMCASTLSS-COMCASTLSS@OMNILOGISTICS.COM 866-247-6664"/>
    <s v="JULIO"/>
    <s v=""/>
    <s v="SCHEDULE WITH V OMNI"/>
    <x v="1"/>
    <s v="10/12 given to Austin 2:30 pm"/>
    <s v="10/12 given to Austin 2:30 pm"/>
    <s v=""/>
    <s v=""/>
    <s v=""/>
    <x v="10"/>
  </r>
  <r>
    <n v="9753364"/>
    <n v="12"/>
    <s v="20116473"/>
    <s v="COMCAST"/>
    <d v="2016-10-12T17:04:23"/>
    <d v="2016-10-12T17:04:23"/>
    <s v="UNDER 200LBS UNPALLETIZED OR SINGLE BOX UNDER 150LBS USE FEDEX #128153870 OVER 200LBS USE OMNI LOGISTICS ACCT COMCASTLSS-COMCASTLSS@OMNILOGISTICS.COM 866-247-6664"/>
    <s v="DAVID"/>
    <s v=""/>
    <s v="SCHEDULE WITH V OMNI"/>
    <x v="1"/>
    <s v="10/12 given to Austin 2:30 pm"/>
    <s v="10/12 given to Austin 2:30 pm"/>
    <s v=""/>
    <s v=""/>
    <s v=""/>
    <x v="10"/>
  </r>
  <r>
    <n v="9753390"/>
    <n v="11"/>
    <s v="20116482"/>
    <s v="COMCAST"/>
    <d v="2016-10-12T18:04:32"/>
    <d v="2016-10-12T18:04:32"/>
    <s v="UNDER 200LBS UNPALLETIZED OR SINGLE BOX UNDER 150LBS USE FEDEX #128153870 OVER 200LBS USE OMNI LOGISTICS ACCT COMCASTLSS-COMCASTLSS@OMNILOGISTICS.COM 866-247-6664"/>
    <s v="JULIO"/>
    <s v=""/>
    <s v="SCHEDULE WITH V OMNI"/>
    <x v="1"/>
    <s v=""/>
    <s v="10/12 pick printed after 12 pm, will be processed tomorrow 10/13 given to Will"/>
    <s v=""/>
    <s v=""/>
    <s v=""/>
    <x v="10"/>
  </r>
  <r>
    <n v="9753413"/>
    <n v="1"/>
    <s v="90710927"/>
    <s v="ARRIS TECHNOLOGY, INC."/>
    <d v="2016-10-12T21:04:27"/>
    <d v="2016-10-12T21:04:27"/>
    <s v=""/>
    <s v="JULIO"/>
    <s v=""/>
    <s v=""/>
    <x v="1"/>
    <s v=""/>
    <s v="10/12 pick printed after 12 pm, will be processed tomorrow 10/13 given to Will"/>
    <s v=""/>
    <s v=""/>
    <s v=""/>
    <x v="10"/>
  </r>
  <r>
    <n v="9753492"/>
    <n v="7"/>
    <s v="20116327"/>
    <s v="COMCAST"/>
    <d v="2016-10-13T01:05:11"/>
    <d v="2016-10-13T01:05:11"/>
    <s v="UNDER 200LBS UNPALLETIZED OR SINGLE BOX UNDER 150LBS USE FEDEX #128153870 OVER 200LBS USE OMNI LOGISTICS ACCT COMCASTLSS-COMCASTLSS@OMNILOGISTICS.COM 866-247-6664"/>
    <s v=""/>
    <s v=""/>
    <s v=""/>
    <x v="4"/>
    <s v=""/>
    <s v=""/>
    <e v="#N/A"/>
    <s v=""/>
    <s v=""/>
    <x v="13"/>
  </r>
  <r>
    <n v="9753493"/>
    <n v="1"/>
    <s v="20106387"/>
    <s v="COMCAST"/>
    <d v="2016-10-13T01:05:11"/>
    <d v="2016-10-13T01:05:11"/>
    <s v="UNDER 200LBS UNPALLETIZED OR SINGLE BOX UNDER 150LBS USE FEDEX #128153870 OVER 200LBS USE OMNI LOGISTICS ACCT COMCASTLSS-COMCASTLSS@OMNILOGISTICS.COM 866-247-6664"/>
    <s v=""/>
    <s v=""/>
    <s v=""/>
    <x v="4"/>
    <s v=""/>
    <s v=""/>
    <e v="#N/A"/>
    <s v=""/>
    <s v=""/>
    <x v="13"/>
  </r>
  <r>
    <n v="9753494"/>
    <n v="1"/>
    <s v="6900931"/>
    <s v="CHARTER"/>
    <d v="2016-10-13T01:05:11"/>
    <d v="2016-10-13T01:05:11"/>
    <s v=""/>
    <s v=""/>
    <s v=""/>
    <s v=""/>
    <x v="4"/>
    <s v=""/>
    <s v=""/>
    <e v="#N/A"/>
    <s v=""/>
    <s v=""/>
    <x v="13"/>
  </r>
  <r>
    <n v="9753495"/>
    <n v="1"/>
    <s v="6901055"/>
    <s v="CHARTER"/>
    <d v="2016-10-13T01:05:11"/>
    <d v="2016-10-13T01:05:11"/>
    <s v=""/>
    <s v=""/>
    <s v=""/>
    <s v=""/>
    <x v="4"/>
    <s v=""/>
    <s v=""/>
    <e v="#N/A"/>
    <s v=""/>
    <s v=""/>
    <x v="13"/>
  </r>
  <r>
    <n v="9753496"/>
    <n v="2"/>
    <s v="6901169"/>
    <s v="CHARTER"/>
    <d v="2016-10-13T01:05:11"/>
    <d v="2016-10-13T01:05:11"/>
    <s v=""/>
    <s v=""/>
    <s v=""/>
    <s v=""/>
    <x v="4"/>
    <s v=""/>
    <s v=""/>
    <e v="#N/A"/>
    <s v=""/>
    <s v=""/>
    <x v="13"/>
  </r>
  <r>
    <n v="9753497"/>
    <n v="1"/>
    <s v="6900739"/>
    <s v="CHARTER"/>
    <d v="2016-10-13T01:05:12"/>
    <d v="2016-10-13T01:05:12"/>
    <s v=""/>
    <s v=""/>
    <s v=""/>
    <s v=""/>
    <x v="4"/>
    <s v=""/>
    <s v=""/>
    <e v="#N/A"/>
    <s v=""/>
    <s v=""/>
    <x v="13"/>
  </r>
  <r>
    <n v="9753498"/>
    <n v="3"/>
    <s v="6900799"/>
    <s v="CHARTER"/>
    <d v="2016-10-13T01:05:12"/>
    <d v="2016-10-13T01:05:12"/>
    <s v=""/>
    <s v=""/>
    <s v=""/>
    <s v=""/>
    <x v="4"/>
    <s v=""/>
    <s v=""/>
    <e v="#N/A"/>
    <s v=""/>
    <s v=""/>
    <x v="13"/>
  </r>
  <r>
    <n v="9753499"/>
    <n v="2"/>
    <s v="6900800"/>
    <s v="CHARTER"/>
    <d v="2016-10-13T01:05:12"/>
    <d v="2016-10-13T01:05:12"/>
    <s v=""/>
    <s v=""/>
    <s v=""/>
    <s v=""/>
    <x v="4"/>
    <s v=""/>
    <s v=""/>
    <e v="#N/A"/>
    <s v=""/>
    <s v=""/>
    <x v="13"/>
  </r>
  <r>
    <n v="9753500"/>
    <n v="1"/>
    <s v="6900865"/>
    <s v="CHARTER"/>
    <d v="2016-10-13T01:05:12"/>
    <d v="2016-10-13T01:05:12"/>
    <s v=""/>
    <s v=""/>
    <s v=""/>
    <s v=""/>
    <x v="4"/>
    <s v=""/>
    <s v=""/>
    <e v="#N/A"/>
    <s v=""/>
    <s v=""/>
    <x v="13"/>
  </r>
  <r>
    <n v="9753501"/>
    <n v="2"/>
    <s v="6901384"/>
    <s v="NSG TECHNOLOGY INC"/>
    <d v="2016-10-13T01:05:12"/>
    <d v="2016-10-13T01:05:12"/>
    <s v="Arris provides transportation to NSG"/>
    <s v=""/>
    <s v=""/>
    <s v=""/>
    <x v="4"/>
    <s v=""/>
    <s v=""/>
    <e v="#N/A"/>
    <s v=""/>
    <s v=""/>
    <x v="13"/>
  </r>
  <r>
    <n v="9753502"/>
    <n v="1"/>
    <s v="6901039"/>
    <s v="NSG TECHNOLOGY INC"/>
    <d v="2016-10-13T01:05:12"/>
    <d v="2016-10-13T01:05:12"/>
    <s v="Arris provides transportation to NSG"/>
    <s v=""/>
    <s v=""/>
    <s v=""/>
    <x v="4"/>
    <s v=""/>
    <s v=""/>
    <e v="#N/A"/>
    <s v=""/>
    <s v=""/>
    <x v="13"/>
  </r>
  <r>
    <n v="9753589"/>
    <n v="1"/>
    <s v="20109259"/>
    <s v="SHENZHEN DONYAN TECHNOLOGY CO LTD"/>
    <d v="2016-10-13T09:04:48"/>
    <d v="2016-10-13T09:04:48"/>
    <s v="Please contact EXPEDITORS /Agnieszka Tarchala/ Agnieszka.Tarchala@expeditors.com/Tel: 630-616-2338 /cyrus.li@expeditors.com/nicki.zhang@expeditors.com/ any question, please contact Joanna.li@arris.com"/>
    <s v="JULIO"/>
    <s v=""/>
    <s v=""/>
    <x v="1"/>
    <s v=""/>
    <s v="10/13 given to Will 07:20 am"/>
    <s v=""/>
    <s v=""/>
    <s v=""/>
    <x v="11"/>
  </r>
  <r>
    <n v="9753629"/>
    <n v="7"/>
    <s v="20116613"/>
    <s v="CHARTER"/>
    <d v="2016-10-13T11:06:27"/>
    <d v="2016-10-13T11:06:27"/>
    <s v="Delivery Instructions-RECEIVING HOURS 7a-3:30p M-F"/>
    <s v="JULIO"/>
    <s v=""/>
    <s v=""/>
    <x v="1"/>
    <s v=""/>
    <s v="10/13/2016 given to Riza 11AM "/>
    <s v=""/>
    <s v=""/>
    <s v=""/>
    <x v="11"/>
  </r>
  <r>
    <n v="9753703"/>
    <n v="1"/>
    <s v="6900585"/>
    <s v="CABLE LINK INC"/>
    <d v="2016-10-13T14:04:21"/>
    <d v="2016-10-13T14:04:21"/>
    <s v="Contact freight forwarder for pick-up ; ACSI Transport; c/o Mr. Tom Gonzales ; 650-225-9040; ; F 650.225.9042 ; C 415.335.0759; T 650.225.9040 F 650.225.9042 ; C 415.335.0759 Email: acsi-sfo@acsitrans.com; Alt. Email: acsitrans@gmail.com;"/>
    <s v="JULIO"/>
    <s v=""/>
    <s v=""/>
    <x v="1"/>
    <s v=""/>
    <s v="10/13/2016 given to Riza 11AM "/>
    <s v=""/>
    <s v=""/>
    <s v=""/>
    <x v="11"/>
  </r>
  <r>
    <n v="9753704"/>
    <n v="14"/>
    <s v="20116604"/>
    <s v="NATIONAL CABLE TELEVISION COOP"/>
    <d v="2016-10-13T14:04:21"/>
    <d v="2016-10-13T14:04:21"/>
    <s v="JERRY SCULLAWL 480-895-8010"/>
    <s v="JULIO"/>
    <s v=""/>
    <s v=""/>
    <x v="1"/>
    <s v=""/>
    <s v="10/13/2016 given to Riza 11AM "/>
    <s v=""/>
    <s v=""/>
    <s v=""/>
    <x v="11"/>
  </r>
  <r>
    <n v="9753744"/>
    <n v="15"/>
    <s v="20116616"/>
    <s v="COMCAST"/>
    <d v="2016-10-13T15:18:02"/>
    <d v="2016-10-13T15:18:02"/>
    <s v="UNDER 200LBS UNPALLETIZED OR SINGLE BOX UNDER 150LBS USE FEDEX #128153870 OVER 200LBS USE OMNI LOGISTICS ACCT COMCASTLSS-COMCASTLSS@OMNILOGISTICS.COM 866-247-6664"/>
    <s v=""/>
    <s v=""/>
    <s v=""/>
    <x v="2"/>
    <s v=""/>
    <s v=""/>
    <e v="#N/A"/>
    <s v=""/>
    <s v=""/>
    <x v="11"/>
  </r>
  <r>
    <n v="9753745"/>
    <n v="2"/>
    <s v="90710937"/>
    <s v="ARRIS TECHNOLOGY, INC."/>
    <d v="2016-10-13T15:18:02"/>
    <d v="2016-10-13T15:18:02"/>
    <s v=""/>
    <s v=""/>
    <s v=""/>
    <s v=""/>
    <x v="2"/>
    <s v=""/>
    <s v=""/>
    <e v="#N/A"/>
    <s v=""/>
    <s v=""/>
    <x v="11"/>
  </r>
  <r>
    <n v="9753746"/>
    <n v="1"/>
    <s v="6901044"/>
    <s v="CABLE ONE"/>
    <d v="2016-10-13T15:18:02"/>
    <d v="2016-10-13T15:18:02"/>
    <s v=""/>
    <s v=""/>
    <s v=""/>
    <s v=""/>
    <x v="2"/>
    <s v=""/>
    <s v=""/>
    <e v="#N/A"/>
    <s v=""/>
    <s v=""/>
    <x v="11"/>
  </r>
  <r>
    <n v="9753747"/>
    <n v="1"/>
    <s v="20116700"/>
    <s v="NATIONAL CABLE TELEVISION COOP"/>
    <d v="2016-10-13T15:18:03"/>
    <d v="2016-10-13T15:18:03"/>
    <s v="MICHAEL HERBERT C/O JAN GOAD 907-868-7165"/>
    <s v=""/>
    <s v=""/>
    <s v=""/>
    <x v="2"/>
    <s v=""/>
    <s v=""/>
    <e v="#N/A"/>
    <s v=""/>
    <s v=""/>
    <x v="11"/>
  </r>
  <r>
    <n v="9753792"/>
    <n v="5"/>
    <s v="6900517"/>
    <s v="MEDIACOM"/>
    <d v="2016-10-13T16:04:46"/>
    <d v="2016-10-13T16:04:46"/>
    <s v="ship per Mediacom Routing Guide dated 21-Sep-2015, Contact Echo 800-354-7993 x2753 or mediacom@echo.com 'ECO for LTL shipments over 100 lbs Ship PPD&amp;ADD on orders 100 lbs or less'"/>
    <s v=""/>
    <s v=""/>
    <s v=""/>
    <x v="2"/>
    <s v=""/>
    <s v=""/>
    <e v="#N/A"/>
    <s v=""/>
    <s v=""/>
    <x v="11"/>
  </r>
  <r>
    <n v="9753793"/>
    <n v="10"/>
    <s v="20116672"/>
    <s v="COMCAST"/>
    <d v="2016-10-13T16:04:46"/>
    <d v="2016-10-13T16:04:46"/>
    <s v="UNDER 200LBS UNPALLETIZED OR SINGLE BOX UNDER 150LBS USE FEDEX #128153870 OVER 200LBS USE OMNI LOGISTICS ACCT COMCASTLSS-COMCASTLSS@OMNILOGISTICS.COM 866-247-6664"/>
    <s v=""/>
    <s v=""/>
    <s v=""/>
    <x v="2"/>
    <s v=""/>
    <s v=""/>
    <e v="#N/A"/>
    <s v=""/>
    <s v=""/>
    <x v="11"/>
  </r>
  <r>
    <n v="9753794"/>
    <n v="17"/>
    <s v="20116656"/>
    <s v="COMCAST"/>
    <d v="2016-10-13T16:04:46"/>
    <d v="2016-10-13T16:04:46"/>
    <s v="UNDER 200LBS UNPALLETIZED OR SINGLE BOX UNDER 150LBS USE FEDEX #128153870 OVER 200LBS USE OMNI LOGISTICS ACCT COMCASTLSS-COMCASTLSS@OMNILOGISTICS.COM 866-247-6664"/>
    <s v=""/>
    <s v=""/>
    <s v=""/>
    <x v="2"/>
    <s v=""/>
    <s v=""/>
    <e v="#N/A"/>
    <s v=""/>
    <s v=""/>
    <x v="11"/>
  </r>
  <r>
    <n v="9753795"/>
    <n v="11"/>
    <s v="20114932"/>
    <s v="LIBERTY CABLEVISION OF PUERTO RICO, INC."/>
    <d v="2016-10-13T16:04:47"/>
    <d v="2016-10-13T16:04:47"/>
    <s v="100lbs Or Less Use Fedex 2ndDay Account 1388-5352-7.Shipments for 100 lbs TO 300LBS CONTACT DHL Economy .For pick up sju.domestic@dhl.com;armando.ocasio@dhl.com 310LBS OR MORE CONTACT YELLYANN.VELEZ@ARRIS.COM AND CC PURCHASING@LIBERTYPR.COM"/>
    <s v=""/>
    <s v=""/>
    <s v=""/>
    <x v="2"/>
    <s v=""/>
    <s v=""/>
    <e v="#N/A"/>
    <s v=""/>
    <s v=""/>
    <x v="9"/>
  </r>
  <r>
    <n v="9753796"/>
    <n v="1"/>
    <s v="20116742"/>
    <s v="NATIONAL CABLE TELEVISION COOP"/>
    <d v="2016-10-13T16:04:47"/>
    <d v="2016-10-13T16:04:47"/>
    <s v="DONALD STONE 240-420-3654 (REAR DOCK AREA)"/>
    <s v=""/>
    <s v=""/>
    <s v=""/>
    <x v="2"/>
    <s v=""/>
    <s v=""/>
    <e v="#N/A"/>
    <s v=""/>
    <s v=""/>
    <x v="11"/>
  </r>
  <r>
    <n v="9753811"/>
    <n v="14"/>
    <s v="20116659"/>
    <s v="COMCAST"/>
    <d v="2016-10-13T17:04:44"/>
    <d v="2016-10-13T17:04:44"/>
    <s v="UNDER 200LBS UNPALLETIZED OR SINGLE BOX UNDER 150LBS USE FEDEX #128153870 OVER 200LBS USE OMNI LOGISTICS ACCT COMCASTLSS-COMCASTLSS@OMNILOGISTICS.COM 866-247-6664"/>
    <s v=""/>
    <s v=""/>
    <s v=""/>
    <x v="2"/>
    <s v=""/>
    <s v=""/>
    <e v="#N/A"/>
    <s v=""/>
    <s v=""/>
    <x v="11"/>
  </r>
  <r>
    <n v="9753812"/>
    <n v="1"/>
    <s v="20112588"/>
    <s v="CABLE ONE"/>
    <d v="2016-10-13T17:04:44"/>
    <d v="2016-10-13T17:04:44"/>
    <s v=""/>
    <s v=""/>
    <s v=""/>
    <s v=""/>
    <x v="4"/>
    <s v=""/>
    <s v=""/>
    <e v="#N/A"/>
    <s v=""/>
    <s v=""/>
    <x v="12"/>
  </r>
  <r>
    <n v="9753813"/>
    <n v="2"/>
    <s v="20109014"/>
    <s v="CHARTER"/>
    <d v="2016-10-13T17:04:44"/>
    <d v="2016-10-13T17:04:44"/>
    <s v="Delivery Instructions-RECEIVING HOURS: 0700-1300"/>
    <s v=""/>
    <s v=""/>
    <s v=""/>
    <x v="2"/>
    <s v=""/>
    <s v=""/>
    <e v="#N/A"/>
    <s v=""/>
    <s v=""/>
    <x v="11"/>
  </r>
  <r>
    <n v="9753814"/>
    <n v="1"/>
    <s v="20109923"/>
    <s v="CHARTER"/>
    <d v="2016-10-13T17:04:44"/>
    <d v="2016-10-13T17:04:44"/>
    <s v="Delivery Instructions-RECEIVING HOURS: 0700-1300"/>
    <s v=""/>
    <s v=""/>
    <s v=""/>
    <x v="2"/>
    <s v=""/>
    <s v=""/>
    <e v="#N/A"/>
    <s v=""/>
    <s v=""/>
    <x v="11"/>
  </r>
  <r>
    <n v="9753815"/>
    <n v="1"/>
    <s v="20110937"/>
    <s v="CHARTER"/>
    <d v="2016-10-13T17:04:44"/>
    <d v="2016-10-13T17:04:44"/>
    <s v="Delivery Instructions-RECEIVING HOURS: 0700-1300"/>
    <s v=""/>
    <s v=""/>
    <s v=""/>
    <x v="4"/>
    <s v=""/>
    <s v=""/>
    <e v="#N/A"/>
    <s v=""/>
    <s v=""/>
    <x v="13"/>
  </r>
  <r>
    <n v="9753816"/>
    <n v="1"/>
    <s v="20107315"/>
    <s v="CHARTER"/>
    <d v="2016-10-13T17:04:44"/>
    <d v="2016-10-13T17:04:44"/>
    <s v="Delivery Instructions-NANCY YOUNT 314-565-7964;HOURS:0900-1400"/>
    <s v=""/>
    <s v=""/>
    <s v=""/>
    <x v="2"/>
    <s v=""/>
    <s v=""/>
    <e v="#N/A"/>
    <s v=""/>
    <s v=""/>
    <x v="11"/>
  </r>
  <r>
    <n v="9753837"/>
    <n v="1"/>
    <s v="20110169"/>
    <s v="CHARTER"/>
    <d v="2016-10-13T18:03:04"/>
    <d v="2016-10-13T18:03:04"/>
    <s v="Delivery Instructions-HOURS: 0700-1200;(678)226-3692"/>
    <s v=""/>
    <s v=""/>
    <s v=""/>
    <x v="2"/>
    <s v=""/>
    <s v=""/>
    <e v="#N/A"/>
    <s v=""/>
    <s v=""/>
    <x v="11"/>
  </r>
  <r>
    <n v="9753838"/>
    <n v="1"/>
    <s v="20109923"/>
    <s v="CHARTER"/>
    <d v="2016-10-13T18:03:04"/>
    <d v="2016-10-13T18:03:04"/>
    <s v="Delivery Instructions-RECEIVING HOURS: 0700-1300"/>
    <s v=""/>
    <s v=""/>
    <s v=""/>
    <x v="2"/>
    <s v=""/>
    <s v=""/>
    <e v="#N/A"/>
    <s v=""/>
    <s v=""/>
    <x v="11"/>
  </r>
  <r>
    <n v="9753839"/>
    <n v="2"/>
    <s v="20110943"/>
    <s v="CHARTER"/>
    <d v="2016-10-13T18:03:04"/>
    <d v="2016-10-13T18:03:04"/>
    <s v="Delivery Instructions-RECEIVING HOURS: 0700-1300"/>
    <s v=""/>
    <s v=""/>
    <s v=""/>
    <x v="4"/>
    <s v=""/>
    <s v=""/>
    <e v="#N/A"/>
    <s v=""/>
    <s v=""/>
    <x v="13"/>
  </r>
  <r>
    <n v="9753840"/>
    <n v="2"/>
    <s v="20110939"/>
    <s v="CHARTER"/>
    <d v="2016-10-13T18:03:04"/>
    <d v="2016-10-13T18:03:04"/>
    <s v="Delivery Instructions-RECEIVING HOURS: 0700-1300"/>
    <s v=""/>
    <s v=""/>
    <s v=""/>
    <x v="4"/>
    <s v=""/>
    <s v=""/>
    <e v="#N/A"/>
    <s v=""/>
    <s v=""/>
    <x v="13"/>
  </r>
  <r>
    <n v="9753841"/>
    <n v="1"/>
    <s v="20110937"/>
    <s v="CHARTER"/>
    <d v="2016-10-13T18:03:04"/>
    <d v="2016-10-13T18:03:04"/>
    <s v="Delivery Instructions-RECEIVING HOURS: 0700-1300"/>
    <s v=""/>
    <s v=""/>
    <s v=""/>
    <x v="4"/>
    <s v=""/>
    <s v=""/>
    <e v="#N/A"/>
    <s v=""/>
    <s v=""/>
    <x v="13"/>
  </r>
  <r>
    <n v="9753842"/>
    <n v="1"/>
    <s v="20110932"/>
    <s v="CHARTER"/>
    <d v="2016-10-13T18:03:04"/>
    <d v="2016-10-13T18:03:04"/>
    <s v="Delivery Instructions-RECEIVING HOURS: 0700-1300"/>
    <s v=""/>
    <s v=""/>
    <s v=""/>
    <x v="2"/>
    <s v=""/>
    <s v=""/>
    <e v="#N/A"/>
    <s v=""/>
    <s v=""/>
    <x v="11"/>
  </r>
  <r>
    <n v="9753843"/>
    <n v="1"/>
    <s v="20109924"/>
    <s v="CHARTER"/>
    <d v="2016-10-13T18:03:04"/>
    <d v="2016-10-13T18:03:04"/>
    <s v=""/>
    <s v=""/>
    <s v=""/>
    <s v=""/>
    <x v="2"/>
    <s v=""/>
    <s v=""/>
    <e v="#N/A"/>
    <s v=""/>
    <s v=""/>
    <x v="11"/>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r>
    <m/>
    <m/>
    <m/>
    <m/>
    <m/>
    <m/>
    <m/>
    <m/>
    <m/>
    <m/>
    <x v="5"/>
    <m/>
    <m/>
    <m/>
    <m/>
    <m/>
    <x v="14"/>
  </r>
</pivotCacheRecords>
</file>

<file path=xl/pivotCache/pivotCacheRecords4.xml><?xml version="1.0" encoding="utf-8"?>
<pivotCacheRecords xmlns="http://schemas.openxmlformats.org/spreadsheetml/2006/main" xmlns:r="http://schemas.openxmlformats.org/officeDocument/2006/relationships" count="381">
  <r>
    <s v="SJ2"/>
    <s v="5000319"/>
    <s v="ROGERS CABLE"/>
    <s v="160885"/>
    <s v="R023P11L1"/>
    <s v="SJ2_STAG"/>
    <s v="Rogers Communications Canada Inc."/>
    <s v="7810 KEELE ST UNIT B"/>
    <s v="ON"/>
    <s v="CONCORD"/>
    <s v="L4K 0B7"/>
    <s v="BP3001"/>
    <s v="BLANK PLATE 1 WIDE REVERSIBLE"/>
    <s v="6901101"/>
    <s v="7.1"/>
    <x v="0"/>
    <n v="1947468"/>
    <d v="2016-08-04T00:00:00"/>
    <m/>
    <d v="2016-10-11T03:39:06"/>
    <d v="2016-08-10T00:00:00"/>
    <d v="2016-10-11T23:59:00"/>
    <m/>
    <n v="145"/>
    <m/>
    <n v="1015"/>
    <m/>
    <s v="N224"/>
    <s v="NWK ACCESS TECH"/>
    <s v="ACCESS OTHER"/>
    <s v="OTHER AURORA"/>
    <s v="N224"/>
    <s v="AUR-STANDARD ORDER MIXED"/>
    <s v="A-SURFACE"/>
    <s v="OP"/>
    <n v="1240808"/>
    <s v="A-SURFACE"/>
    <m/>
    <m/>
    <m/>
    <s v="A-SURFACE"/>
    <s v="LTL"/>
    <s v="EXW"/>
    <s v="Prepay &amp; Add"/>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m/>
    <m/>
    <m/>
    <m/>
    <s v="0"/>
    <s v="0"/>
  </r>
  <r>
    <s v="SJ2"/>
    <s v="5000319"/>
    <s v="ROGERS CABLE"/>
    <s v="160885"/>
    <s v="R023P14L3"/>
    <s v="SJ2_STAG"/>
    <s v="Rogers Communications Canada Inc."/>
    <s v="7810 KEELE ST UNIT B"/>
    <s v="ON"/>
    <s v="CONCORD"/>
    <s v="L4K 0B7"/>
    <s v="BP3001"/>
    <s v="BLANK PLATE 1 WIDE REVERSIBLE"/>
    <s v="6901101"/>
    <s v="7.1"/>
    <x v="0"/>
    <n v="1947468"/>
    <d v="2016-08-04T00:00:00"/>
    <m/>
    <d v="2016-10-11T03:39:06"/>
    <d v="2016-08-10T00:00:00"/>
    <d v="2016-10-11T23:59:00"/>
    <m/>
    <n v="5"/>
    <m/>
    <n v="35"/>
    <m/>
    <s v="N224"/>
    <s v="NWK ACCESS TECH"/>
    <s v="ACCESS OTHER"/>
    <s v="OTHER AURORA"/>
    <s v="N224"/>
    <s v="AUR-STANDARD ORDER MIXED"/>
    <s v="A-SURFACE"/>
    <s v="OP"/>
    <n v="1240808"/>
    <s v="A-SURFACE"/>
    <m/>
    <m/>
    <m/>
    <s v="A-SURFACE"/>
    <s v="LTL"/>
    <s v="EXW"/>
    <s v="Prepay &amp; Add"/>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m/>
    <m/>
    <m/>
    <m/>
    <s v="0"/>
    <s v="0"/>
  </r>
  <r>
    <s v="SJ2"/>
    <s v="5000445"/>
    <s v="COMCAST"/>
    <s v="WAUKEGAN - MOORE"/>
    <s v="R016P05L1B02"/>
    <s v="SJ2_STAG"/>
    <s v="COMCAST CABLE"/>
    <s v="1585 WAUKEGAN RD"/>
    <s v="IL"/>
    <s v="WAUKEGAN"/>
    <s v="60085"/>
    <s v="DT4250N-50-00"/>
    <s v="DGTL XCVR ENH MULTI-MODES OF O"/>
    <s v="20106387"/>
    <s v="12.1"/>
    <x v="1"/>
    <n v="1949560"/>
    <d v="2016-08-22T15:29:45"/>
    <m/>
    <d v="2016-10-13T01:05:11"/>
    <d v="2016-10-24T00:00:00"/>
    <d v="2016-10-17T23:59:00"/>
    <m/>
    <n v="4"/>
    <m/>
    <n v="1140"/>
    <m/>
    <s v="N065"/>
    <s v="NWK ACCESS TECH"/>
    <s v="NODE"/>
    <s v="NODE MISC AURORA"/>
    <s v="N065"/>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16P36L4B01"/>
    <s v="SJ2_STAG"/>
    <s v="COMCAST CABLE"/>
    <s v="5934 Richard St"/>
    <s v="FL"/>
    <s v="Jacksonville"/>
    <s v="32216-5951"/>
    <s v="CP8015U-02-10"/>
    <s v="CPE RFOG 1550/1610 42MHZ PWR I"/>
    <s v="20106720"/>
    <s v="30.1"/>
    <x v="2"/>
    <n v="1945906"/>
    <d v="2016-08-23T12:00:55"/>
    <m/>
    <d v="2016-10-08T03:52:10"/>
    <d v="2016-08-23T00:00:00"/>
    <d v="2016-10-10T23:59:00"/>
    <m/>
    <n v="91"/>
    <n v="91"/>
    <n v="9919"/>
    <n v="9919"/>
    <s v="N226"/>
    <s v="NWK ACCESS TECH"/>
    <s v="HPON"/>
    <s v="CPE AURORA"/>
    <s v="CPE"/>
    <s v="AS-STANDARD ORDER MIXED"/>
    <s v="A-SURFACE"/>
    <s v="OP"/>
    <n v="1239007"/>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15P64L3"/>
    <s v="SJ2_STAG"/>
    <s v="COMCAST CABLE"/>
    <s v="5934 Richard St"/>
    <s v="FL"/>
    <s v="Jacksonville"/>
    <s v="32216-5951"/>
    <s v="CP8015U-02-10"/>
    <s v="CPE RFOG 1550/1610 42MHZ PWR I"/>
    <s v="20106720"/>
    <s v="30.1"/>
    <x v="2"/>
    <n v="1945906"/>
    <d v="2016-08-23T12:00:55"/>
    <m/>
    <d v="2016-10-08T03:52:10"/>
    <d v="2016-08-23T00:00:00"/>
    <d v="2016-10-10T23:59:00"/>
    <m/>
    <n v="131"/>
    <n v="131"/>
    <n v="14279"/>
    <n v="14279"/>
    <s v="N226"/>
    <s v="NWK ACCESS TECH"/>
    <s v="HPON"/>
    <s v="CPE AURORA"/>
    <s v="CPE"/>
    <s v="AS-STANDARD ORDER MIXED"/>
    <s v="A-SURFACE"/>
    <s v="OP"/>
    <n v="1239007"/>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14L5"/>
    <s v="SJ2_STAG"/>
    <s v="COMCAST CORPORATION"/>
    <s v="8700 Ritchie Dr Ste A"/>
    <s v="MD"/>
    <s v="Capitol Heights"/>
    <s v="20743-4920"/>
    <s v="BP3400C-00"/>
    <s v="BACKPLATE 4.25 GB/S 1-FER/2-FE"/>
    <s v="20110666"/>
    <s v="6.1"/>
    <x v="3"/>
    <n v="1948449"/>
    <d v="2016-09-12T17:41:46"/>
    <m/>
    <d v="2016-10-12T01:04:40"/>
    <d v="2016-09-16T00:00:00"/>
    <d v="2016-10-14T23:59:00"/>
    <m/>
    <n v="7"/>
    <m/>
    <n v="2744"/>
    <m/>
    <s v="N076"/>
    <s v="NWK ACCESS TECH"/>
    <s v="HEO"/>
    <s v="HEO MISC AURORA"/>
    <s v="N076"/>
    <s v="AS-STANDARD ORDER MIXED"/>
    <s v="A-SURFACE"/>
    <s v="OP"/>
    <n v="1241365"/>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15P02L1"/>
    <s v="SJ2_STAG"/>
    <s v="COMCAST CORPORATION"/>
    <s v="8700 Ritchie Dr Ste A"/>
    <s v="MD"/>
    <s v="Capitol Heights"/>
    <s v="20743-4920"/>
    <s v="BP3400C-00"/>
    <s v="BACKPLATE 4.25 GB/S 1-FER/2-FE"/>
    <s v="20110666"/>
    <s v="6.1"/>
    <x v="3"/>
    <n v="1948449"/>
    <d v="2016-09-12T17:41:46"/>
    <m/>
    <d v="2016-10-12T01:04:40"/>
    <d v="2016-09-16T00:00:00"/>
    <d v="2016-10-14T23:59:00"/>
    <m/>
    <n v="98"/>
    <m/>
    <n v="38416"/>
    <m/>
    <s v="N076"/>
    <s v="NWK ACCESS TECH"/>
    <s v="HEO"/>
    <s v="HEO MISC AURORA"/>
    <s v="N076"/>
    <s v="AS-STANDARD ORDER MIXED"/>
    <s v="A-SURFACE"/>
    <s v="OP"/>
    <n v="1241365"/>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3P08L2"/>
    <s v="SJ2_STAG"/>
    <s v="COMCAST CABLE"/>
    <s v="3050 Echo Lake Ave"/>
    <s v="MN"/>
    <s v="Mahtomedi"/>
    <s v="55115-1910"/>
    <s v="OP95F1S-42-R2-AS"/>
    <s v="FILTER DWDM S-CASE 2MM SC/APC"/>
    <s v="20111522"/>
    <s v="11.1"/>
    <x v="4"/>
    <n v="1945905"/>
    <d v="2016-09-16T12:51:13"/>
    <m/>
    <d v="2016-10-08T03:52:10"/>
    <d v="2016-09-19T00:00:00"/>
    <d v="2016-10-10T23:59:00"/>
    <m/>
    <n v="1"/>
    <m/>
    <n v="151"/>
    <m/>
    <s v="N156"/>
    <s v="NWK ACCESS TECH"/>
    <s v="ACCESS OTHER"/>
    <s v="OTHER AURORA"/>
    <s v="N156"/>
    <s v="AS-STANDARD ORDER MIXED"/>
    <s v="A-SURFACE"/>
    <s v="OP"/>
    <n v="1239007"/>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5P37L1"/>
    <s v="SJ2_STAG"/>
    <s v="COMCAST CABLE"/>
    <s v="2601 SW 145th Ave"/>
    <s v="FL"/>
    <s v="Miramar"/>
    <s v="33027-4139"/>
    <s v="NTM3248-AS-3L"/>
    <s v="OTX NCDFB NTM3248 NODE 3 DBM O"/>
    <s v="20112894"/>
    <s v="4.1"/>
    <x v="5"/>
    <n v="1947329"/>
    <d v="2016-09-23T09:40:40"/>
    <m/>
    <d v="2016-10-11T01:03:57"/>
    <d v="2016-10-20T00:00:00"/>
    <d v="2016-10-13T23:59:00"/>
    <m/>
    <n v="4"/>
    <m/>
    <n v="2108"/>
    <m/>
    <s v="N154"/>
    <s v="NWK ACCESS TECH"/>
    <s v="NODE"/>
    <s v="HL NODE MISC AURORA"/>
    <s v="N154"/>
    <s v="AS-STANDARD ORDER MIXED"/>
    <s v="A-SURFACE"/>
    <s v="OP"/>
    <n v="1240761"/>
    <s v="A-SURFACE"/>
    <m/>
    <m/>
    <m/>
    <s v="A-SURFACE"/>
    <s v="LTL"/>
    <s v="EXW"/>
    <s v="Collect"/>
    <m/>
    <m/>
    <s v="UNDER 200LBS UNPALLETIZED OR SINGLE BOX UNDER 150LBS USE FEDEX #128153870 OVER 200LBS USE OMNI LOGISTICS ACCT COMCASTLSS-COMCASTLSS@OMNILOGISTICS.COM 866-247-6664"/>
    <m/>
    <m/>
    <m/>
    <m/>
    <s v="0"/>
    <s v="0"/>
  </r>
  <r>
    <s v="SJ2"/>
    <s v="5000445"/>
    <s v="COMCAST"/>
    <s v="SALEM - MURPHY"/>
    <s v="R015P61L1"/>
    <s v="SJ2_STAG"/>
    <s v="COMCAST CABLE"/>
    <s v="9 Northeastern Blvd"/>
    <s v="NH"/>
    <s v="Salem"/>
    <s v="03079-1996"/>
    <s v="NC412A1SGA1-U0000000"/>
    <s v="NODE 5-42MHZ RVS 51-1GHZ FWD 1"/>
    <s v="20114536"/>
    <s v="1.1"/>
    <x v="6"/>
    <n v="1940935"/>
    <d v="2016-10-03T11:06:41"/>
    <m/>
    <d v="2016-10-03T12:03:26"/>
    <d v="2016-10-03T00:00:00"/>
    <d v="2016-10-03T23:59:00"/>
    <m/>
    <n v="13"/>
    <m/>
    <n v="21645"/>
    <m/>
    <s v="N047"/>
    <s v="NWK ACCESS TECH"/>
    <s v="NODE"/>
    <s v="NC4000 AURORA"/>
    <s v="N047"/>
    <s v="AS-STANDARD ORDER MIXED"/>
    <s v="A-SURFACE"/>
    <s v="OP"/>
    <n v="1236165"/>
    <s v="A-SURFACE"/>
    <m/>
    <m/>
    <m/>
    <s v="A-SURFACE"/>
    <s v="LTL"/>
    <s v="EXW"/>
    <s v="Collect"/>
    <m/>
    <m/>
    <s v="UNDER 200LBS UNPALLETIZED OR SINGLE BOX UNDER 150LBS USE FEDEX #128153870 OVER 200LBS USE OMNI LOGISTICS ACCT COMCASTLSS-COMCASTLSS@OMNILOGISTICS.COM 866-247-6664"/>
    <m/>
    <m/>
    <m/>
    <m/>
    <s v="0"/>
    <s v="0"/>
  </r>
  <r>
    <s v="SJ2"/>
    <s v="5000445"/>
    <s v="COMCAST"/>
    <s v="SALEM - MURPHY"/>
    <s v="R016P11L2B02"/>
    <s v="SJ2_STAG"/>
    <s v="COMCAST CABLE"/>
    <s v="9 Northeastern Blvd"/>
    <s v="NH"/>
    <s v="Salem"/>
    <s v="03079-1996"/>
    <s v="NC412A1SGA1-U0000000"/>
    <s v="NODE 5-42MHZ RVS 51-1GHZ FWD 1"/>
    <s v="20114536"/>
    <s v="1.1"/>
    <x v="6"/>
    <n v="1940935"/>
    <d v="2016-10-03T11:06:41"/>
    <m/>
    <d v="2016-10-03T12:03:26"/>
    <d v="2016-10-03T00:00:00"/>
    <d v="2016-10-03T23:59:00"/>
    <m/>
    <n v="2"/>
    <m/>
    <n v="3330"/>
    <m/>
    <s v="N047"/>
    <s v="NWK ACCESS TECH"/>
    <s v="NODE"/>
    <s v="NC4000 AURORA"/>
    <s v="N047"/>
    <s v="AS-STANDARD ORDER MIXED"/>
    <s v="A-SURFACE"/>
    <s v="OP"/>
    <n v="1236165"/>
    <s v="A-SURFACE"/>
    <m/>
    <m/>
    <m/>
    <s v="A-SURFACE"/>
    <s v="LTL"/>
    <s v="EXW"/>
    <s v="Collect"/>
    <m/>
    <m/>
    <s v="UNDER 200LBS UNPALLETIZED OR SINGLE BOX UNDER 150LBS USE FEDEX #128153870 OVER 200LBS USE OMNI LOGISTICS ACCT COMCASTLSS-COMCASTLSS@OMNILOGISTICS.COM 866-247-6664"/>
    <m/>
    <m/>
    <m/>
    <m/>
    <s v="0"/>
    <s v="0"/>
  </r>
  <r>
    <s v="SJ2"/>
    <s v="5000445"/>
    <s v="COMCAST"/>
    <s v="WINCHESTER - SELF"/>
    <s v="R016P34L2B01"/>
    <s v="SJ2_STAG"/>
    <s v="COMCAST"/>
    <s v="195 Rainville Rd"/>
    <s v="VA"/>
    <s v="Winchester"/>
    <s v="22602-4802"/>
    <s v="AR4214G-AS"/>
    <s v="OPT RCVR 51-1000MHZ FWD HG ALC"/>
    <s v="20115327"/>
    <s v="1.1"/>
    <x v="7"/>
    <n v="1943696"/>
    <d v="2016-10-05T15:27:18"/>
    <m/>
    <d v="2016-10-05T16:03:22"/>
    <d v="2016-10-14T00:00:00"/>
    <d v="2016-10-07T23:59:00"/>
    <m/>
    <n v="2"/>
    <m/>
    <n v="752"/>
    <m/>
    <s v="N027"/>
    <s v="NWK ACCESS TECH"/>
    <s v="NODE"/>
    <s v="NODE MISC AURORA"/>
    <s v="N027"/>
    <s v="AS-STANDARD ORDER MIXED"/>
    <s v="A-SURFACE"/>
    <s v="OP"/>
    <n v="1237510"/>
    <s v="A-SURFACE"/>
    <m/>
    <m/>
    <m/>
    <s v="A-SURFACE"/>
    <s v="LTL"/>
    <s v="EXW"/>
    <s v="Collect"/>
    <m/>
    <m/>
    <s v="UNDER 200LBS UNPALLETIZED OR SINGLE BOX UNDER 150LBS USE FEDEX #128153870 OVER 200LBS USE OMNI LOGISTICS ACCT COMCASTLSS-COMCASTLSS@OMNILOGISTICS.COM 866-247-6664"/>
    <m/>
    <m/>
    <m/>
    <m/>
    <s v="0"/>
    <s v="0"/>
  </r>
  <r>
    <s v="SJ2"/>
    <s v="5000445"/>
    <s v="COMCAST"/>
    <s v="WINCHESTER - SELF"/>
    <s v="R016P11L2B02"/>
    <s v="SJ2_STAG"/>
    <s v="COMCAST"/>
    <s v="195 Rainville Rd"/>
    <s v="VA"/>
    <s v="Winchester"/>
    <s v="22602-4802"/>
    <s v="NC412A1SGA1-U0000000"/>
    <s v="NODE 5-42MHZ RVS 51-1GHZ FWD 1"/>
    <s v="20115327"/>
    <s v="2.1"/>
    <x v="7"/>
    <n v="1943695"/>
    <d v="2016-10-05T15:27:18"/>
    <m/>
    <d v="2016-10-05T16:03:22"/>
    <d v="2016-10-14T00:00:00"/>
    <d v="2016-10-07T23:59:00"/>
    <m/>
    <n v="1"/>
    <m/>
    <n v="1665"/>
    <m/>
    <s v="N047"/>
    <s v="NWK ACCESS TECH"/>
    <s v="NODE"/>
    <s v="NC4000 AURORA"/>
    <s v="N047"/>
    <s v="AS-STANDARD ORDER MIXED"/>
    <s v="A-SURFACE"/>
    <s v="OP"/>
    <n v="1237510"/>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16P85L3"/>
    <s v="SJ2_STAG"/>
    <s v="COMCAST CABLE COMMUNICATIONS"/>
    <s v="3500 Patterson Ave SE"/>
    <s v="MI"/>
    <s v="Grand Rapids"/>
    <s v="49512-5699"/>
    <s v="CA3008"/>
    <s v="CARRIER MODULE HIGH DENSITY"/>
    <s v="20115563"/>
    <s v="10.1"/>
    <x v="8"/>
    <n v="1946594"/>
    <d v="2016-10-06T15:59:25"/>
    <m/>
    <d v="2016-10-10T01:05:26"/>
    <d v="2016-10-19T00:00:00"/>
    <d v="2016-10-12T23:59:00"/>
    <m/>
    <n v="1"/>
    <m/>
    <n v="216"/>
    <m/>
    <s v="N259"/>
    <s v="NWK ACCESS TECH"/>
    <s v="HEO"/>
    <s v="TRANSMITTERS AURORA"/>
    <s v="HDTX"/>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15P44L2"/>
    <s v="SJ2_STAG"/>
    <s v="COMCAST CABLE COMMUNICATIONS"/>
    <s v="3500 Patterson Ave SE"/>
    <s v="MI"/>
    <s v="Grand Rapids"/>
    <s v="49512-5699"/>
    <s v="DR3450N-50-00"/>
    <s v="DIGITAL RECEIVER Q-RX 2.125GBP"/>
    <s v="20115563"/>
    <s v="13.1"/>
    <x v="8"/>
    <n v="1946594"/>
    <d v="2016-10-06T15:59:25"/>
    <m/>
    <d v="2016-10-10T01:05:26"/>
    <d v="2016-10-19T00:00:00"/>
    <d v="2016-10-12T23:59:00"/>
    <m/>
    <n v="2"/>
    <m/>
    <n v="2400"/>
    <m/>
    <s v="N275"/>
    <s v="NWK ACCESS TECH"/>
    <s v="HEO"/>
    <s v="RECEIVERS AURORA"/>
    <s v="N275"/>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15P68L1"/>
    <s v="SJ2_STAG"/>
    <s v="COMCAST CABLE COMMUNICATIONS"/>
    <s v="3500 Patterson Ave SE"/>
    <s v="MI"/>
    <s v="Grand Rapids"/>
    <s v="49512-5699"/>
    <s v="CH3000U-FM-00"/>
    <s v="ADAPTER FIBER MGT FOR CH3000 C"/>
    <s v="20115563"/>
    <s v="2.1"/>
    <x v="8"/>
    <n v="1946594"/>
    <d v="2016-10-06T15:59:25"/>
    <m/>
    <d v="2016-10-10T01:05:26"/>
    <d v="2016-10-19T00:00:00"/>
    <d v="2016-10-12T23:59:00"/>
    <m/>
    <n v="2"/>
    <m/>
    <n v="110"/>
    <m/>
    <s v="N199"/>
    <s v="NWK ACCESS TECH"/>
    <s v="HEO"/>
    <s v="HEO MISC AURORA"/>
    <s v="N199"/>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3P04L1"/>
    <s v="SJ2_STAG"/>
    <s v="COMCAST CABLE COMMUNICATIONS"/>
    <s v="3500 Patterson Ave SE"/>
    <s v="MI"/>
    <s v="Grand Rapids"/>
    <s v="49512-5699"/>
    <s v="TL3000-EJ-00"/>
    <s v="TOOL EXTRACTOR HANDLE CH3000"/>
    <s v="20115563"/>
    <s v="3.1"/>
    <x v="8"/>
    <n v="1946617"/>
    <d v="2016-10-06T15:59:25"/>
    <m/>
    <d v="2016-10-10T01:05:26"/>
    <d v="2016-10-19T00:00:00"/>
    <d v="2016-10-12T23:59:00"/>
    <m/>
    <n v="1"/>
    <m/>
    <n v="6"/>
    <m/>
    <s v="N185"/>
    <s v="NWK ACCESS TECH"/>
    <s v="ACCESS OTHER"/>
    <s v="OTHER AURORA"/>
    <s v="N185"/>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15P68L3"/>
    <s v="SJ2_STAG"/>
    <s v="COMCAST CABLE COMMUNICATIONS"/>
    <s v="3500 Patterson Ave SE"/>
    <s v="MI"/>
    <s v="Grand Rapids"/>
    <s v="49512-5699"/>
    <s v="PS3148D"/>
    <s v="POWER SUPPLY W/DISPLAY -48VDC"/>
    <s v="20115563"/>
    <s v="4.1"/>
    <x v="8"/>
    <n v="1946594"/>
    <d v="2016-10-06T15:59:25"/>
    <m/>
    <d v="2016-10-10T01:05:26"/>
    <d v="2016-10-19T00:00:00"/>
    <d v="2016-10-12T23:59:00"/>
    <m/>
    <n v="2"/>
    <m/>
    <n v="1228"/>
    <m/>
    <s v="N204"/>
    <s v="NWK ACCESS TECH"/>
    <s v="ACCESS OTHER"/>
    <s v="OTHER AURORA"/>
    <s v="N204"/>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16P12L3B01"/>
    <s v="SJ2_STAG"/>
    <s v="COMCAST CABLE COMMUNICATIONS"/>
    <s v="3500 Patterson Ave SE"/>
    <s v="MI"/>
    <s v="Grand Rapids"/>
    <s v="49512-5699"/>
    <s v="PS3148N"/>
    <s v="POWER SUPPLY NO DISPLAY -48VDC"/>
    <s v="20115563"/>
    <s v="5.1"/>
    <x v="8"/>
    <n v="1946617"/>
    <d v="2016-10-06T15:59:25"/>
    <m/>
    <d v="2016-10-10T01:05:26"/>
    <d v="2016-10-19T00:00:00"/>
    <d v="2016-10-12T23:59:00"/>
    <m/>
    <n v="2"/>
    <m/>
    <n v="1056"/>
    <m/>
    <s v="N204"/>
    <s v="NWK ACCESS TECH"/>
    <s v="ACCESS OTHER"/>
    <s v="OTHER AURORA"/>
    <s v="N204"/>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EC1"/>
    <s v="SJ2_STAG"/>
    <s v="COMCAST CABLE COMMUNICATIONS"/>
    <s v="3500 Patterson Ave SE"/>
    <s v="MI"/>
    <s v="Grand Rapids"/>
    <s v="49512-5699"/>
    <s v="HT3541H-D-A200-2-AS"/>
    <s v="XMTR DD 1.2GHZ FULL SPECTRUM 3"/>
    <s v="20115563"/>
    <s v="8.1"/>
    <x v="8"/>
    <n v="1946594"/>
    <d v="2016-10-06T15:59:25"/>
    <m/>
    <d v="2016-10-10T01:05:26"/>
    <d v="2016-10-19T00:00:00"/>
    <d v="2016-10-12T23:59:00"/>
    <m/>
    <n v="2"/>
    <m/>
    <n v="2794"/>
    <m/>
    <s v="HE64"/>
    <s v="NWK ACCESS TECH"/>
    <s v="HEO"/>
    <s v="TRANSMITTER"/>
    <s v="HT"/>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3P07L2"/>
    <s v="SJ2_STAG"/>
    <s v="COMCAST CABLE COMMUNICATIONS"/>
    <s v="3500 Patterson Ave SE"/>
    <s v="MI"/>
    <s v="Grand Rapids"/>
    <s v="49512-5699"/>
    <s v="BD31A4-100-H12F-0-AS"/>
    <s v="OPT PASSTHRU BD 4 XMTR 4 BC 4"/>
    <s v="20115563"/>
    <s v="9.1"/>
    <x v="8"/>
    <n v="1946617"/>
    <d v="2016-10-06T15:59:25"/>
    <m/>
    <d v="2016-10-10T01:05:26"/>
    <d v="2016-10-19T00:00:00"/>
    <d v="2016-10-12T23:59:00"/>
    <m/>
    <n v="1"/>
    <m/>
    <n v="588"/>
    <m/>
    <s v="N258"/>
    <s v="NWK ACCESS TECH"/>
    <s v="HEO"/>
    <s v="TRANSMITTERS AURORA"/>
    <s v="HDTX"/>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03L1B01"/>
    <s v="SJ2_STAG"/>
    <s v="COMCAST CABLE COMMUNICATIONS"/>
    <s v="49800 Martin Dr"/>
    <s v="MI"/>
    <s v="Wixom"/>
    <s v="48393-2404"/>
    <s v="BD31A4-100-H12F-0-AS"/>
    <s v="OPT PASSTHRU BD 4 XMTR 4 BC 4"/>
    <s v="20116327"/>
    <s v="10.1"/>
    <x v="9"/>
    <n v="1949557"/>
    <d v="2016-10-11T15:10:15"/>
    <m/>
    <d v="2016-10-13T01:05:11"/>
    <d v="2016-10-24T00:00:00"/>
    <d v="2016-10-17T23:59:00"/>
    <m/>
    <n v="4"/>
    <m/>
    <n v="2352"/>
    <m/>
    <s v="N258"/>
    <s v="NWK ACCESS TECH"/>
    <s v="HEO"/>
    <s v="TRANSMITTERS AURORA"/>
    <s v="HDTX"/>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02L3B01"/>
    <s v="SJ2_STAG"/>
    <s v="COMCAST CABLE COMMUNICATIONS"/>
    <s v="49800 Martin Dr"/>
    <s v="MI"/>
    <s v="Wixom"/>
    <s v="48393-2404"/>
    <s v="DR3450N-50-00"/>
    <s v="DIGITAL RECEIVER Q-RX 2.125GBP"/>
    <s v="20116327"/>
    <s v="14.1"/>
    <x v="9"/>
    <n v="1949561"/>
    <d v="2016-10-11T15:10:15"/>
    <m/>
    <d v="2016-10-13T01:05:11"/>
    <d v="2016-10-24T00:00:00"/>
    <d v="2016-10-17T23:59:00"/>
    <m/>
    <n v="4"/>
    <m/>
    <n v="4800"/>
    <m/>
    <s v="N275"/>
    <s v="NWK ACCESS TECH"/>
    <s v="HEO"/>
    <s v="RECEIVERS AURORA"/>
    <s v="N275"/>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5P19L2"/>
    <s v="SJ2_STAG"/>
    <s v="COMCAST CABLE COMMUNICATIONS"/>
    <s v="49800 Martin Dr"/>
    <s v="MI"/>
    <s v="Wixom"/>
    <s v="48393-2404"/>
    <s v="CH3000N"/>
    <s v="CHASSIS NO COVERS 3RU"/>
    <s v="20116327"/>
    <s v="2.1"/>
    <x v="9"/>
    <n v="1949561"/>
    <d v="2016-10-11T15:10:15"/>
    <m/>
    <d v="2016-10-13T01:05:11"/>
    <d v="2016-10-24T00:00:00"/>
    <d v="2016-10-17T23:59:00"/>
    <m/>
    <n v="5"/>
    <m/>
    <n v="1100"/>
    <m/>
    <s v="N199"/>
    <s v="NWK ACCESS TECH"/>
    <s v="HEO"/>
    <s v="HEO MISC AURORA"/>
    <s v="N199"/>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5P68L1"/>
    <s v="SJ2_STAG"/>
    <s v="COMCAST CABLE COMMUNICATIONS"/>
    <s v="49800 Martin Dr"/>
    <s v="MI"/>
    <s v="Wixom"/>
    <s v="48393-2404"/>
    <s v="CH3000U-FM-00"/>
    <s v="ADAPTER FIBER MGT FOR CH3000 C"/>
    <s v="20116327"/>
    <s v="3.1"/>
    <x v="9"/>
    <n v="1949557"/>
    <d v="2016-10-11T15:10:15"/>
    <m/>
    <d v="2016-10-13T01:05:11"/>
    <d v="2016-10-24T00:00:00"/>
    <d v="2016-10-17T23:59:00"/>
    <m/>
    <n v="5"/>
    <m/>
    <n v="275"/>
    <m/>
    <s v="N199"/>
    <s v="NWK ACCESS TECH"/>
    <s v="HEO"/>
    <s v="HEO MISC AURORA"/>
    <s v="N199"/>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23L1B01"/>
    <s v="SJ2_STAG"/>
    <s v="COMCAST CABLE COMMUNICATIONS"/>
    <s v="49800 Martin Dr"/>
    <s v="MI"/>
    <s v="Wixom"/>
    <s v="48393-2404"/>
    <s v="PS3148D"/>
    <s v="POWER SUPPLY W/DISPLAY -48VDC"/>
    <s v="20116327"/>
    <s v="4.1"/>
    <x v="9"/>
    <n v="1949561"/>
    <d v="2016-10-11T15:10:15"/>
    <m/>
    <d v="2016-10-13T01:05:11"/>
    <d v="2016-10-24T00:00:00"/>
    <d v="2016-10-17T23:59:00"/>
    <m/>
    <n v="6"/>
    <m/>
    <n v="3684"/>
    <m/>
    <s v="N204"/>
    <s v="NWK ACCESS TECH"/>
    <s v="ACCESS OTHER"/>
    <s v="OTHER AURORA"/>
    <s v="N204"/>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5P22L4"/>
    <s v="SJ2_STAG"/>
    <s v="COMCAST CABLE COMMUNICATIONS"/>
    <s v="49800 Martin Dr"/>
    <s v="MI"/>
    <s v="Wixom"/>
    <s v="48393-2404"/>
    <s v="PS3148N"/>
    <s v="POWER SUPPLY NO DISPLAY -48VDC"/>
    <s v="20116327"/>
    <s v="5.1"/>
    <x v="9"/>
    <n v="1949557"/>
    <d v="2016-10-11T15:10:15"/>
    <m/>
    <d v="2016-10-13T01:05:11"/>
    <d v="2016-10-24T00:00:00"/>
    <d v="2016-10-17T23:59:00"/>
    <m/>
    <n v="6"/>
    <m/>
    <n v="3168"/>
    <m/>
    <s v="N204"/>
    <s v="NWK ACCESS TECH"/>
    <s v="ACCESS OTHER"/>
    <s v="OTHER AURORA"/>
    <s v="N204"/>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4L2"/>
    <s v="SJ2_STAG"/>
    <s v="COMCAST CABLE COMMUNICATIONS"/>
    <s v="49800 Martin Dr"/>
    <s v="MI"/>
    <s v="Wixom"/>
    <s v="48393-2404"/>
    <s v="HT3541H-D-A200-2-AS"/>
    <s v="XMTR DD 1.2GHZ FULL SPECTRUM 3"/>
    <s v="20116327"/>
    <s v="8.1"/>
    <x v="9"/>
    <n v="1949557"/>
    <d v="2016-10-11T15:10:15"/>
    <m/>
    <d v="2016-10-13T01:05:11"/>
    <d v="2016-10-24T00:00:00"/>
    <d v="2016-10-17T23:59:00"/>
    <m/>
    <n v="2"/>
    <m/>
    <n v="2794"/>
    <m/>
    <s v="HE64"/>
    <s v="NWK ACCESS TECH"/>
    <s v="HEO"/>
    <s v="TRANSMITTER"/>
    <s v="HT"/>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08L3"/>
    <s v="SJ2_STAG"/>
    <s v="COMCAST CABLE"/>
    <s v="1530 Chartiers Ave"/>
    <s v="PA"/>
    <s v="Pittsburgh"/>
    <s v="15204-2520"/>
    <s v="BP-A6"/>
    <s v="BACKPLATE RF INP A RF INP B MP"/>
    <s v="20116418"/>
    <s v="10.1"/>
    <x v="10"/>
    <n v="1949250"/>
    <d v="2016-10-12T09:57:08"/>
    <m/>
    <d v="2016-10-12T17:04:23"/>
    <d v="2016-10-12T00:00:00"/>
    <d v="2016-10-12T23:59:00"/>
    <m/>
    <n v="1"/>
    <n v="1"/>
    <n v="69"/>
    <n v="69"/>
    <s v="N224"/>
    <s v="NWK ACCESS TECH"/>
    <s v="ACCESS OTHER"/>
    <s v="OTHER AURORA"/>
    <s v="N22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EC1"/>
    <s v="SJ2_STAG"/>
    <s v="COMCAST CABLE"/>
    <s v="1530 Chartiers Ave"/>
    <s v="PA"/>
    <s v="Pittsburgh"/>
    <s v="15204-2520"/>
    <s v="HT3541H-D-A200-2-AS"/>
    <s v="XMTR DD 1.2GHZ FULL SPECTRUM 3"/>
    <s v="20116418"/>
    <s v="12.1"/>
    <x v="10"/>
    <n v="1949244"/>
    <d v="2016-10-12T09:57:08"/>
    <m/>
    <d v="2016-10-12T17:04:23"/>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07L4"/>
    <s v="SJ2_STAG"/>
    <s v="COMCAST CABLE"/>
    <s v="1530 Chartiers Ave"/>
    <s v="PA"/>
    <s v="Pittsburgh"/>
    <s v="15204-2520"/>
    <s v="HT3541H-D-A230-2-AS"/>
    <s v="XMTR DD 1.2GHZ FULL SPECTRUM 3"/>
    <s v="20116418"/>
    <s v="14.1"/>
    <x v="10"/>
    <n v="1949244"/>
    <d v="2016-10-12T09:57:08"/>
    <m/>
    <d v="2016-10-12T17:04:23"/>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11L4"/>
    <s v="SJ2_STAG"/>
    <s v="COMCAST CABLE"/>
    <s v="1530 Chartiers Ave"/>
    <s v="PA"/>
    <s v="Pittsburgh"/>
    <s v="15204-2520"/>
    <s v="HT3541H-D-A290-2-AS"/>
    <s v="XMTR DD 1.2GHZ FULL SPECTRUM 3"/>
    <s v="20116418"/>
    <s v="16.1"/>
    <x v="10"/>
    <n v="1949244"/>
    <d v="2016-10-12T09:57:08"/>
    <m/>
    <d v="2016-10-12T17:04:23"/>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15P31L2"/>
    <s v="SJ2_STAG"/>
    <s v="COMCAST CABLE"/>
    <s v="1530 Chartiers Ave"/>
    <s v="PA"/>
    <s v="Pittsburgh"/>
    <s v="15204-2520"/>
    <s v="HT3541H-D-A330-2-AS"/>
    <s v="XMTR DD 1.2GHZ FULL SPECTRUM 3"/>
    <s v="20116418"/>
    <s v="17.1"/>
    <x v="10"/>
    <n v="1949244"/>
    <d v="2016-10-12T09:57:08"/>
    <m/>
    <d v="2016-10-12T17:04:23"/>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m/>
    <s v="SJ2_STAG"/>
    <s v="COMCAST CABLE"/>
    <s v="1530 Chartiers Ave"/>
    <s v="PA"/>
    <s v="Pittsburgh"/>
    <s v="15204-2520"/>
    <s v="HT3541H-D-A350-2-AS"/>
    <s v="XMTR DD 1.2GHZ FULL SPECTRUM 3"/>
    <s v="20116418"/>
    <s v="18.1"/>
    <x v="10"/>
    <n v="1949247"/>
    <d v="2016-10-12T09:57:08"/>
    <m/>
    <d v="2016-10-12T17:04:23"/>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EC1"/>
    <s v="SJ2_STAG"/>
    <s v="COMCAST CABLE"/>
    <s v="1530 Chartiers Ave"/>
    <s v="PA"/>
    <s v="Pittsburgh"/>
    <s v="15204-2520"/>
    <s v="CH3000N"/>
    <s v="CHASSIS NO COVERS 3RU"/>
    <s v="20116418"/>
    <s v="2.1"/>
    <x v="10"/>
    <n v="1949250"/>
    <d v="2016-10-12T09:57:08"/>
    <m/>
    <d v="2016-10-12T17:04:23"/>
    <d v="2016-10-12T00:00:00"/>
    <d v="2016-10-12T23:59:00"/>
    <m/>
    <n v="2"/>
    <n v="2"/>
    <n v="440"/>
    <n v="440"/>
    <s v="N199"/>
    <s v="NWK ACCESS TECH"/>
    <s v="HEO"/>
    <s v="HEO MISC AURORA"/>
    <s v="N199"/>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15P31L2"/>
    <s v="SJ2_STAG"/>
    <s v="COMCAST CABLE"/>
    <s v="1530 Chartiers Ave"/>
    <s v="PA"/>
    <s v="Pittsburgh"/>
    <s v="15204-2520"/>
    <s v="HT3541H-D-A440-2-AS"/>
    <s v="XMTR DD 1.2GHZ FULL SPECTRUM 3"/>
    <s v="20116418"/>
    <s v="20.1"/>
    <x v="10"/>
    <n v="1949244"/>
    <d v="2016-10-12T09:57:08"/>
    <m/>
    <d v="2016-10-12T17:04:23"/>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15P31L2"/>
    <s v="SJ2_STAG"/>
    <s v="COMCAST CABLE"/>
    <s v="1530 Chartiers Ave"/>
    <s v="PA"/>
    <s v="Pittsburgh"/>
    <m/>
    <s v="HT3541H-D-A470-2-AS"/>
    <s v="XMTR DD 1.2GHZ FULL SPECTRUM 3"/>
    <s v="20116418"/>
    <s v="21.1"/>
    <x v="10"/>
    <n v="1949244"/>
    <d v="2016-10-12T09:57:08"/>
    <m/>
    <d v="2016-10-12T17:04:23"/>
    <d v="2016-10-12T00:00:00"/>
    <d v="2016-10-12T23:59:00"/>
    <m/>
    <n v="1"/>
    <n v="1"/>
    <n v="1397"/>
    <n v="1397"/>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15P68L1"/>
    <s v="SJ2_STAG"/>
    <s v="COMCAST CABLE"/>
    <s v="1530 Chartiers Ave"/>
    <s v="PA"/>
    <s v="Pittsburgh"/>
    <s v="15204-2520"/>
    <s v="CH3000U-FM-00"/>
    <s v="ADAPTER FIBER MGT FOR CH3000 C"/>
    <s v="20116418"/>
    <s v="3.1"/>
    <x v="10"/>
    <n v="1949250"/>
    <d v="2016-10-12T09:57:08"/>
    <m/>
    <d v="2016-10-12T17:04:23"/>
    <d v="2016-10-12T00:00:00"/>
    <d v="2016-10-12T23:59:00"/>
    <m/>
    <n v="9"/>
    <n v="9"/>
    <n v="495"/>
    <n v="495"/>
    <s v="N199"/>
    <s v="NWK ACCESS TECH"/>
    <s v="HEO"/>
    <s v="HEO MISC AURORA"/>
    <s v="N199"/>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05L1"/>
    <s v="SJ2_STAG"/>
    <s v="COMCAST CABLE"/>
    <s v="1530 Chartiers Ave"/>
    <s v="PA"/>
    <s v="Pittsburgh"/>
    <s v="15204-2520"/>
    <s v="HT3312H-D-1310-2-AS"/>
    <s v="XMTR DD 1.2GHZ 1310NM D-IN 12D"/>
    <s v="20116418"/>
    <s v="36.1"/>
    <x v="10"/>
    <n v="1949244"/>
    <d v="2016-10-12T09:57:08"/>
    <m/>
    <d v="2016-10-12T17:04:23"/>
    <d v="2016-10-12T00:00:00"/>
    <d v="2016-10-12T23:59:00"/>
    <m/>
    <n v="5"/>
    <n v="5"/>
    <n v="6330"/>
    <n v="6330"/>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15P22L3"/>
    <s v="SJ2_STAG"/>
    <s v="COMCAST CABLE"/>
    <s v="1530 Chartiers Ave"/>
    <s v="PA"/>
    <s v="Pittsburgh"/>
    <s v="15204-2520"/>
    <s v="PS3005D"/>
    <s v="POWER SUPPLY 250W CE TUV W/DIS"/>
    <s v="20116418"/>
    <s v="4.1"/>
    <x v="10"/>
    <n v="1949244"/>
    <d v="2016-10-12T09:57:08"/>
    <m/>
    <d v="2016-10-12T17:04:23"/>
    <d v="2016-10-12T00:00:00"/>
    <d v="2016-10-12T23:59:00"/>
    <m/>
    <n v="2"/>
    <n v="2"/>
    <n v="1078"/>
    <n v="1078"/>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12L5"/>
    <s v="SJ2_STAG"/>
    <s v="COMCAST CABLE"/>
    <s v="1530 Chartiers Ave"/>
    <s v="PA"/>
    <s v="Pittsburgh"/>
    <s v="15204-2520"/>
    <s v="FA3519F-00-AS"/>
    <s v="FBROPT AMPL SGL 19DBM GAIN FLA"/>
    <s v="20116418"/>
    <s v="40.1"/>
    <x v="10"/>
    <n v="1949250"/>
    <d v="2016-10-12T09:57:08"/>
    <m/>
    <d v="2016-10-12T17:04:23"/>
    <d v="2016-10-12T00:00:00"/>
    <d v="2016-10-12T23:59:00"/>
    <m/>
    <n v="1"/>
    <n v="1"/>
    <n v="3929"/>
    <n v="3929"/>
    <s v="N125"/>
    <s v="NWK ACCESS TECH"/>
    <s v="HEO"/>
    <s v="HEO MISC AURORA"/>
    <s v="EDFA"/>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15P64L2"/>
    <s v="SJ2_STAG"/>
    <s v="COMCAST CABLE"/>
    <s v="1530 Chartiers Ave"/>
    <s v="PA"/>
    <s v="Pittsburgh"/>
    <s v="15204-2520"/>
    <s v="PS3005N"/>
    <s v="POWER SUPPLY 250W CE TUV W/O D"/>
    <s v="20116418"/>
    <s v="5.1"/>
    <x v="10"/>
    <n v="1949244"/>
    <d v="2016-10-12T09:57:08"/>
    <m/>
    <d v="2016-10-12T17:04:23"/>
    <d v="2016-10-12T00:00:00"/>
    <d v="2016-10-12T23:59:00"/>
    <m/>
    <n v="2"/>
    <n v="2"/>
    <n v="906"/>
    <n v="906"/>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04L2"/>
    <s v="SJ2_STAG"/>
    <s v="COMCAST CABLE"/>
    <s v="1530 Chartiers Ave"/>
    <s v="PA"/>
    <s v="Pittsburgh"/>
    <s v="15204-2520"/>
    <s v="OP35D4-CF1-1-99-AS"/>
    <s v="OPT DEMUX4 100GHZ A1 CF3 EXP -"/>
    <s v="20116418"/>
    <s v="52.1"/>
    <x v="10"/>
    <n v="1949248"/>
    <d v="2016-10-12T09:57:08"/>
    <m/>
    <d v="2016-10-12T17:04:23"/>
    <d v="2016-10-12T00:00:00"/>
    <d v="2016-10-12T23:59:00"/>
    <m/>
    <n v="1"/>
    <n v="1"/>
    <n v="873"/>
    <n v="873"/>
    <s v="N160"/>
    <s v="NWK ACCESS TECH"/>
    <s v="OPTICAL PASSIVES"/>
    <s v="OUTDOOR PASSIVES AURORA"/>
    <s v="N160"/>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07L2"/>
    <s v="SJ2_STAG"/>
    <s v="COMCAST CABLE"/>
    <s v="1530 Chartiers Ave"/>
    <s v="PA"/>
    <s v="Pittsburgh"/>
    <s v="15204-2520"/>
    <s v="OP35D4-CF3-1-99-AS"/>
    <s v="OPT DEMUX4 100GHZ A1 CF3 EXP -"/>
    <s v="20116418"/>
    <s v="54.1"/>
    <x v="10"/>
    <n v="1949250"/>
    <d v="2016-10-12T09:57:08"/>
    <m/>
    <d v="2016-10-12T17:04:23"/>
    <d v="2016-10-12T00:00:00"/>
    <d v="2016-10-12T23:59:00"/>
    <m/>
    <n v="1"/>
    <n v="1"/>
    <n v="873"/>
    <n v="873"/>
    <s v="N160"/>
    <s v="NWK ACCESS TECH"/>
    <s v="OPTICAL PASSIVES"/>
    <s v="OUTDOOR PASSIVES AURORA"/>
    <s v="N160"/>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16P23L1B01"/>
    <s v="SJ2_STAG"/>
    <s v="COMCAST CABLE"/>
    <s v="1530 Chartiers Ave"/>
    <s v="PA"/>
    <s v="Pittsburgh"/>
    <s v="15204-2520"/>
    <s v="PS3148D"/>
    <s v="POWER SUPPLY W/DISPLAY -48VDC"/>
    <s v="20116418"/>
    <s v="6.1"/>
    <x v="10"/>
    <n v="1949248"/>
    <d v="2016-10-12T09:57:08"/>
    <m/>
    <d v="2016-10-12T17:04:23"/>
    <d v="2016-10-12T00:00:00"/>
    <d v="2016-10-12T23:59:00"/>
    <m/>
    <n v="7"/>
    <n v="7"/>
    <n v="4298"/>
    <n v="4298"/>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13L2"/>
    <s v="SJ2_STAG"/>
    <s v="COMCAST CABLE"/>
    <s v="1530 Chartiers Ave"/>
    <s v="PA"/>
    <s v="Pittsburgh"/>
    <s v="15204-2520"/>
    <s v="OA-01-00-AS"/>
    <s v="ATTENUATOR STD OPT SC/APC-SC/A"/>
    <s v="20116418"/>
    <s v="60.1"/>
    <x v="10"/>
    <n v="1949248"/>
    <d v="2016-10-12T09:57:08"/>
    <m/>
    <d v="2016-10-12T17:04:23"/>
    <d v="2016-10-12T00:00:00"/>
    <d v="2016-10-12T23:59:00"/>
    <m/>
    <n v="1"/>
    <n v="1"/>
    <n v="26"/>
    <n v="26"/>
    <s v="N224"/>
    <s v="NWK ACCESS TECH"/>
    <s v="ACCESS OTHER"/>
    <s v="OTHER AURORA"/>
    <s v="N22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15P22L4"/>
    <s v="SJ2_STAG"/>
    <s v="COMCAST CABLE"/>
    <s v="1530 Chartiers Ave"/>
    <s v="PA"/>
    <s v="Pittsburgh"/>
    <s v="15204-2520"/>
    <s v="PS3148N"/>
    <s v="POWER SUPPLY NO DISPLAY -48VDC"/>
    <s v="20116418"/>
    <s v="7.1"/>
    <x v="10"/>
    <n v="1949244"/>
    <d v="2016-10-12T09:57:08"/>
    <m/>
    <d v="2016-10-12T17:04:23"/>
    <d v="2016-10-12T00:00:00"/>
    <d v="2016-10-12T23:59:00"/>
    <m/>
    <n v="7"/>
    <n v="7"/>
    <n v="3696"/>
    <n v="3696"/>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31L3"/>
    <s v="SJ2_STAG"/>
    <s v="COMCAST CABLE COMMUNICATIONS"/>
    <s v="1050 E King St"/>
    <s v="PA"/>
    <s v="York"/>
    <s v="17403-1855"/>
    <s v="NC412A2S2A5-U0000000"/>
    <s v="NODE 5-42/51-1GHz JXP 2X2 SEG"/>
    <s v="20116471"/>
    <s v="1.1"/>
    <x v="11"/>
    <n v="1949201"/>
    <d v="2016-10-12T13:31:28"/>
    <m/>
    <d v="2016-10-12T16:04:13"/>
    <d v="2016-10-12T00:00:00"/>
    <d v="2016-10-12T23:59:00"/>
    <m/>
    <n v="1"/>
    <m/>
    <n v="2041"/>
    <m/>
    <s v="N034"/>
    <s v="NWK ACCESS TECH"/>
    <s v="NODE"/>
    <s v="NC4000 AURORA"/>
    <s v="N03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EC1"/>
    <s v="SJ2_STAG"/>
    <s v="COMCAST CABLE COMMUNICATIONS"/>
    <s v="1050 E King St"/>
    <s v="PA"/>
    <s v="York"/>
    <s v="17403-1855"/>
    <s v="HT3541H-D-A200-2-AS"/>
    <s v="XMTR DD 1.2GHZ FULL SPECTRUM 3"/>
    <s v="20116471"/>
    <s v="11.1"/>
    <x v="11"/>
    <n v="1949200"/>
    <d v="2016-10-12T13:31:28"/>
    <m/>
    <d v="2016-10-12T16:04:13"/>
    <d v="2016-10-12T00:00:00"/>
    <d v="2016-10-12T23:59:00"/>
    <m/>
    <n v="1"/>
    <m/>
    <n v="1397"/>
    <m/>
    <s v="HE64"/>
    <s v="NWK ACCESS TECH"/>
    <s v="HEO"/>
    <s v="TRANSMITTER"/>
    <s v="HT"/>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02L1"/>
    <s v="SJ2_STAG"/>
    <s v="COMCAST CABLE COMMUNICATIONS"/>
    <s v="1050 E King St"/>
    <s v="PA"/>
    <s v="York"/>
    <s v="17403-1855"/>
    <s v="BP3400C-00"/>
    <s v="BACKPLATE 4.25 GB/S 1-FER/2-FE"/>
    <s v="20116471"/>
    <s v="13.1"/>
    <x v="11"/>
    <n v="1949200"/>
    <d v="2016-10-12T13:31:28"/>
    <m/>
    <d v="2016-10-12T16:04:13"/>
    <d v="2016-10-12T00:00:00"/>
    <d v="2016-10-12T23:59:00"/>
    <m/>
    <n v="1"/>
    <m/>
    <n v="392"/>
    <m/>
    <s v="N076"/>
    <s v="NWK ACCESS TECH"/>
    <s v="HEO"/>
    <s v="HEO MISC AURORA"/>
    <s v="N076"/>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02L3B01"/>
    <s v="SJ2_STAG"/>
    <s v="COMCAST CABLE COMMUNICATIONS"/>
    <s v="1050 E King St"/>
    <s v="PA"/>
    <s v="York"/>
    <s v="17403-1855"/>
    <s v="DR3450N-50-00"/>
    <s v="DIGITAL RECEIVER Q-RX 2.125GBP"/>
    <s v="20116471"/>
    <s v="14.1"/>
    <x v="11"/>
    <n v="1949201"/>
    <d v="2016-10-12T13:31:28"/>
    <m/>
    <d v="2016-10-12T16:04:13"/>
    <d v="2016-10-12T00:00:00"/>
    <d v="2016-10-12T23:59:00"/>
    <m/>
    <n v="1"/>
    <m/>
    <n v="1200"/>
    <m/>
    <s v="N275"/>
    <s v="NWK ACCESS TECH"/>
    <s v="HEO"/>
    <s v="RECEIVERS AURORA"/>
    <s v="N275"/>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24L2B01"/>
    <s v="SJ2_STAG"/>
    <s v="COMCAST CABLE COMMUNICATIONS"/>
    <s v="1050 E King St"/>
    <s v="PA"/>
    <s v="York"/>
    <s v="17403-1855"/>
    <s v="PF3000C-FM-00"/>
    <s v="PASSIVE FRAME 4RU FBR MGT COVE"/>
    <s v="20116471"/>
    <s v="17.1"/>
    <x v="11"/>
    <n v="1949200"/>
    <d v="2016-10-12T13:31:28"/>
    <m/>
    <d v="2016-10-12T16:04:13"/>
    <d v="2016-10-12T00:00:00"/>
    <d v="2016-10-12T23:59:00"/>
    <m/>
    <n v="1"/>
    <m/>
    <n v="198"/>
    <m/>
    <s v="N224"/>
    <s v="NWK ACCESS TECH"/>
    <s v="ACCESS OTHER"/>
    <s v="OTHER AURORA"/>
    <s v="N22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59L1"/>
    <s v="SJ2_STAG"/>
    <s v="COMCAST CABLE COMMUNICATIONS"/>
    <s v="1050 E King St"/>
    <s v="PA"/>
    <s v="York"/>
    <s v="17403-1855"/>
    <s v="PF3000C-FM-00"/>
    <s v="PASSIVE FRAME 4RU FBR MGT COVE"/>
    <s v="20116471"/>
    <s v="17.1"/>
    <x v="11"/>
    <n v="1949200"/>
    <d v="2016-10-12T13:31:28"/>
    <m/>
    <d v="2016-10-12T16:04:13"/>
    <d v="2016-10-12T00:00:00"/>
    <d v="2016-10-12T23:59:00"/>
    <m/>
    <n v="1"/>
    <m/>
    <n v="198"/>
    <m/>
    <s v="N224"/>
    <s v="NWK ACCESS TECH"/>
    <s v="ACCESS OTHER"/>
    <s v="OTHER AURORA"/>
    <s v="N22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EC1"/>
    <s v="SJ2_STAG"/>
    <s v="COMCAST CABLE COMMUNICATIONS"/>
    <s v="1050 E King St"/>
    <s v="PA"/>
    <s v="York"/>
    <s v="17403-1855"/>
    <s v="CH3000N"/>
    <s v="CHASSIS NO COVERS 3RU"/>
    <s v="20116471"/>
    <s v="4.1"/>
    <x v="11"/>
    <n v="1949200"/>
    <d v="2016-10-12T13:31:28"/>
    <m/>
    <d v="2016-10-12T16:04:13"/>
    <d v="2016-10-12T00:00:00"/>
    <d v="2016-10-12T23:59:00"/>
    <m/>
    <n v="2"/>
    <m/>
    <n v="440"/>
    <m/>
    <s v="N199"/>
    <s v="NWK ACCESS TECH"/>
    <s v="HEO"/>
    <s v="HEO MISC AURORA"/>
    <s v="N199"/>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23L1B01"/>
    <s v="SJ2_STAG"/>
    <s v="COMCAST CABLE COMMUNICATIONS"/>
    <s v="1050 E King St"/>
    <s v="PA"/>
    <s v="York"/>
    <s v="17403-1855"/>
    <s v="PS3148D"/>
    <s v="POWER SUPPLY W/DISPLAY -48VDC"/>
    <s v="20116471"/>
    <s v="5.1"/>
    <x v="11"/>
    <n v="1949201"/>
    <d v="2016-10-12T13:31:28"/>
    <m/>
    <d v="2016-10-12T16:04:13"/>
    <d v="2016-10-12T00:00:00"/>
    <d v="2016-10-12T23:59:00"/>
    <m/>
    <n v="2"/>
    <m/>
    <n v="1228"/>
    <m/>
    <s v="N204"/>
    <s v="NWK ACCESS TECH"/>
    <s v="ACCESS OTHER"/>
    <s v="OTHER AURORA"/>
    <s v="N20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22L4"/>
    <s v="SJ2_STAG"/>
    <s v="COMCAST CABLE COMMUNICATIONS"/>
    <s v="1050 E King St"/>
    <s v="PA"/>
    <s v="York"/>
    <s v="17403-1855"/>
    <s v="PS3148N"/>
    <s v="POWER SUPPLY NO DISPLAY -48VDC"/>
    <s v="20116471"/>
    <s v="6.1"/>
    <x v="11"/>
    <n v="1949200"/>
    <d v="2016-10-12T13:31:28"/>
    <m/>
    <d v="2016-10-12T16:04:13"/>
    <d v="2016-10-12T00:00:00"/>
    <d v="2016-10-12T23:59:00"/>
    <m/>
    <n v="2"/>
    <m/>
    <n v="1056"/>
    <m/>
    <s v="N204"/>
    <s v="NWK ACCESS TECH"/>
    <s v="ACCESS OTHER"/>
    <s v="OTHER AURORA"/>
    <s v="N20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66L3"/>
    <s v="SJ2_STAG"/>
    <s v="COMCAST CABLE COMMUNICATIONS"/>
    <s v="1050 E King St"/>
    <s v="PA"/>
    <s v="York"/>
    <s v="17403-1855"/>
    <s v="NC412A2S2A5-U0000000"/>
    <s v="NODE 5-42/51-1GHz JXP 2X2 SEG"/>
    <s v="20116473"/>
    <s v="1.1"/>
    <x v="12"/>
    <n v="1949249"/>
    <d v="2016-10-12T13:44:24"/>
    <m/>
    <d v="2016-10-12T17:04:23"/>
    <d v="2016-10-12T00:00:00"/>
    <d v="2016-10-12T23:59:00"/>
    <m/>
    <n v="1"/>
    <n v="1"/>
    <n v="2041"/>
    <n v="2041"/>
    <s v="N034"/>
    <s v="NWK ACCESS TECH"/>
    <s v="NODE"/>
    <s v="NC4000 AURORA"/>
    <s v="N03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31L3"/>
    <s v="SJ2_STAG"/>
    <s v="COMCAST CABLE COMMUNICATIONS"/>
    <s v="1050 E King St"/>
    <s v="PA"/>
    <s v="York"/>
    <s v="17403-1855"/>
    <s v="NC412A2S2A5-U0000000"/>
    <s v="NODE 5-42/51-1GHz JXP 2X2 SEG"/>
    <s v="20116473"/>
    <s v="1.1"/>
    <x v="12"/>
    <n v="1949249"/>
    <d v="2016-10-12T13:44:24"/>
    <m/>
    <d v="2016-10-12T17:04:23"/>
    <d v="2016-10-12T00:00:00"/>
    <d v="2016-10-12T23:59:00"/>
    <m/>
    <n v="1"/>
    <n v="1"/>
    <n v="2041"/>
    <n v="2041"/>
    <s v="N034"/>
    <s v="NWK ACCESS TECH"/>
    <s v="NODE"/>
    <s v="NC4000 AURORA"/>
    <s v="N03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EC1"/>
    <s v="SJ2_STAG"/>
    <s v="COMCAST CABLE COMMUNICATIONS"/>
    <s v="1050 E King St"/>
    <s v="PA"/>
    <s v="York"/>
    <s v="17403-1855"/>
    <s v="HT3541H-D-A200-2-AS"/>
    <s v="XMTR DD 1.2GHZ FULL SPECTRUM 3"/>
    <s v="20116473"/>
    <s v="13.1"/>
    <x v="12"/>
    <n v="1949245"/>
    <d v="2016-10-12T13:44:24"/>
    <m/>
    <d v="2016-10-12T17:04:23"/>
    <d v="2016-10-12T00:00:00"/>
    <d v="2016-10-12T23:59:00"/>
    <m/>
    <n v="4"/>
    <n v="4"/>
    <n v="5588"/>
    <n v="5588"/>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3P11L4"/>
    <s v="SJ2_STAG"/>
    <s v="COMCAST CABLE COMMUNICATIONS"/>
    <s v="1050 E King St"/>
    <s v="PA"/>
    <s v="York"/>
    <s v="17403-1855"/>
    <s v="HT3541H-D-A290-2-AS"/>
    <s v="XMTR DD 1.2GHZ FULL SPECTRUM 3"/>
    <s v="20116473"/>
    <s v="16.1"/>
    <x v="12"/>
    <n v="1949245"/>
    <d v="2016-10-12T13:44:24"/>
    <m/>
    <d v="2016-10-12T17:04:23"/>
    <d v="2016-10-12T00:00:00"/>
    <d v="2016-10-12T23:59:00"/>
    <m/>
    <n v="2"/>
    <n v="2"/>
    <n v="2794"/>
    <n v="2794"/>
    <s v="HE64"/>
    <s v="NWK ACCESS TECH"/>
    <s v="HEO"/>
    <s v="TRANSMITTER"/>
    <s v="HT"/>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02L1"/>
    <s v="SJ2_STAG"/>
    <s v="COMCAST CABLE COMMUNICATIONS"/>
    <s v="1050 E King St"/>
    <s v="PA"/>
    <s v="York"/>
    <s v="17403-1855"/>
    <s v="BP3400C-00"/>
    <s v="BACKPLATE 4.25 GB/S 1-FER/2-FE"/>
    <s v="20116473"/>
    <s v="17.1"/>
    <x v="12"/>
    <n v="1949245"/>
    <d v="2016-10-12T13:44:24"/>
    <m/>
    <d v="2016-10-12T17:04:23"/>
    <d v="2016-10-12T00:00:00"/>
    <d v="2016-10-12T23:59:00"/>
    <m/>
    <n v="1"/>
    <n v="1"/>
    <n v="392"/>
    <n v="392"/>
    <s v="N076"/>
    <s v="NWK ACCESS TECH"/>
    <s v="HEO"/>
    <s v="HEO MISC AURORA"/>
    <s v="N076"/>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02L3B01"/>
    <s v="SJ2_STAG"/>
    <s v="COMCAST CABLE COMMUNICATIONS"/>
    <s v="1050 E King St"/>
    <s v="PA"/>
    <s v="York"/>
    <s v="17403-1855"/>
    <s v="DR3450N-50-00"/>
    <s v="DIGITAL RECEIVER Q-RX 2.125GBP"/>
    <s v="20116473"/>
    <s v="18.1"/>
    <x v="12"/>
    <n v="1949249"/>
    <d v="2016-10-12T13:44:24"/>
    <m/>
    <d v="2016-10-12T17:04:23"/>
    <d v="2016-10-12T00:00:00"/>
    <d v="2016-10-12T23:59:00"/>
    <m/>
    <n v="3"/>
    <n v="3"/>
    <n v="3600"/>
    <n v="3600"/>
    <s v="N275"/>
    <s v="NWK ACCESS TECH"/>
    <s v="HEO"/>
    <s v="RECEIVERS AURORA"/>
    <s v="N275"/>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59L1"/>
    <s v="SJ2_STAG"/>
    <s v="COMCAST CABLE COMMUNICATIONS"/>
    <s v="1050 E King St"/>
    <s v="PA"/>
    <s v="York"/>
    <s v="17403-1855"/>
    <s v="PF3000C-FM-00"/>
    <s v="PASSIVE FRAME 4RU FBR MGT COVE"/>
    <s v="20116473"/>
    <s v="21.1"/>
    <x v="12"/>
    <n v="1949245"/>
    <d v="2016-10-12T13:44:24"/>
    <m/>
    <d v="2016-10-12T17:04:23"/>
    <d v="2016-10-12T00:00:00"/>
    <d v="2016-10-12T23:59:00"/>
    <m/>
    <n v="1"/>
    <n v="1"/>
    <n v="198"/>
    <n v="198"/>
    <s v="N224"/>
    <s v="NWK ACCESS TECH"/>
    <s v="ACCESS OTHER"/>
    <s v="OTHER AURORA"/>
    <s v="N22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3P10L6"/>
    <s v="SJ2_STAG"/>
    <s v="COMCAST CABLE COMMUNICATIONS"/>
    <s v="1050 E King St"/>
    <s v="PA"/>
    <s v="York"/>
    <s v="17403-1855"/>
    <s v="OP34F1D-1590-0-00-AS"/>
    <s v="CWDM FLTR DUAL 1590NM SC/APC 3"/>
    <s v="20116473"/>
    <s v="23.1"/>
    <x v="12"/>
    <n v="1949249"/>
    <d v="2016-10-12T13:44:24"/>
    <m/>
    <d v="2016-10-12T17:04:23"/>
    <d v="2016-10-12T00:00:00"/>
    <d v="2016-10-12T23:59:00"/>
    <m/>
    <n v="1"/>
    <n v="1"/>
    <n v="291"/>
    <n v="291"/>
    <s v="N156"/>
    <s v="NWK ACCESS TECH"/>
    <s v="ACCESS OTHER"/>
    <s v="OTHER AURORA"/>
    <s v="N156"/>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43L5"/>
    <s v="SJ2_STAG"/>
    <s v="COMCAST CABLE COMMUNICATIONS"/>
    <s v="1050 E King St"/>
    <s v="PA"/>
    <s v="York"/>
    <s v="17403-1855"/>
    <s v="NC412A4S2A4-UU000000"/>
    <s v="NODE 5-42/51-1GHz JXP 4x4 SEG"/>
    <s v="20116473"/>
    <s v="3.1"/>
    <x v="12"/>
    <n v="1949249"/>
    <d v="2016-10-12T13:44:24"/>
    <m/>
    <d v="2016-10-12T17:04:23"/>
    <d v="2016-10-12T00:00:00"/>
    <d v="2016-10-12T23:59:00"/>
    <m/>
    <n v="2"/>
    <n v="2"/>
    <n v="6156"/>
    <n v="6156"/>
    <s v="N034"/>
    <s v="NWK ACCESS TECH"/>
    <s v="NODE"/>
    <s v="NC4000 AURORA"/>
    <s v="N03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EC1"/>
    <s v="SJ2_STAG"/>
    <s v="COMCAST CABLE COMMUNICATIONS"/>
    <s v="1050 E King St"/>
    <s v="PA"/>
    <s v="York"/>
    <s v="17403-1855"/>
    <s v="CH3000N"/>
    <s v="CHASSIS NO COVERS 3RU"/>
    <s v="20116473"/>
    <s v="6.1"/>
    <x v="12"/>
    <n v="1949245"/>
    <d v="2016-10-12T13:44:24"/>
    <m/>
    <d v="2016-10-12T17:04:23"/>
    <d v="2016-10-12T00:00:00"/>
    <d v="2016-10-12T23:59:00"/>
    <m/>
    <n v="2"/>
    <n v="2"/>
    <n v="440"/>
    <n v="440"/>
    <s v="N199"/>
    <s v="NWK ACCESS TECH"/>
    <s v="HEO"/>
    <s v="HEO MISC AURORA"/>
    <s v="N199"/>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23L1B01"/>
    <s v="SJ2_STAG"/>
    <s v="COMCAST CABLE COMMUNICATIONS"/>
    <s v="1050 E King St"/>
    <s v="PA"/>
    <s v="York"/>
    <s v="17403-1855"/>
    <s v="PS3148D"/>
    <s v="POWER SUPPLY W/DISPLAY -48VDC"/>
    <s v="20116473"/>
    <s v="7.1"/>
    <x v="12"/>
    <n v="1949249"/>
    <d v="2016-10-12T13:44:24"/>
    <m/>
    <d v="2016-10-12T17:04:23"/>
    <d v="2016-10-12T00:00:00"/>
    <d v="2016-10-12T23:59:00"/>
    <m/>
    <n v="2"/>
    <n v="2"/>
    <n v="1228"/>
    <n v="1228"/>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22L4"/>
    <s v="SJ2_STAG"/>
    <s v="COMCAST CABLE COMMUNICATIONS"/>
    <s v="1050 E King St"/>
    <s v="PA"/>
    <s v="York"/>
    <s v="17403-1855"/>
    <s v="PS3148N"/>
    <s v="POWER SUPPLY NO DISPLAY -48VDC"/>
    <s v="20116473"/>
    <s v="8.1"/>
    <x v="12"/>
    <n v="1949245"/>
    <d v="2016-10-12T13:44:24"/>
    <m/>
    <d v="2016-10-12T17:04:23"/>
    <d v="2016-10-12T00:00:00"/>
    <d v="2016-10-12T23:59:00"/>
    <m/>
    <n v="2"/>
    <n v="2"/>
    <n v="1056"/>
    <n v="1056"/>
    <s v="N204"/>
    <s v="NWK ACCESS TECH"/>
    <s v="ACCESS OTHER"/>
    <s v="OTHER AURORA"/>
    <s v="N204"/>
    <s v="AS-STANDARD ORDER MIXED"/>
    <s v="A-SURFACE"/>
    <s v="OP"/>
    <n v="12417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64L2"/>
    <s v="SJ2_STAG"/>
    <s v="COMCAST CABLE COMMUNICATIONS"/>
    <s v="1050 E King St"/>
    <s v="PA"/>
    <s v="York"/>
    <s v="17403-1855"/>
    <s v="NC412A1S2A1-U0000000"/>
    <s v="NODE 5-42/51-1GHz JXP HG RX DT"/>
    <s v="20116478"/>
    <s v="1.1"/>
    <x v="13"/>
    <n v="1949173"/>
    <d v="2016-10-12T14:03:54"/>
    <m/>
    <d v="2016-10-12T15:04:29"/>
    <d v="2016-10-12T00:00:00"/>
    <d v="2016-10-12T23:59:00"/>
    <m/>
    <n v="10"/>
    <m/>
    <n v="16650"/>
    <m/>
    <s v="N034"/>
    <s v="NWK ACCESS TECH"/>
    <s v="NODE"/>
    <s v="NC4000 AURORA"/>
    <s v="N034"/>
    <s v="AS-STANDARD ORDER MIXED"/>
    <s v="A-SURFACE"/>
    <s v="OP"/>
    <n v="1241715"/>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31L3"/>
    <s v="SJ2_STAG"/>
    <s v="COMCAST CABLE COMMUNICATIONS"/>
    <s v="1050 E King St"/>
    <s v="PA"/>
    <s v="York"/>
    <s v="17403-1855"/>
    <s v="NC412A2S2A5-U0000000"/>
    <s v="NODE 5-42/51-1GHz JXP 2X2 SEG"/>
    <s v="20116478"/>
    <s v="2.1"/>
    <x v="13"/>
    <n v="1949173"/>
    <d v="2016-10-12T14:03:54"/>
    <m/>
    <d v="2016-10-12T15:04:29"/>
    <d v="2016-10-12T00:00:00"/>
    <d v="2016-10-12T23:59:00"/>
    <m/>
    <n v="9"/>
    <m/>
    <n v="18369"/>
    <m/>
    <s v="N034"/>
    <s v="NWK ACCESS TECH"/>
    <s v="NODE"/>
    <s v="NC4000 AURORA"/>
    <s v="N034"/>
    <s v="AS-STANDARD ORDER MIXED"/>
    <s v="A-SURFACE"/>
    <s v="OP"/>
    <n v="124171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15P66L3"/>
    <s v="SJ2_STAG"/>
    <s v="COMCAST CABLE COMM MGMT, LLC"/>
    <s v="1131 S Duke St"/>
    <s v="PA"/>
    <s v="Lancaster"/>
    <s v="17602-4660"/>
    <s v="NC412A2S2A5-U0000000"/>
    <s v="NODE 5-42/51-1GHz JXP 2X2 SEG"/>
    <s v="20116482"/>
    <s v="1.1"/>
    <x v="14"/>
    <n v="1949300"/>
    <d v="2016-10-12T14:09:02"/>
    <m/>
    <d v="2016-10-12T18:04:32"/>
    <d v="2016-10-12T00:00:00"/>
    <d v="2016-10-12T23:59:00"/>
    <m/>
    <n v="5"/>
    <n v="5"/>
    <n v="10205"/>
    <n v="10205"/>
    <s v="N034"/>
    <s v="NWK ACCESS TECH"/>
    <s v="NODE"/>
    <s v="NC4000 AURORA"/>
    <s v="N034"/>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23P04L2"/>
    <s v="SJ2_STAG"/>
    <s v="COMCAST CABLE COMM MGMT, LLC"/>
    <s v="1131 S Duke St"/>
    <s v="PA"/>
    <s v="Lancaster"/>
    <s v="17602-4660"/>
    <s v="HT3541H-D-A200-2-AS"/>
    <s v="XMTR DD 1.2GHZ FULL SPECTRUM 3"/>
    <s v="20116482"/>
    <s v="11.1"/>
    <x v="14"/>
    <n v="1949310"/>
    <d v="2016-10-12T14:09:02"/>
    <m/>
    <d v="2016-10-12T18:04:32"/>
    <d v="2016-10-12T00:00:00"/>
    <d v="2016-10-12T23:59:00"/>
    <m/>
    <n v="6"/>
    <n v="6"/>
    <n v="8382"/>
    <n v="8382"/>
    <s v="HE64"/>
    <s v="NWK ACCESS TECH"/>
    <s v="HEO"/>
    <s v="TRANSMITTER"/>
    <s v="HT"/>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23P11L4"/>
    <s v="SJ2_STAG"/>
    <s v="COMCAST CABLE COMM MGMT, LLC"/>
    <s v="1131 S Duke St"/>
    <s v="PA"/>
    <s v="Lancaster"/>
    <s v="17602-4660"/>
    <s v="HT3541H-D-A290-2-AS"/>
    <s v="XMTR DD 1.2GHZ FULL SPECTRUM 3"/>
    <s v="20116482"/>
    <s v="14.1"/>
    <x v="14"/>
    <n v="1949310"/>
    <d v="2016-10-12T14:09:02"/>
    <m/>
    <d v="2016-10-12T18:04:32"/>
    <d v="2016-10-12T00:00:00"/>
    <d v="2016-10-12T23:59:00"/>
    <m/>
    <n v="1"/>
    <n v="1"/>
    <n v="1397"/>
    <n v="1397"/>
    <s v="HE64"/>
    <s v="NWK ACCESS TECH"/>
    <s v="HEO"/>
    <s v="TRANSMITTER"/>
    <s v="HT"/>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15P02L1"/>
    <s v="SJ2_STAG"/>
    <s v="COMCAST CABLE COMM MGMT, LLC"/>
    <s v="1131 S Duke St"/>
    <s v="PA"/>
    <s v="Lancaster"/>
    <s v="17602-4660"/>
    <s v="BP3400C-00"/>
    <s v="BACKPLATE 4.25 GB/S 1-FER/2-FE"/>
    <s v="20116482"/>
    <s v="15.1"/>
    <x v="14"/>
    <n v="1949310"/>
    <d v="2016-10-12T14:09:02"/>
    <m/>
    <d v="2016-10-12T18:04:32"/>
    <d v="2016-10-12T00:00:00"/>
    <d v="2016-10-12T23:59:00"/>
    <m/>
    <n v="1"/>
    <n v="1"/>
    <n v="392"/>
    <n v="392"/>
    <s v="N076"/>
    <s v="NWK ACCESS TECH"/>
    <s v="HEO"/>
    <s v="HEO MISC AURORA"/>
    <s v="N076"/>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16P02L3B01"/>
    <s v="SJ2_STAG"/>
    <s v="COMCAST CABLE COMM MGMT, LLC"/>
    <s v="1131 S Duke St"/>
    <s v="PA"/>
    <s v="Lancaster"/>
    <s v="17602-4660"/>
    <s v="DR3450N-50-00"/>
    <s v="DIGITAL RECEIVER Q-RX 2.125GBP"/>
    <s v="20116482"/>
    <s v="16.1"/>
    <x v="14"/>
    <n v="1949300"/>
    <d v="2016-10-12T14:09:02"/>
    <m/>
    <d v="2016-10-12T18:04:32"/>
    <d v="2016-10-12T00:00:00"/>
    <d v="2016-10-12T23:59:00"/>
    <m/>
    <n v="4"/>
    <n v="4"/>
    <n v="4800"/>
    <n v="4800"/>
    <s v="N275"/>
    <s v="NWK ACCESS TECH"/>
    <s v="HEO"/>
    <s v="RECEIVERS AURORA"/>
    <s v="N275"/>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15P59L1"/>
    <s v="SJ2_STAG"/>
    <s v="COMCAST CABLE COMM MGMT, LLC"/>
    <s v="1131 S Duke St"/>
    <s v="PA"/>
    <s v="Lancaster"/>
    <s v="17602-4660"/>
    <s v="PF3000C-FM-00"/>
    <s v="PASSIVE FRAME 4RU FBR MGT COVE"/>
    <s v="20116482"/>
    <s v="19.1"/>
    <x v="14"/>
    <n v="1949310"/>
    <d v="2016-10-12T14:09:02"/>
    <m/>
    <d v="2016-10-12T18:04:32"/>
    <d v="2016-10-12T00:00:00"/>
    <d v="2016-10-12T23:59:00"/>
    <m/>
    <n v="2"/>
    <n v="2"/>
    <n v="396"/>
    <n v="396"/>
    <s v="N224"/>
    <s v="NWK ACCESS TECH"/>
    <s v="ACCESS OTHER"/>
    <s v="OTHER AURORA"/>
    <s v="N224"/>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15P43L5"/>
    <s v="SJ2_STAG"/>
    <s v="COMCAST CABLE COMM MGMT, LLC"/>
    <s v="1131 S Duke St"/>
    <s v="PA"/>
    <s v="Lancaster"/>
    <s v="17602-4660"/>
    <s v="NC412A4S2A4-UU000000"/>
    <s v="NODE 5-42/51-1GHz JXP 4x4 SEG"/>
    <s v="20116482"/>
    <s v="2.1"/>
    <x v="14"/>
    <n v="1949300"/>
    <d v="2016-10-12T14:09:02"/>
    <m/>
    <d v="2016-10-12T18:04:32"/>
    <d v="2016-10-12T00:00:00"/>
    <d v="2016-10-12T23:59:00"/>
    <m/>
    <n v="1"/>
    <n v="1"/>
    <n v="3078"/>
    <n v="3078"/>
    <s v="N034"/>
    <s v="NWK ACCESS TECH"/>
    <s v="NODE"/>
    <s v="NC4000 AURORA"/>
    <s v="N034"/>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15P22L3"/>
    <s v="SJ2_STAG"/>
    <s v="COMCAST CABLE COMM MGMT, LLC"/>
    <s v="1131 S Duke St"/>
    <s v="PA"/>
    <s v="Lancaster"/>
    <s v="17602-4660"/>
    <s v="PS3005D"/>
    <s v="POWER SUPPLY 250W CE TUV W/DIS"/>
    <s v="20116482"/>
    <s v="21.1"/>
    <x v="14"/>
    <n v="1949310"/>
    <d v="2016-10-12T14:09:02"/>
    <m/>
    <d v="2016-10-12T18:04:32"/>
    <d v="2016-10-12T00:00:00"/>
    <d v="2016-10-12T23:59:00"/>
    <m/>
    <n v="2"/>
    <n v="2"/>
    <n v="1078"/>
    <n v="1078"/>
    <s v="N204"/>
    <s v="NWK ACCESS TECH"/>
    <s v="ACCESS OTHER"/>
    <s v="OTHER AURORA"/>
    <s v="N204"/>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15P64L2"/>
    <s v="SJ2_STAG"/>
    <s v="COMCAST CABLE COMM MGMT, LLC"/>
    <s v="1131 S Duke St"/>
    <s v="PA"/>
    <s v="Lancaster"/>
    <s v="17602-4660"/>
    <s v="PS3005N"/>
    <s v="POWER SUPPLY 250W CE TUV W/O D"/>
    <s v="20116482"/>
    <s v="22.1"/>
    <x v="14"/>
    <n v="1949310"/>
    <d v="2016-10-12T14:09:02"/>
    <m/>
    <d v="2016-10-12T18:04:32"/>
    <d v="2016-10-12T00:00:00"/>
    <d v="2016-10-12T23:59:00"/>
    <m/>
    <n v="2"/>
    <n v="2"/>
    <n v="906"/>
    <n v="906"/>
    <s v="N204"/>
    <s v="NWK ACCESS TECH"/>
    <s v="ACCESS OTHER"/>
    <s v="OTHER AURORA"/>
    <s v="N204"/>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23P10L6"/>
    <s v="SJ2_STAG"/>
    <s v="COMCAST CABLE COMM MGMT, LLC"/>
    <s v="1131 S Duke St"/>
    <s v="PA"/>
    <s v="Lancaster"/>
    <s v="17602-4660"/>
    <s v="OP34F1D-1590-0-00-AS"/>
    <s v="CWDM FLTR DUAL 1590NM SC/APC 3"/>
    <s v="20116482"/>
    <s v="23.1"/>
    <x v="14"/>
    <n v="1949310"/>
    <d v="2016-10-12T14:09:02"/>
    <m/>
    <d v="2016-10-12T18:04:32"/>
    <d v="2016-10-12T00:00:00"/>
    <d v="2016-10-12T23:59:00"/>
    <m/>
    <n v="1"/>
    <n v="1"/>
    <n v="291"/>
    <n v="291"/>
    <s v="N156"/>
    <s v="NWK ACCESS TECH"/>
    <s v="ACCESS OTHER"/>
    <s v="OTHER AURORA"/>
    <s v="N156"/>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EC1"/>
    <s v="SJ2_STAG"/>
    <s v="COMCAST CABLE COMM MGMT, LLC"/>
    <s v="1131 S Duke St"/>
    <s v="PA"/>
    <s v="Lancaster"/>
    <s v="17602-4660"/>
    <s v="CH3000N"/>
    <s v="CHASSIS NO COVERS 3RU"/>
    <s v="20116482"/>
    <s v="6.1"/>
    <x v="14"/>
    <n v="1949310"/>
    <d v="2016-10-12T14:09:02"/>
    <m/>
    <d v="2016-10-12T18:04:32"/>
    <d v="2016-10-12T00:00:00"/>
    <d v="2016-10-12T23:59:00"/>
    <m/>
    <n v="2"/>
    <n v="2"/>
    <n v="440"/>
    <n v="440"/>
    <s v="N199"/>
    <s v="NWK ACCESS TECH"/>
    <s v="HEO"/>
    <s v="HEO MISC AURORA"/>
    <s v="N199"/>
    <s v="AS-STANDARD ORDER MIXED"/>
    <s v="A-SURFACE"/>
    <s v="OP"/>
    <n v="124179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7L4"/>
    <s v="SJ2_STAG"/>
    <s v="COMCAST CABLE C/O XPO LOGISTICS"/>
    <s v="2179 S COMMERCE CENTER DR"/>
    <s v="UT"/>
    <s v="West Valley City"/>
    <s v="84120-6426"/>
    <s v="HT3541H-D-A230-2-AS"/>
    <s v="XMTR DD 1.2GHZ FULL SPECTRUM 3"/>
    <s v="20116616"/>
    <s v="33.1"/>
    <x v="15"/>
    <n v="1950152"/>
    <d v="2016-10-13T10:15:50"/>
    <m/>
    <d v="2016-10-13T15:18:02"/>
    <d v="2016-10-13T00:00:00"/>
    <d v="2016-10-13T23:59:00"/>
    <m/>
    <n v="20"/>
    <m/>
    <n v="27940"/>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9L2"/>
    <s v="SJ2_STAG"/>
    <s v="COMCAST CABLE C/O XPO LOGISTICS"/>
    <s v="2179 S COMMERCE CENTER DR"/>
    <s v="UT"/>
    <s v="West Valley City"/>
    <s v="84120-6426"/>
    <s v="HT3541H-D-A330-2-AS"/>
    <s v="XMTR DD 1.2GHZ FULL SPECTRUM 3"/>
    <s v="20116616"/>
    <s v="36.1"/>
    <x v="15"/>
    <n v="1950152"/>
    <d v="2016-10-13T10:15:50"/>
    <m/>
    <d v="2016-10-13T15:18:02"/>
    <d v="2016-10-13T00:00:00"/>
    <d v="2016-10-13T23:59:00"/>
    <m/>
    <n v="1"/>
    <m/>
    <n v="1397"/>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3"/>
    <s v="SJ2_STAG"/>
    <s v="COMCAST CABLE C/O XPO LOGISTICS"/>
    <s v="2179 S COMMERCE CENTER DR"/>
    <s v="UT"/>
    <s v="West Valley City"/>
    <s v="84120-6426"/>
    <s v="HT3541H-D-A330-2-AS"/>
    <s v="XMTR DD 1.2GHZ FULL SPECTRUM 3"/>
    <s v="20116616"/>
    <s v="36.1"/>
    <x v="15"/>
    <n v="1950152"/>
    <d v="2016-10-13T10:15:50"/>
    <m/>
    <d v="2016-10-13T15:18:02"/>
    <d v="2016-10-13T00:00:00"/>
    <d v="2016-10-13T23:59:00"/>
    <m/>
    <n v="3"/>
    <m/>
    <n v="4191"/>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3L2"/>
    <s v="SJ2_STAG"/>
    <s v="COMCAST CABLE C/O XPO LOGISTICS"/>
    <s v="2179 S COMMERCE CENTER DR"/>
    <s v="UT"/>
    <s v="West Valley City"/>
    <s v="84120-6426"/>
    <s v="HT3541H-D-A330-2-AS"/>
    <s v="XMTR DD 1.2GHZ FULL SPECTRUM 3"/>
    <s v="20116616"/>
    <s v="36.1"/>
    <x v="15"/>
    <n v="1950152"/>
    <d v="2016-10-13T10:15:50"/>
    <m/>
    <d v="2016-10-13T15:18:02"/>
    <d v="2016-10-13T00:00:00"/>
    <d v="2016-10-13T23:59:00"/>
    <m/>
    <n v="2"/>
    <m/>
    <n v="2794"/>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EC1"/>
    <s v="SJ2_STAG"/>
    <s v="COMCAST CABLE C/O XPO LOGISTICS"/>
    <s v="2179 S COMMERCE CENTER DR"/>
    <s v="UT"/>
    <s v="West Valley City"/>
    <s v="84120-6426"/>
    <s v="HT3541H-D-A330-2-AS"/>
    <s v="XMTR DD 1.2GHZ FULL SPECTRUM 3"/>
    <s v="20116616"/>
    <s v="36.1"/>
    <x v="15"/>
    <n v="1950152"/>
    <d v="2016-10-13T10:15:50"/>
    <m/>
    <d v="2016-10-13T15:18:02"/>
    <d v="2016-10-13T00:00:00"/>
    <d v="2016-10-13T23:59:00"/>
    <m/>
    <n v="9"/>
    <m/>
    <n v="12573"/>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31L2"/>
    <s v="SJ2_STAG"/>
    <s v="COMCAST CABLE C/O XPO LOGISTICS"/>
    <s v="2179 S COMMERCE CENTER DR"/>
    <s v="UT"/>
    <s v="West Valley City"/>
    <s v="84120-6426"/>
    <s v="HT3541H-D-A330-2-AS"/>
    <s v="XMTR DD 1.2GHZ FULL SPECTRUM 3"/>
    <s v="20116616"/>
    <s v="36.1"/>
    <x v="15"/>
    <n v="1950152"/>
    <d v="2016-10-13T10:15:50"/>
    <m/>
    <d v="2016-10-13T15:18:02"/>
    <d v="2016-10-13T00:00:00"/>
    <d v="2016-10-13T23:59:00"/>
    <m/>
    <n v="6"/>
    <m/>
    <n v="8382"/>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8L4"/>
    <s v="SJ2_STAG"/>
    <s v="COMCAST CABLE C/O XPO LOGISTICS"/>
    <s v="2179 S COMMERCE CENTER DR"/>
    <s v="UT"/>
    <s v="West Valley City"/>
    <s v="84120-6426"/>
    <s v="HT3541H-D-A330-2-AS"/>
    <s v="XMTR DD 1.2GHZ FULL SPECTRUM 3"/>
    <s v="20116616"/>
    <s v="36.1"/>
    <x v="15"/>
    <n v="1950152"/>
    <d v="2016-10-13T10:15:50"/>
    <m/>
    <d v="2016-10-13T15:18:02"/>
    <d v="2016-10-13T00:00:00"/>
    <d v="2016-10-13T23:59:00"/>
    <m/>
    <n v="1"/>
    <m/>
    <n v="1397"/>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3L2"/>
    <s v="SJ2_STAG"/>
    <s v="COMCAST CABLE C/O XPO LOGISTICS"/>
    <s v="2179 S COMMERCE CENTER DR"/>
    <s v="UT"/>
    <s v="West Valley City"/>
    <s v="84120-6426"/>
    <s v="HT3541H-D-A330-2-AS"/>
    <s v="XMTR DD 1.2GHZ FULL SPECTRUM 3"/>
    <s v="20116616"/>
    <s v="36.1"/>
    <x v="15"/>
    <n v="1950152"/>
    <d v="2016-10-13T10:15:50"/>
    <m/>
    <d v="2016-10-13T15:18:02"/>
    <d v="2016-10-13T00:00:00"/>
    <d v="2016-10-13T23:59:00"/>
    <m/>
    <n v="13"/>
    <m/>
    <n v="18161"/>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1L4"/>
    <s v="SJ2_STAG"/>
    <s v="COMCAST CABLE C/O XPO LOGISTICS"/>
    <s v="2179 S COMMERCE CENTER DR"/>
    <s v="UT"/>
    <s v="West Valley City"/>
    <s v="84120-6426"/>
    <s v="HT3541H-D-A330-2-AS"/>
    <s v="XMTR DD 1.2GHZ FULL SPECTRUM 3"/>
    <s v="20116616"/>
    <s v="36.1"/>
    <x v="15"/>
    <n v="1950152"/>
    <d v="2016-10-13T10:15:50"/>
    <m/>
    <d v="2016-10-13T15:18:02"/>
    <d v="2016-10-13T00:00:00"/>
    <d v="2016-10-13T23:59:00"/>
    <m/>
    <n v="5"/>
    <m/>
    <n v="6985"/>
    <m/>
    <s v="HE64"/>
    <s v="NWK ACCESS TECH"/>
    <s v="HEO"/>
    <s v="TRANSMITTER"/>
    <s v="HT"/>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59L1"/>
    <s v="SJ2_STAG"/>
    <s v="COMCAST CABLE C/O XPO LOGISTICS"/>
    <s v="2179 S COMMERCE CENTER DR"/>
    <s v="UT"/>
    <s v="West Valley City"/>
    <s v="84120-6426"/>
    <s v="PF3000C-FM-00"/>
    <s v="PASSIVE FRAME 4RU FBR MGT COVE"/>
    <s v="20116616"/>
    <s v="4.1"/>
    <x v="15"/>
    <n v="1950152"/>
    <d v="2016-10-13T10:15:50"/>
    <m/>
    <d v="2016-10-13T15:18:02"/>
    <d v="2016-10-13T00:00:00"/>
    <d v="2016-10-13T23:59:00"/>
    <m/>
    <n v="20"/>
    <m/>
    <n v="3960"/>
    <m/>
    <s v="N224"/>
    <s v="NWK ACCESS TECH"/>
    <s v="ACCESS OTHER"/>
    <s v="OTHER AURORA"/>
    <s v="N224"/>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EC1"/>
    <s v="SJ2_STAG"/>
    <s v="COMCAST CABLE C/O XPO LOGISTICS"/>
    <s v="2179 S COMMERCE CENTER DR"/>
    <s v="UT"/>
    <s v="West Valley City"/>
    <s v="84120-6426"/>
    <s v="OP95D4-CF2-103-R2-AS"/>
    <s v="DEMUX DWDM 100GHZ 4 CH 03 F-CA"/>
    <s v="20116616"/>
    <s v="46.1"/>
    <x v="15"/>
    <n v="1950154"/>
    <d v="2016-10-13T10:15:50"/>
    <m/>
    <d v="2016-10-13T15:18:02"/>
    <d v="2016-10-13T00:00:00"/>
    <d v="2016-10-13T23:59:00"/>
    <m/>
    <n v="2"/>
    <m/>
    <n v="1514"/>
    <m/>
    <s v="N160"/>
    <s v="NWK ACCESS TECH"/>
    <s v="OPTICAL PASSIVES"/>
    <s v="OUTDOOR PASSIVES AURORA"/>
    <s v="N160"/>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14L1B02"/>
    <s v="SJ2_STAG"/>
    <s v="COMCAST CABLE C/O XPO LOGISTICS"/>
    <s v="2179 S COMMERCE CENTER DR"/>
    <s v="UT"/>
    <s v="West Valley City"/>
    <s v="84120-6426"/>
    <s v="PF3000N-FM-00"/>
    <s v="PASSIVE FRAME 4RU FBR MGT NO C"/>
    <s v="20116616"/>
    <s v="5.1"/>
    <x v="15"/>
    <n v="1950153"/>
    <d v="2016-10-13T10:15:50"/>
    <m/>
    <d v="2016-10-13T15:18:02"/>
    <d v="2016-10-13T00:00:00"/>
    <d v="2016-10-13T23:59:00"/>
    <m/>
    <n v="5"/>
    <m/>
    <n v="605"/>
    <m/>
    <s v="N224"/>
    <s v="NWK ACCESS TECH"/>
    <s v="ACCESS OTHER"/>
    <s v="OTHER AURORA"/>
    <s v="N224"/>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7P62L2"/>
    <s v="SJ2_STAG"/>
    <s v="COMCAST CABLE C/O XPO LOGISTICS"/>
    <s v="2179 S COMMERCE CENTER DR"/>
    <s v="UT"/>
    <s v="West Valley City"/>
    <s v="84120-6426"/>
    <s v="BP-A2"/>
    <s v="BACKPLATE OPTICAL INP RF OUT D"/>
    <s v="20116616"/>
    <s v="65.1"/>
    <x v="15"/>
    <n v="1950153"/>
    <d v="2016-10-13T10:15:50"/>
    <m/>
    <d v="2016-10-13T15:18:02"/>
    <d v="2016-10-13T00:00:00"/>
    <d v="2016-10-13T23:59:00"/>
    <m/>
    <n v="9"/>
    <m/>
    <n v="306"/>
    <m/>
    <s v="N224"/>
    <s v="NWK ACCESS TECH"/>
    <s v="ACCESS OTHER"/>
    <s v="OTHER AURORA"/>
    <s v="N224"/>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0L2"/>
    <s v="SJ2_STAG"/>
    <s v="COMCAST CABLE C/O XPO LOGISTICS"/>
    <s v="2179 S COMMERCE CENTER DR"/>
    <s v="UT"/>
    <s v="West Valley City"/>
    <s v="84120-6426"/>
    <s v="BP-A2"/>
    <s v="BACKPLATE OPTICAL INP RF OUT D"/>
    <s v="20116616"/>
    <s v="65.1"/>
    <x v="15"/>
    <n v="1950153"/>
    <d v="2016-10-13T10:15:50"/>
    <m/>
    <d v="2016-10-13T15:18:02"/>
    <d v="2016-10-13T00:00:00"/>
    <d v="2016-10-13T23:59:00"/>
    <m/>
    <n v="1"/>
    <m/>
    <n v="34"/>
    <m/>
    <s v="N224"/>
    <s v="NWK ACCESS TECH"/>
    <s v="ACCESS OTHER"/>
    <s v="OTHER AURORA"/>
    <s v="N224"/>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33L1B02"/>
    <s v="SJ2_STAG"/>
    <s v="COMCAST CABLE C/O XPO LOGISTICS"/>
    <s v="2179 S COMMERCE CENTER DR"/>
    <s v="UT"/>
    <s v="West Valley City"/>
    <s v="84120-6426"/>
    <s v="WH4020"/>
    <s v="WIRING HARNESS 2 COAX ONLY"/>
    <s v="20116616"/>
    <s v="67.1"/>
    <x v="15"/>
    <n v="1950153"/>
    <d v="2016-10-13T10:15:50"/>
    <m/>
    <d v="2016-10-13T15:18:02"/>
    <d v="2016-10-13T00:00:00"/>
    <d v="2016-10-13T23:59:00"/>
    <m/>
    <n v="70"/>
    <m/>
    <n v="1190"/>
    <m/>
    <s v="N224"/>
    <s v="NWK ACCESS TECH"/>
    <s v="ACCESS OTHER"/>
    <s v="OTHER AURORA"/>
    <s v="N224"/>
    <s v="AS-STANDARD ORDER MIXED"/>
    <s v="A-SURFACE"/>
    <s v="OP"/>
    <n v="1242339"/>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15P64L2"/>
    <s v="SJ2_STAG"/>
    <s v="COMCAST CABLE"/>
    <s v="1233 Cumberland St"/>
    <s v="PA"/>
    <s v="Lebanon"/>
    <s v="17042-4527"/>
    <s v="NC412A1S2A1-U0000000"/>
    <s v="NODE 5-42/51-1GHz JXP HG RX DT"/>
    <s v="20116656"/>
    <s v="1.1"/>
    <x v="16"/>
    <n v="1950228"/>
    <d v="2016-10-13T12:00:36"/>
    <m/>
    <d v="2016-10-13T16:04:46"/>
    <d v="2016-10-13T00:00:00"/>
    <d v="2016-10-13T23:59:00"/>
    <m/>
    <n v="3"/>
    <m/>
    <n v="4995"/>
    <m/>
    <s v="N034"/>
    <s v="NWK ACCESS TECH"/>
    <s v="NODE"/>
    <s v="NC4000 AURORA"/>
    <s v="N03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4P03L1B01"/>
    <s v="SJ2_STAG"/>
    <s v="COMCAST CABLE"/>
    <s v="1233 Cumberland St"/>
    <s v="PA"/>
    <s v="Lebanon"/>
    <s v="17042-4527"/>
    <s v="BD31A4-100-H12F-0-AS"/>
    <s v="OPT PASSTHRU BD 4 XMTR 4 BC 4"/>
    <s v="20116656"/>
    <s v="10.1"/>
    <x v="16"/>
    <n v="1950226"/>
    <d v="2016-10-13T12:00:36"/>
    <m/>
    <d v="2016-10-13T16:04:46"/>
    <d v="2016-10-13T00:00:00"/>
    <d v="2016-10-13T23:59:00"/>
    <m/>
    <n v="6"/>
    <m/>
    <n v="3528"/>
    <m/>
    <s v="N258"/>
    <s v="NWK ACCESS TECH"/>
    <s v="HEO"/>
    <s v="TRANSMITTERS AURORA"/>
    <s v="HDTX"/>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EC1"/>
    <s v="SJ2_STAG"/>
    <s v="COMCAST CABLE"/>
    <s v="1233 Cumberland St"/>
    <s v="PA"/>
    <s v="Lebanon"/>
    <s v="17042-4527"/>
    <s v="CX3002"/>
    <s v="COMMUNICATIONS MODULE"/>
    <s v="20116656"/>
    <s v="13.1"/>
    <x v="16"/>
    <n v="1950237"/>
    <d v="2016-10-13T12:00:36"/>
    <m/>
    <d v="2016-10-13T16:04:46"/>
    <d v="2016-10-13T00:00:00"/>
    <d v="2016-10-13T23:59:00"/>
    <m/>
    <n v="2"/>
    <m/>
    <n v="572"/>
    <m/>
    <s v="N080"/>
    <s v="NWK ACCESS TECH"/>
    <s v="HEO"/>
    <s v="HEO MISC AURORA"/>
    <s v="N080"/>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3P12L2"/>
    <s v="SJ2_STAG"/>
    <s v="COMCAST CABLE"/>
    <s v="1233 Cumberland St"/>
    <s v="PA"/>
    <s v="Lebanon"/>
    <s v="17042-4527"/>
    <s v="HT3541H-D-A200-2-AS"/>
    <s v="XMTR DD 1.2GHZ FULL SPECTRUM 3"/>
    <s v="20116656"/>
    <s v="14.1"/>
    <x v="16"/>
    <n v="1950226"/>
    <d v="2016-10-13T12:00:36"/>
    <m/>
    <d v="2016-10-13T16:04:46"/>
    <d v="2016-10-13T00:00:00"/>
    <d v="2016-10-13T23:59:00"/>
    <m/>
    <n v="3"/>
    <m/>
    <n v="4191"/>
    <m/>
    <s v="HE64"/>
    <s v="NWK ACCESS TECH"/>
    <s v="HEO"/>
    <s v="TRANSMITTER"/>
    <s v="HT"/>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3P04L2"/>
    <s v="SJ2_STAG"/>
    <s v="COMCAST CABLE"/>
    <s v="1233 Cumberland St"/>
    <s v="PA"/>
    <s v="Lebanon"/>
    <s v="17042-4527"/>
    <s v="HT3541H-D-A200-2-AS"/>
    <s v="XMTR DD 1.2GHZ FULL SPECTRUM 3"/>
    <s v="20116656"/>
    <s v="14.1"/>
    <x v="16"/>
    <n v="1950226"/>
    <d v="2016-10-13T12:00:36"/>
    <m/>
    <d v="2016-10-13T16:04:46"/>
    <d v="2016-10-13T00:00:00"/>
    <d v="2016-10-13T23:59:00"/>
    <m/>
    <n v="7"/>
    <m/>
    <n v="9779"/>
    <m/>
    <s v="HE64"/>
    <s v="NWK ACCESS TECH"/>
    <s v="HEO"/>
    <s v="TRANSMITTER"/>
    <s v="HT"/>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3P13L2"/>
    <s v="SJ2_STAG"/>
    <s v="COMCAST CABLE"/>
    <s v="1233 Cumberland St"/>
    <s v="PA"/>
    <s v="Lebanon"/>
    <s v="17042-4527"/>
    <s v="HT3541H-D-A290-2-AS"/>
    <s v="XMTR DD 1.2GHZ FULL SPECTRUM 3"/>
    <s v="20116656"/>
    <s v="17.1"/>
    <x v="16"/>
    <n v="1950226"/>
    <d v="2016-10-13T12:00:36"/>
    <m/>
    <d v="2016-10-13T16:04:46"/>
    <d v="2016-10-13T00:00:00"/>
    <d v="2016-10-13T23:59:00"/>
    <m/>
    <n v="1"/>
    <m/>
    <n v="1397"/>
    <m/>
    <s v="HE64"/>
    <s v="NWK ACCESS TECH"/>
    <s v="HEO"/>
    <s v="TRANSMITTER"/>
    <s v="HT"/>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3P11L4"/>
    <s v="SJ2_STAG"/>
    <s v="COMCAST CABLE"/>
    <s v="1233 Cumberland St"/>
    <s v="PA"/>
    <s v="Lebanon"/>
    <s v="17042-4527"/>
    <s v="HT3541H-D-A290-2-AS"/>
    <s v="XMTR DD 1.2GHZ FULL SPECTRUM 3"/>
    <s v="20116656"/>
    <s v="17.1"/>
    <x v="16"/>
    <n v="1950226"/>
    <d v="2016-10-13T12:00:36"/>
    <m/>
    <d v="2016-10-13T16:04:46"/>
    <d v="2016-10-13T00:00:00"/>
    <d v="2016-10-13T23:59:00"/>
    <m/>
    <n v="1"/>
    <m/>
    <n v="1397"/>
    <m/>
    <s v="HE64"/>
    <s v="NWK ACCESS TECH"/>
    <s v="HEO"/>
    <s v="TRANSMITTER"/>
    <s v="HT"/>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15P02L1"/>
    <s v="SJ2_STAG"/>
    <s v="COMCAST CABLE"/>
    <s v="1233 Cumberland St"/>
    <s v="PA"/>
    <s v="Lebanon"/>
    <s v="17042-4527"/>
    <s v="BP3400C-00"/>
    <s v="BACKPLATE 4.25 GB/S 1-FER/2-FE"/>
    <s v="20116656"/>
    <s v="18.1"/>
    <x v="16"/>
    <n v="1950226"/>
    <d v="2016-10-13T12:00:36"/>
    <m/>
    <d v="2016-10-13T16:04:46"/>
    <d v="2016-10-13T00:00:00"/>
    <d v="2016-10-13T23:59:00"/>
    <m/>
    <n v="2"/>
    <m/>
    <n v="784"/>
    <m/>
    <s v="N076"/>
    <s v="NWK ACCESS TECH"/>
    <s v="HEO"/>
    <s v="HEO MISC AURORA"/>
    <s v="N076"/>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16P02L3B01"/>
    <s v="SJ2_STAG"/>
    <s v="COMCAST CABLE"/>
    <s v="1233 Cumberland St"/>
    <s v="PA"/>
    <s v="Lebanon"/>
    <s v="17042-4527"/>
    <s v="DR3450N-50-00"/>
    <s v="DIGITAL RECEIVER Q-RX 2.125GBP"/>
    <s v="20116656"/>
    <s v="19.1"/>
    <x v="16"/>
    <n v="1950228"/>
    <d v="2016-10-13T12:00:36"/>
    <m/>
    <d v="2016-10-13T16:04:46"/>
    <d v="2016-10-13T00:00:00"/>
    <d v="2016-10-13T23:59:00"/>
    <m/>
    <n v="6"/>
    <m/>
    <n v="7200"/>
    <m/>
    <s v="N275"/>
    <s v="NWK ACCESS TECH"/>
    <s v="HEO"/>
    <s v="RECEIVERS AURORA"/>
    <s v="N275"/>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15P66L3"/>
    <s v="SJ2_STAG"/>
    <s v="COMCAST CABLE"/>
    <s v="1233 Cumberland St"/>
    <s v="PA"/>
    <s v="Lebanon"/>
    <s v="17042-4527"/>
    <s v="NC412A2S2A5-U0000000"/>
    <s v="NODE 5-42/51-1GHz JXP 2X2 SEG"/>
    <s v="20116656"/>
    <s v="2.1"/>
    <x v="16"/>
    <n v="1950228"/>
    <d v="2016-10-13T12:00:36"/>
    <m/>
    <d v="2016-10-13T16:04:46"/>
    <d v="2016-10-13T00:00:00"/>
    <d v="2016-10-13T23:59:00"/>
    <m/>
    <n v="5"/>
    <m/>
    <n v="10205"/>
    <m/>
    <s v="N034"/>
    <s v="NWK ACCESS TECH"/>
    <s v="NODE"/>
    <s v="NC4000 AURORA"/>
    <s v="N03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15P59L1"/>
    <s v="SJ2_STAG"/>
    <s v="COMCAST CABLE"/>
    <s v="1233 Cumberland St"/>
    <s v="PA"/>
    <s v="Lebanon"/>
    <s v="17042-4527"/>
    <s v="PF3000C-FM-00"/>
    <s v="PASSIVE FRAME 4RU FBR MGT COVE"/>
    <s v="20116656"/>
    <s v="22.1"/>
    <x v="16"/>
    <n v="1950226"/>
    <d v="2016-10-13T12:00:36"/>
    <m/>
    <d v="2016-10-13T16:04:46"/>
    <d v="2016-10-13T00:00:00"/>
    <d v="2016-10-13T23:59:00"/>
    <m/>
    <n v="2"/>
    <m/>
    <n v="396"/>
    <m/>
    <s v="N224"/>
    <s v="NWK ACCESS TECH"/>
    <s v="ACCESS OTHER"/>
    <s v="OTHER AURORA"/>
    <s v="N22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15P68L1"/>
    <s v="SJ2_STAG"/>
    <s v="COMCAST CABLE"/>
    <s v="1233 Cumberland St"/>
    <s v="PA"/>
    <s v="Lebanon"/>
    <s v="17042-4527"/>
    <s v="CH3000U-FM-00"/>
    <s v="ADAPTER FIBER MGT FOR CH3000 C"/>
    <s v="20116656"/>
    <s v="23.1"/>
    <x v="16"/>
    <n v="1950226"/>
    <d v="2016-10-13T12:00:36"/>
    <m/>
    <d v="2016-10-13T16:04:46"/>
    <d v="2016-10-13T00:00:00"/>
    <d v="2016-10-13T23:59:00"/>
    <m/>
    <n v="3"/>
    <m/>
    <n v="165"/>
    <m/>
    <s v="N199"/>
    <s v="NWK ACCESS TECH"/>
    <s v="HEO"/>
    <s v="HEO MISC AURORA"/>
    <s v="N199"/>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3P10L6"/>
    <s v="SJ2_STAG"/>
    <s v="COMCAST CABLE"/>
    <s v="1233 Cumberland St"/>
    <s v="PA"/>
    <s v="Lebanon"/>
    <s v="17042-4527"/>
    <s v="OP34F1D-1590-0-00-AS"/>
    <s v="CWDM FLTR DUAL 1590NM SC/APC 3"/>
    <s v="20116656"/>
    <s v="24.1"/>
    <x v="16"/>
    <n v="1950226"/>
    <d v="2016-10-13T12:00:36"/>
    <m/>
    <d v="2016-10-13T16:04:46"/>
    <d v="2016-10-13T00:00:00"/>
    <d v="2016-10-13T23:59:00"/>
    <m/>
    <n v="1"/>
    <m/>
    <n v="291"/>
    <m/>
    <s v="N156"/>
    <s v="NWK ACCESS TECH"/>
    <s v="ACCESS OTHER"/>
    <s v="OTHER AURORA"/>
    <s v="N156"/>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15P43L5"/>
    <s v="SJ2_STAG"/>
    <s v="COMCAST CABLE"/>
    <s v="1233 Cumberland St"/>
    <s v="PA"/>
    <s v="Lebanon"/>
    <s v="17042-4527"/>
    <s v="NC412A4S2A4-UU000000"/>
    <s v="NODE 5-42/51-1GHz JXP 4x4 SEG"/>
    <s v="20116656"/>
    <s v="3.1"/>
    <x v="16"/>
    <n v="1950228"/>
    <d v="2016-10-13T12:00:36"/>
    <m/>
    <d v="2016-10-13T16:04:46"/>
    <d v="2016-10-13T00:00:00"/>
    <d v="2016-10-13T23:59:00"/>
    <m/>
    <n v="2"/>
    <m/>
    <n v="6156"/>
    <m/>
    <s v="N034"/>
    <s v="NWK ACCESS TECH"/>
    <s v="NODE"/>
    <s v="NC4000 AURORA"/>
    <s v="N03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15P19L2"/>
    <s v="SJ2_STAG"/>
    <s v="COMCAST CABLE"/>
    <s v="1233 Cumberland St"/>
    <s v="PA"/>
    <s v="Lebanon"/>
    <s v="17042-4527"/>
    <s v="CH3000N"/>
    <s v="CHASSIS NO COVERS 3RU"/>
    <s v="20116656"/>
    <s v="7.1"/>
    <x v="16"/>
    <n v="1950228"/>
    <d v="2016-10-13T12:00:36"/>
    <m/>
    <d v="2016-10-13T16:04:46"/>
    <d v="2016-10-13T00:00:00"/>
    <d v="2016-10-13T23:59:00"/>
    <m/>
    <n v="2"/>
    <m/>
    <n v="440"/>
    <m/>
    <s v="N199"/>
    <s v="NWK ACCESS TECH"/>
    <s v="HEO"/>
    <s v="HEO MISC AURORA"/>
    <s v="N199"/>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16P23L1B01"/>
    <s v="SJ2_STAG"/>
    <s v="COMCAST CABLE"/>
    <s v="1233 Cumberland St"/>
    <s v="PA"/>
    <s v="Lebanon"/>
    <s v="17042-4527"/>
    <s v="PS3148D"/>
    <s v="POWER SUPPLY W/DISPLAY -48VDC"/>
    <s v="20116656"/>
    <s v="8.1"/>
    <x v="16"/>
    <n v="1950228"/>
    <d v="2016-10-13T12:00:36"/>
    <m/>
    <d v="2016-10-13T16:04:46"/>
    <d v="2016-10-13T00:00:00"/>
    <d v="2016-10-13T23:59:00"/>
    <m/>
    <n v="2"/>
    <m/>
    <n v="1228"/>
    <m/>
    <s v="N204"/>
    <s v="NWK ACCESS TECH"/>
    <s v="ACCESS OTHER"/>
    <s v="OTHER AURORA"/>
    <s v="N20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15P22L4"/>
    <s v="SJ2_STAG"/>
    <s v="COMCAST CABLE"/>
    <s v="1233 Cumberland St"/>
    <s v="PA"/>
    <s v="Lebanon"/>
    <s v="17042-4527"/>
    <s v="PS3148N"/>
    <s v="POWER SUPPLY NO DISPLAY -48VDC"/>
    <s v="20116656"/>
    <s v="9.1"/>
    <x v="16"/>
    <n v="1950226"/>
    <d v="2016-10-13T12:00:36"/>
    <m/>
    <d v="2016-10-13T16:04:46"/>
    <d v="2016-10-13T00:00:00"/>
    <d v="2016-10-13T23:59:00"/>
    <m/>
    <n v="2"/>
    <m/>
    <n v="1056"/>
    <m/>
    <s v="N204"/>
    <s v="NWK ACCESS TECH"/>
    <s v="ACCESS OTHER"/>
    <s v="OTHER AURORA"/>
    <s v="N20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15P64L2"/>
    <s v="SJ2_STAG"/>
    <s v="COMCAST CABLE COMM MGMT, LLC"/>
    <s v="400 Riverfront Dr"/>
    <s v="PA"/>
    <s v="Reading"/>
    <s v="19602-2600"/>
    <s v="NC412A1S2A1-U0000000"/>
    <s v="NODE 5-42/51-1GHz JXP HG RX DT"/>
    <s v="20116659"/>
    <s v="1.1"/>
    <x v="17"/>
    <n v="1950280"/>
    <d v="2016-10-13T12:11:14"/>
    <m/>
    <d v="2016-10-13T17:04:44"/>
    <d v="2016-10-13T00:00:00"/>
    <d v="2016-10-13T23:59:00"/>
    <m/>
    <n v="1"/>
    <m/>
    <n v="1665"/>
    <m/>
    <s v="N034"/>
    <s v="NWK ACCESS TECH"/>
    <s v="NODE"/>
    <s v="NC4000 AURORA"/>
    <s v="N034"/>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4P03L1B01"/>
    <s v="SJ2_STAG"/>
    <s v="COMCAST CABLE COMM MGMT, LLC"/>
    <s v="400 Riverfront Dr"/>
    <s v="PA"/>
    <s v="Reading"/>
    <s v="19602-2600"/>
    <s v="BD31A4-100-H12F-0-AS"/>
    <s v="OPT PASSTHRU BD 4 XMTR 4 BC 4"/>
    <s v="20116659"/>
    <s v="10.1"/>
    <x v="17"/>
    <n v="1950279"/>
    <d v="2016-10-13T12:11:14"/>
    <m/>
    <d v="2016-10-13T17:04:44"/>
    <d v="2016-10-13T00:00:00"/>
    <d v="2016-10-13T23:59:00"/>
    <m/>
    <n v="15"/>
    <m/>
    <n v="8820"/>
    <m/>
    <s v="N258"/>
    <s v="NWK ACCESS TECH"/>
    <s v="HEO"/>
    <s v="TRANSMITTERS AURORA"/>
    <s v="HDTX"/>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EC1"/>
    <s v="SJ2_STAG"/>
    <s v="COMCAST CABLE COMM MGMT, LLC"/>
    <s v="400 Riverfront Dr"/>
    <s v="PA"/>
    <s v="Reading"/>
    <s v="19602-2600"/>
    <s v="CX3002"/>
    <s v="COMMUNICATIONS MODULE"/>
    <s v="20116659"/>
    <s v="13.1"/>
    <x v="17"/>
    <n v="1950279"/>
    <d v="2016-10-13T12:11:14"/>
    <m/>
    <d v="2016-10-13T17:04:44"/>
    <d v="2016-10-13T00:00:00"/>
    <d v="2016-10-13T23:59:00"/>
    <m/>
    <n v="5"/>
    <m/>
    <n v="1430"/>
    <m/>
    <s v="N080"/>
    <s v="NWK ACCESS TECH"/>
    <s v="HEO"/>
    <s v="HEO MISC AURORA"/>
    <s v="N080"/>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3P12L2"/>
    <s v="SJ2_STAG"/>
    <s v="COMCAST CABLE COMM MGMT, LLC"/>
    <s v="400 Riverfront Dr"/>
    <s v="PA"/>
    <s v="Reading"/>
    <s v="19602-2600"/>
    <s v="HT3541H-D-A200-2-AS"/>
    <s v="XMTR DD 1.2GHZ FULL SPECTRUM 3"/>
    <s v="20116659"/>
    <s v="14.1"/>
    <x v="17"/>
    <n v="1950279"/>
    <d v="2016-10-13T12:11:14"/>
    <m/>
    <d v="2016-10-13T17:04:44"/>
    <d v="2016-10-13T00:00:00"/>
    <d v="2016-10-13T23:59:00"/>
    <m/>
    <n v="26"/>
    <m/>
    <n v="36322"/>
    <m/>
    <s v="HE64"/>
    <s v="NWK ACCESS TECH"/>
    <s v="HEO"/>
    <s v="TRANSMITTER"/>
    <s v="HT"/>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3P13L2"/>
    <s v="SJ2_STAG"/>
    <s v="COMCAST CABLE COMM MGMT, LLC"/>
    <s v="400 Riverfront Dr"/>
    <s v="PA"/>
    <s v="Reading"/>
    <s v="19602-2600"/>
    <s v="HT3541H-D-A290-2-AS"/>
    <s v="XMTR DD 1.2GHZ FULL SPECTRUM 3"/>
    <s v="20116659"/>
    <s v="17.1"/>
    <x v="17"/>
    <n v="1950279"/>
    <d v="2016-10-13T12:11:14"/>
    <m/>
    <d v="2016-10-13T17:04:44"/>
    <d v="2016-10-13T00:00:00"/>
    <d v="2016-10-13T23:59:00"/>
    <m/>
    <n v="4"/>
    <m/>
    <n v="5588"/>
    <m/>
    <s v="HE64"/>
    <s v="NWK ACCESS TECH"/>
    <s v="HEO"/>
    <s v="TRANSMITTER"/>
    <s v="HT"/>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15P02L1"/>
    <s v="SJ2_STAG"/>
    <s v="COMCAST CABLE COMM MGMT, LLC"/>
    <s v="400 Riverfront Dr"/>
    <s v="PA"/>
    <s v="Reading"/>
    <s v="19602-2600"/>
    <s v="BP3400C-00"/>
    <s v="BACKPLATE 4.25 GB/S 1-FER/2-FE"/>
    <s v="20116659"/>
    <s v="18.1"/>
    <x v="17"/>
    <n v="1950279"/>
    <d v="2016-10-13T12:11:14"/>
    <m/>
    <d v="2016-10-13T17:04:44"/>
    <d v="2016-10-13T00:00:00"/>
    <d v="2016-10-13T23:59:00"/>
    <m/>
    <n v="4"/>
    <m/>
    <n v="1568"/>
    <m/>
    <s v="N076"/>
    <s v="NWK ACCESS TECH"/>
    <s v="HEO"/>
    <s v="HEO MISC AURORA"/>
    <s v="N076"/>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16P02L3B01"/>
    <s v="SJ2_STAG"/>
    <s v="COMCAST CABLE COMM MGMT, LLC"/>
    <s v="400 Riverfront Dr"/>
    <s v="PA"/>
    <s v="Reading"/>
    <s v="19602-2600"/>
    <s v="DR3450N-50-00"/>
    <s v="DIGITAL RECEIVER Q-RX 2.125GBP"/>
    <s v="20116659"/>
    <s v="19.1"/>
    <x v="17"/>
    <n v="1950280"/>
    <d v="2016-10-13T12:11:14"/>
    <m/>
    <d v="2016-10-13T17:04:44"/>
    <d v="2016-10-13T00:00:00"/>
    <d v="2016-10-13T23:59:00"/>
    <m/>
    <n v="15"/>
    <m/>
    <n v="18000"/>
    <m/>
    <s v="N275"/>
    <s v="NWK ACCESS TECH"/>
    <s v="HEO"/>
    <s v="RECEIVERS AURORA"/>
    <s v="N275"/>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15P59L1"/>
    <s v="SJ2_STAG"/>
    <s v="COMCAST CABLE COMM MGMT, LLC"/>
    <s v="400 Riverfront Dr"/>
    <s v="PA"/>
    <s v="Reading"/>
    <s v="19602-2600"/>
    <s v="PF3000C-FM-00"/>
    <s v="PASSIVE FRAME 4RU FBR MGT COVE"/>
    <s v="20116659"/>
    <s v="22.1"/>
    <x v="17"/>
    <n v="1950279"/>
    <d v="2016-10-13T12:11:14"/>
    <m/>
    <d v="2016-10-13T17:04:44"/>
    <d v="2016-10-13T00:00:00"/>
    <d v="2016-10-13T23:59:00"/>
    <m/>
    <n v="3"/>
    <m/>
    <n v="594"/>
    <m/>
    <s v="N224"/>
    <s v="NWK ACCESS TECH"/>
    <s v="ACCESS OTHER"/>
    <s v="OTHER AURORA"/>
    <s v="N224"/>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3P10L6"/>
    <s v="SJ2_STAG"/>
    <s v="COMCAST CABLE COMM MGMT, LLC"/>
    <s v="400 Riverfront Dr"/>
    <s v="PA"/>
    <s v="Reading"/>
    <s v="19602-2600"/>
    <s v="OP34F1D-1590-0-00-AS"/>
    <s v="CWDM FLTR DUAL 1590NM SC/APC 3"/>
    <s v="20116659"/>
    <s v="23.1"/>
    <x v="17"/>
    <n v="1950279"/>
    <d v="2016-10-13T12:11:14"/>
    <m/>
    <d v="2016-10-13T17:04:44"/>
    <d v="2016-10-13T00:00:00"/>
    <d v="2016-10-13T23:59:00"/>
    <m/>
    <n v="2"/>
    <m/>
    <n v="582"/>
    <m/>
    <s v="N156"/>
    <s v="NWK ACCESS TECH"/>
    <s v="ACCESS OTHER"/>
    <s v="OTHER AURORA"/>
    <s v="N156"/>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15P43L5"/>
    <s v="SJ2_STAG"/>
    <s v="COMCAST CABLE COMM MGMT, LLC"/>
    <s v="400 Riverfront Dr"/>
    <s v="PA"/>
    <s v="Reading"/>
    <s v="19602-2600"/>
    <s v="NC412A4S2A4-UU000000"/>
    <s v="NODE 5-42/51-1GHz JXP 4x4 SEG"/>
    <s v="20116659"/>
    <s v="3.1"/>
    <x v="17"/>
    <n v="1950280"/>
    <d v="2016-10-13T12:11:14"/>
    <m/>
    <d v="2016-10-13T17:04:44"/>
    <d v="2016-10-13T00:00:00"/>
    <d v="2016-10-13T23:59:00"/>
    <m/>
    <n v="4"/>
    <m/>
    <n v="12312"/>
    <m/>
    <s v="N034"/>
    <s v="NWK ACCESS TECH"/>
    <s v="NODE"/>
    <s v="NC4000 AURORA"/>
    <s v="N034"/>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3P11L6"/>
    <s v="SJ2_STAG"/>
    <s v="COMCAST CABLE COMM MGMT, LLC"/>
    <s v="400 Riverfront Dr"/>
    <s v="PA"/>
    <s v="Reading"/>
    <s v="19602-2600"/>
    <s v="CH3000N"/>
    <s v="CHASSIS NO COVERS 3RU"/>
    <s v="20116659"/>
    <s v="7.1"/>
    <x v="17"/>
    <n v="1950280"/>
    <d v="2016-10-13T12:11:14"/>
    <m/>
    <d v="2016-10-13T17:04:44"/>
    <d v="2016-10-13T00:00:00"/>
    <d v="2016-10-13T23:59:00"/>
    <m/>
    <n v="1"/>
    <m/>
    <n v="220"/>
    <m/>
    <s v="N199"/>
    <s v="NWK ACCESS TECH"/>
    <s v="HEO"/>
    <s v="HEO MISC AURORA"/>
    <s v="N199"/>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15P19L2"/>
    <s v="SJ2_STAG"/>
    <s v="COMCAST CABLE COMM MGMT, LLC"/>
    <s v="400 Riverfront Dr"/>
    <s v="PA"/>
    <s v="Reading"/>
    <s v="19602-2600"/>
    <s v="CH3000N"/>
    <s v="CHASSIS NO COVERS 3RU"/>
    <s v="20116659"/>
    <s v="7.1"/>
    <x v="17"/>
    <n v="1950280"/>
    <d v="2016-10-13T12:11:14"/>
    <m/>
    <d v="2016-10-13T17:04:44"/>
    <d v="2016-10-13T00:00:00"/>
    <d v="2016-10-13T23:59:00"/>
    <m/>
    <n v="4"/>
    <m/>
    <n v="880"/>
    <m/>
    <s v="N199"/>
    <s v="NWK ACCESS TECH"/>
    <s v="HEO"/>
    <s v="HEO MISC AURORA"/>
    <s v="N199"/>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16P23L1B01"/>
    <s v="SJ2_STAG"/>
    <s v="COMCAST CABLE COMM MGMT, LLC"/>
    <s v="400 Riverfront Dr"/>
    <s v="PA"/>
    <s v="Reading"/>
    <s v="19602-2600"/>
    <s v="PS3148D"/>
    <s v="POWER SUPPLY W/DISPLAY -48VDC"/>
    <s v="20116659"/>
    <s v="8.1"/>
    <x v="17"/>
    <n v="1950280"/>
    <d v="2016-10-13T12:11:14"/>
    <m/>
    <d v="2016-10-13T17:04:44"/>
    <d v="2016-10-13T00:00:00"/>
    <d v="2016-10-13T23:59:00"/>
    <m/>
    <n v="5"/>
    <m/>
    <n v="3070"/>
    <m/>
    <s v="N204"/>
    <s v="NWK ACCESS TECH"/>
    <s v="ACCESS OTHER"/>
    <s v="OTHER AURORA"/>
    <s v="N204"/>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15P22L4"/>
    <s v="SJ2_STAG"/>
    <s v="COMCAST CABLE COMM MGMT, LLC"/>
    <s v="400 Riverfront Dr"/>
    <s v="PA"/>
    <s v="Reading"/>
    <s v="19602-2600"/>
    <s v="PS3148N"/>
    <s v="POWER SUPPLY NO DISPLAY -48VDC"/>
    <s v="20116659"/>
    <s v="9.1"/>
    <x v="17"/>
    <n v="1950279"/>
    <d v="2016-10-13T12:11:14"/>
    <m/>
    <d v="2016-10-13T17:04:44"/>
    <d v="2016-10-13T00:00:00"/>
    <d v="2016-10-13T23:59:00"/>
    <m/>
    <n v="5"/>
    <m/>
    <n v="2640"/>
    <m/>
    <s v="N204"/>
    <s v="NWK ACCESS TECH"/>
    <s v="ACCESS OTHER"/>
    <s v="OTHER AURORA"/>
    <s v="N204"/>
    <s v="AS-STANDARD ORDER MIXED"/>
    <s v="A-SURFACE"/>
    <s v="OP"/>
    <n v="124239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66L3"/>
    <s v="SJ2_STAG"/>
    <s v="COMCAST CABLE"/>
    <s v="4601 SMITH ST"/>
    <s v="PA"/>
    <s v="HARRISBURG"/>
    <s v="17109"/>
    <s v="NC412A2S2A5-U0000000"/>
    <s v="NODE 5-42/51-1GHz JXP 2X2 SEG"/>
    <s v="20116672"/>
    <s v="1.1"/>
    <x v="18"/>
    <n v="1950229"/>
    <d v="2016-10-13T12:46:08"/>
    <m/>
    <d v="2016-10-13T16:04:46"/>
    <d v="2016-10-13T00:00:00"/>
    <d v="2016-10-13T23:59:00"/>
    <m/>
    <n v="2"/>
    <m/>
    <n v="4082"/>
    <m/>
    <s v="N034"/>
    <s v="NWK ACCESS TECH"/>
    <s v="NODE"/>
    <s v="NC4000 AURORA"/>
    <s v="N03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EC1"/>
    <s v="SJ2_STAG"/>
    <s v="COMCAST CABLE"/>
    <s v="4601 SMITH ST"/>
    <s v="PA"/>
    <s v="HARRISBURG"/>
    <s v="17109"/>
    <s v="CX3002"/>
    <s v="COMMUNICATIONS MODULE"/>
    <s v="20116672"/>
    <s v="10.1"/>
    <x v="18"/>
    <n v="1950227"/>
    <d v="2016-10-13T12:46:08"/>
    <m/>
    <d v="2016-10-13T16:04:46"/>
    <d v="2016-10-13T00:00:00"/>
    <d v="2016-10-13T23:59:00"/>
    <m/>
    <n v="2"/>
    <m/>
    <n v="572"/>
    <m/>
    <s v="N080"/>
    <s v="NWK ACCESS TECH"/>
    <s v="HEO"/>
    <s v="HEO MISC AURORA"/>
    <s v="N080"/>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3P12L2"/>
    <s v="SJ2_STAG"/>
    <s v="COMCAST CABLE"/>
    <s v="4601 SMITH ST"/>
    <s v="PA"/>
    <s v="HARRISBURG"/>
    <s v="17109"/>
    <s v="HT3541H-D-A200-2-AS"/>
    <s v="XMTR DD 1.2GHZ FULL SPECTRUM 3"/>
    <s v="20116672"/>
    <s v="11.1"/>
    <x v="18"/>
    <n v="1950227"/>
    <d v="2016-10-13T12:46:08"/>
    <m/>
    <d v="2016-10-13T16:04:46"/>
    <d v="2016-10-13T00:00:00"/>
    <d v="2016-10-13T23:59:00"/>
    <m/>
    <n v="2"/>
    <m/>
    <n v="2794"/>
    <m/>
    <s v="HE64"/>
    <s v="NWK ACCESS TECH"/>
    <s v="HEO"/>
    <s v="TRANSMITTER"/>
    <s v="HT"/>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02L1"/>
    <s v="SJ2_STAG"/>
    <s v="COMCAST CABLE"/>
    <s v="4601 SMITH ST"/>
    <s v="PA"/>
    <s v="HARRISBURG"/>
    <s v="17109"/>
    <s v="BP3400C-00"/>
    <s v="BACKPLATE 4.25 GB/S 1-FER/2-FE"/>
    <s v="20116672"/>
    <s v="13.1"/>
    <x v="18"/>
    <n v="1950227"/>
    <d v="2016-10-13T12:46:08"/>
    <m/>
    <d v="2016-10-13T16:04:46"/>
    <d v="2016-10-13T00:00:00"/>
    <d v="2016-10-13T23:59:00"/>
    <m/>
    <n v="1"/>
    <m/>
    <n v="392"/>
    <m/>
    <s v="N076"/>
    <s v="NWK ACCESS TECH"/>
    <s v="HEO"/>
    <s v="HEO MISC AURORA"/>
    <s v="N076"/>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6P02L3B01"/>
    <s v="SJ2_STAG"/>
    <s v="COMCAST CABLE"/>
    <s v="4601 SMITH ST"/>
    <s v="PA"/>
    <s v="HARRISBURG"/>
    <s v="17109"/>
    <s v="DR3450N-50-00"/>
    <s v="DIGITAL RECEIVER Q-RX 2.125GBP"/>
    <s v="20116672"/>
    <s v="14.1"/>
    <x v="18"/>
    <n v="1950229"/>
    <d v="2016-10-13T12:46:08"/>
    <m/>
    <d v="2016-10-13T16:04:46"/>
    <d v="2016-10-13T00:00:00"/>
    <d v="2016-10-13T23:59:00"/>
    <m/>
    <n v="1"/>
    <m/>
    <n v="1200"/>
    <m/>
    <s v="N275"/>
    <s v="NWK ACCESS TECH"/>
    <s v="HEO"/>
    <s v="RECEIVERS AURORA"/>
    <s v="N275"/>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59L1"/>
    <s v="SJ2_STAG"/>
    <s v="COMCAST CABLE"/>
    <s v="4601 SMITH ST"/>
    <s v="PA"/>
    <s v="HARRISBURG"/>
    <s v="17109"/>
    <s v="PF3000C-FM-00"/>
    <s v="PASSIVE FRAME 4RU FBR MGT COVE"/>
    <s v="20116672"/>
    <s v="17.1"/>
    <x v="18"/>
    <n v="1950227"/>
    <d v="2016-10-13T12:46:08"/>
    <m/>
    <d v="2016-10-13T16:04:46"/>
    <d v="2016-10-13T00:00:00"/>
    <d v="2016-10-13T23:59:00"/>
    <m/>
    <n v="1"/>
    <m/>
    <n v="198"/>
    <m/>
    <s v="N224"/>
    <s v="NWK ACCESS TECH"/>
    <s v="ACCESS OTHER"/>
    <s v="OTHER AURORA"/>
    <s v="N22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19L2"/>
    <s v="SJ2_STAG"/>
    <s v="COMCAST CABLE"/>
    <s v="4601 SMITH ST"/>
    <s v="PA"/>
    <s v="HARRISBURG"/>
    <s v="17109"/>
    <s v="CH3000N"/>
    <s v="CHASSIS NO COVERS 3RU"/>
    <s v="20116672"/>
    <s v="4.1"/>
    <x v="18"/>
    <n v="1950229"/>
    <d v="2016-10-13T12:46:08"/>
    <m/>
    <d v="2016-10-13T16:04:46"/>
    <d v="2016-10-13T00:00:00"/>
    <d v="2016-10-13T23:59:00"/>
    <m/>
    <n v="2"/>
    <m/>
    <n v="440"/>
    <m/>
    <s v="N199"/>
    <s v="NWK ACCESS TECH"/>
    <s v="HEO"/>
    <s v="HEO MISC AURORA"/>
    <s v="N199"/>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6P23L1B01"/>
    <s v="SJ2_STAG"/>
    <s v="COMCAST CABLE"/>
    <s v="4601 SMITH ST"/>
    <s v="PA"/>
    <s v="HARRISBURG"/>
    <s v="17109"/>
    <s v="PS3148D"/>
    <s v="POWER SUPPLY W/DISPLAY -48VDC"/>
    <s v="20116672"/>
    <s v="5.1"/>
    <x v="18"/>
    <n v="1950229"/>
    <d v="2016-10-13T12:46:08"/>
    <m/>
    <d v="2016-10-13T16:04:46"/>
    <d v="2016-10-13T00:00:00"/>
    <d v="2016-10-13T23:59:00"/>
    <m/>
    <n v="2"/>
    <m/>
    <n v="1228"/>
    <m/>
    <s v="N204"/>
    <s v="NWK ACCESS TECH"/>
    <s v="ACCESS OTHER"/>
    <s v="OTHER AURORA"/>
    <s v="N20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22L4"/>
    <s v="SJ2_STAG"/>
    <s v="COMCAST CABLE"/>
    <s v="4601 SMITH ST"/>
    <s v="PA"/>
    <s v="HARRISBURG"/>
    <s v="17109"/>
    <s v="PS3148N"/>
    <s v="POWER SUPPLY NO DISPLAY -48VDC"/>
    <s v="20116672"/>
    <s v="6.1"/>
    <x v="18"/>
    <n v="1950227"/>
    <d v="2016-10-13T12:46:08"/>
    <m/>
    <d v="2016-10-13T16:04:46"/>
    <d v="2016-10-13T00:00:00"/>
    <d v="2016-10-13T23:59:00"/>
    <m/>
    <n v="2"/>
    <m/>
    <n v="1056"/>
    <m/>
    <s v="N204"/>
    <s v="NWK ACCESS TECH"/>
    <s v="ACCESS OTHER"/>
    <s v="OTHER AURORA"/>
    <s v="N204"/>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4P03L1B01"/>
    <s v="SJ2_STAG"/>
    <s v="COMCAST CABLE"/>
    <s v="4601 SMITH ST"/>
    <s v="PA"/>
    <s v="HARRISBURG"/>
    <s v="17109"/>
    <s v="BD31A4-100-H12F-0-AS"/>
    <s v="OPT PASSTHRU BD 4 XMTR 4 BC 4"/>
    <s v="20116672"/>
    <s v="7.1"/>
    <x v="18"/>
    <n v="1950227"/>
    <d v="2016-10-13T12:46:08"/>
    <m/>
    <d v="2016-10-13T16:04:46"/>
    <d v="2016-10-13T00:00:00"/>
    <d v="2016-10-13T23:59:00"/>
    <m/>
    <n v="1"/>
    <m/>
    <n v="588"/>
    <m/>
    <s v="N258"/>
    <s v="NWK ACCESS TECH"/>
    <s v="HEO"/>
    <s v="TRANSMITTERS AURORA"/>
    <s v="HDTX"/>
    <s v="AS-STANDARD ORDER MIXED"/>
    <s v="A-SURFACE"/>
    <s v="OP"/>
    <n v="1242370"/>
    <s v="A-SURFACE"/>
    <m/>
    <m/>
    <m/>
    <s v="A-SURFACE"/>
    <s v="LTL"/>
    <s v="EXW"/>
    <s v="Collect"/>
    <m/>
    <m/>
    <s v="UNDER 200LBS UNPALLETIZED OR SINGLE BOX UNDER 150LBS USE FEDEX #128153870 OVER 200LBS USE OMNI LOGISTICS ACCT COMCASTLSS-COMCASTLSS@OMNILOGISTICS.COM 866-247-6664"/>
    <m/>
    <m/>
    <m/>
    <m/>
    <s v="0"/>
    <s v="0"/>
  </r>
  <r>
    <s v="SJ2"/>
    <s v="5000445"/>
    <s v="COMCAST"/>
    <s v="167871"/>
    <s v="R015P40L1"/>
    <s v="SJ2_STAG"/>
    <s v="COMCAST CABLE COMMUNICATIONS"/>
    <s v="1707 Imperial Way"/>
    <s v="NJ"/>
    <s v="West Deptford"/>
    <s v="08066-1818"/>
    <s v="FA4524S-01-AS"/>
    <s v="EDFA 24DBM FOR VH4000/NC4000 S"/>
    <s v="6900890"/>
    <s v="14.2"/>
    <x v="19"/>
    <n v="1932642"/>
    <d v="2016-07-18T00:00:00"/>
    <m/>
    <d v="2016-09-26T01:05:30"/>
    <d v="2016-07-20T00:00:00"/>
    <d v="2016-09-28T23:59:00"/>
    <m/>
    <n v="14"/>
    <m/>
    <n v="66570"/>
    <m/>
    <s v="N127"/>
    <s v="NWK ACCESS TECH"/>
    <s v="HPON"/>
    <s v="VHUB AURORA"/>
    <s v="N127"/>
    <s v="AUR-STANDARD ORDER MIXED"/>
    <s v="A-SURFACE"/>
    <s v="OP"/>
    <n v="1231632"/>
    <s v="A-SURFACE"/>
    <m/>
    <m/>
    <m/>
    <s v="A-SURFACE"/>
    <s v="LTL"/>
    <s v="EXW"/>
    <s v="Collect"/>
    <m/>
    <m/>
    <s v="Shipments under 200 lbs. FedEx 128153870 over 200# Omni Acct# Comcast212 Comcast@omnilogistics.com 866-247-6664, cc omnisfoops@omnilogistics.com on all OMNI pickup requests"/>
    <m/>
    <m/>
    <m/>
    <m/>
    <s v="0"/>
    <s v="0"/>
  </r>
  <r>
    <s v="SJ2"/>
    <s v="5000602"/>
    <s v="CABLEMAS, S.A. DE C.V."/>
    <s v="TULTITLAN"/>
    <s v="R016P05L1B02"/>
    <s v="SJ2_STAG"/>
    <s v="CEDIS CENTRO-SUR"/>
    <s v="CALLE BENITO JUAREZ NO 20"/>
    <s v="MEXICO"/>
    <s v="TULTITLAN"/>
    <s v="54948"/>
    <s v="CH3000N"/>
    <s v="CHASSIS NO COVERS 3RU"/>
    <s v="20111098"/>
    <s v="1.1"/>
    <x v="20"/>
    <n v="1942457"/>
    <d v="2016-09-14T14:15:11"/>
    <m/>
    <d v="2016-10-04T16:03:14"/>
    <d v="2016-10-03T00:00:00"/>
    <d v="2016-10-04T23:59:00"/>
    <m/>
    <n v="4"/>
    <n v="4"/>
    <n v="1040"/>
    <n v="1040"/>
    <s v="N199"/>
    <s v="NWK ACCESS TECH"/>
    <s v="HEO"/>
    <s v="HEO MISC AURORA"/>
    <s v="N199"/>
    <s v="AS-STANDARD ORDER MIXED"/>
    <s v="A-SURFACE"/>
    <s v="OP"/>
    <n v="12368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23P12L4"/>
    <s v="SJ2_STAG"/>
    <s v="CEDIS CENTRO-SUR"/>
    <s v="CALLE BENITO JUAREZ NO 20"/>
    <s v="MEXICO"/>
    <s v="TULTITLAN"/>
    <s v="54948"/>
    <s v="OP95D4-CF3-103-R2-AS"/>
    <s v="DEMUX DWDM 100GHZ 4 CH 03 F-CA"/>
    <s v="20111098"/>
    <s v="15.1"/>
    <x v="21"/>
    <n v="1947358"/>
    <d v="2016-09-14T14:15:11"/>
    <m/>
    <d v="2016-10-11T01:03:58"/>
    <d v="2016-10-03T00:00:00"/>
    <d v="2016-10-13T23:59:00"/>
    <m/>
    <n v="11"/>
    <n v="11"/>
    <n v="11495"/>
    <n v="11495"/>
    <s v="N160"/>
    <s v="NWK ACCESS TECH"/>
    <s v="OPTICAL PASSIVES"/>
    <s v="OUTDOOR PASSIVES AURORA"/>
    <s v="N160"/>
    <s v="AS-STANDARD ORDER MIXED"/>
    <s v="A-SURFACE"/>
    <s v="OP"/>
    <n v="1240761"/>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15P68L3"/>
    <s v="SJ2_STAG"/>
    <s v="CEDIS CENTRO-SUR"/>
    <s v="CALLE BENITO JUAREZ NO 20"/>
    <s v="MEXICO"/>
    <s v="TULTITLAN"/>
    <s v="54948"/>
    <s v="PS3148D"/>
    <s v="POWER SUPPLY W/DISPLAY -48VDC"/>
    <s v="20111098"/>
    <s v="2.1"/>
    <x v="22"/>
    <n v="1943629"/>
    <d v="2016-09-14T14:15:11"/>
    <m/>
    <d v="2016-10-05T15:03:38"/>
    <d v="2016-10-03T00:00:00"/>
    <d v="2016-10-05T23:59:00"/>
    <m/>
    <n v="4"/>
    <n v="4"/>
    <n v="3328"/>
    <n v="3328"/>
    <s v="N204"/>
    <s v="NWK ACCESS TECH"/>
    <s v="ACCESS OTHER"/>
    <s v="OTHER AURORA"/>
    <s v="N204"/>
    <s v="AS-STANDARD ORDER MIXED"/>
    <s v="A-SURFACE"/>
    <s v="OP"/>
    <n v="1237481"/>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16P24L2B01"/>
    <s v="SJ2_STAG"/>
    <s v="CEDIS CENTRO-SUR"/>
    <s v="CALLE BENITO JUAREZ NO 20"/>
    <s v="MEXICO"/>
    <s v="TULTITLAN"/>
    <s v="54948"/>
    <s v="PF3000C-FM-00"/>
    <s v="PASSIVE FRAME 4RU FBR MGT COVE"/>
    <s v="20111098"/>
    <s v="20.1"/>
    <x v="20"/>
    <n v="1942457"/>
    <d v="2016-09-14T14:15:11"/>
    <m/>
    <d v="2016-10-04T16:03:14"/>
    <d v="2016-10-03T00:00:00"/>
    <d v="2016-10-04T23:59:00"/>
    <m/>
    <n v="1"/>
    <n v="1"/>
    <n v="276"/>
    <n v="276"/>
    <s v="N224"/>
    <s v="NWK ACCESS TECH"/>
    <s v="ACCESS OTHER"/>
    <s v="OTHER AURORA"/>
    <s v="N224"/>
    <s v="AS-STANDARD ORDER MIXED"/>
    <s v="A-SURFACE"/>
    <s v="OP"/>
    <n v="12368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16P43L1B01"/>
    <s v="SJ2_STAG"/>
    <s v="CEDIS CENTRO-SUR"/>
    <s v="CALLE BENITO JUAREZ NO 20"/>
    <s v="MEXICO"/>
    <s v="TULTITLAN"/>
    <s v="54948"/>
    <s v="PS3148N"/>
    <s v="POWER SUPPLY NO DISPLAY -48VDC"/>
    <s v="20111098"/>
    <s v="3.1"/>
    <x v="20"/>
    <n v="1942457"/>
    <d v="2016-09-14T14:15:11"/>
    <m/>
    <d v="2016-10-04T16:03:14"/>
    <d v="2016-10-03T00:00:00"/>
    <d v="2016-10-04T23:59:00"/>
    <m/>
    <n v="4"/>
    <n v="4"/>
    <n v="2700"/>
    <n v="2700"/>
    <s v="N204"/>
    <s v="NWK ACCESS TECH"/>
    <s v="ACCESS OTHER"/>
    <s v="OTHER AURORA"/>
    <s v="N204"/>
    <s v="AS-STANDARD ORDER MIXED"/>
    <s v="A-SURFACE"/>
    <s v="OP"/>
    <n v="12368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
    <s v="R016P16L2B01"/>
    <s v="SJ2_STAG"/>
    <s v="CEDIS CENTRO-SUR"/>
    <s v="CALLE BENITO JUAREZ NO 20"/>
    <s v="MEXICO"/>
    <s v="TULTITLAN"/>
    <s v="54948"/>
    <s v="AR4203G-AS"/>
    <s v="OPTICAL RECEIVER 51-1002MHz FW"/>
    <s v="20111098"/>
    <s v="4.1"/>
    <x v="20"/>
    <n v="1942458"/>
    <d v="2016-09-14T14:15:11"/>
    <m/>
    <d v="2016-10-04T16:03:14"/>
    <d v="2016-10-03T00:00:00"/>
    <d v="2016-10-04T23:59:00"/>
    <m/>
    <n v="33"/>
    <n v="33"/>
    <n v="12276"/>
    <n v="12276"/>
    <s v="N222"/>
    <s v="NWK ACCESS TECH"/>
    <s v="HPON"/>
    <s v="VHUB AURORA"/>
    <s v="N222"/>
    <s v="AS-STANDARD ORDER MIXED"/>
    <s v="A-SURFACE"/>
    <s v="OP"/>
    <n v="1236885"/>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163423"/>
    <s v="R015P25L3"/>
    <s v="SJ2_STAG"/>
    <s v="Cablemas Telecomunicaciones"/>
    <s v="CEDIS Centro-Sur Calle Benito Juarez No. 20"/>
    <s v=".."/>
    <s v="TULTITLAN"/>
    <s v="C.P. 54948"/>
    <s v="OP94F1S-1610-R2-AS"/>
    <s v="FILTER CWDM S-CASE 2MM SC/APC"/>
    <s v="6900851"/>
    <s v="22.2"/>
    <x v="23"/>
    <n v="1947860"/>
    <d v="2016-08-04T00:00:00"/>
    <m/>
    <d v="2016-10-11T12:02:46"/>
    <d v="2016-08-04T00:00:00"/>
    <d v="2016-10-11T23:59:00"/>
    <m/>
    <n v="35"/>
    <n v="35"/>
    <n v="4585"/>
    <n v="4585"/>
    <s v="N156"/>
    <s v="NWK ACCESS TECH"/>
    <s v="ACCESS OTHER"/>
    <s v="OTHER AURORA"/>
    <s v="N156"/>
    <s v="AUR-STANDARD ORDER MIXED"/>
    <s v="See Shipping Instructions"/>
    <s v="OP"/>
    <n v="1241025"/>
    <s v="SSI"/>
    <m/>
    <m/>
    <m/>
    <s v="See Shipping Instructions"/>
    <s v="LTL"/>
    <s v="EXW"/>
    <s v="Collect"/>
    <m/>
    <m/>
    <s v="Call for Pick Up: Herlinda Marquez Cedillo - hmarquez@izzi.mx - Andres Del Rosario Perez - adelrosario@cablemas.com.mx - Tel#: 011 52 55 4122 8870 - WOOD PALLETS ONLY"/>
    <m/>
    <m/>
    <m/>
    <m/>
    <s v="0"/>
    <s v="0"/>
  </r>
  <r>
    <s v="SJ2"/>
    <s v="5000602"/>
    <s v="CABLEMAS, S.A. DE C.V."/>
    <s v="164324"/>
    <s v="R016P18L2B01"/>
    <s v="SJ2_STAG"/>
    <s v="Cablemas Telecomunicaciones"/>
    <s v="Almacen Regional Norte 1 Calle 1 113"/>
    <m/>
    <s v="Tijuana"/>
    <s v="CP: 22435"/>
    <s v="AR4003G-AS"/>
    <s v="OPTICAL RECEIVER 54-1002MHz FW"/>
    <s v="6901031"/>
    <s v="2.1"/>
    <x v="24"/>
    <n v="1947856"/>
    <d v="2016-08-02T00:00:00"/>
    <m/>
    <d v="2016-10-11T12:02:46"/>
    <d v="2016-10-03T00:00:00"/>
    <d v="2016-10-11T23:59:00"/>
    <m/>
    <n v="150"/>
    <m/>
    <n v="55800"/>
    <m/>
    <s v="N222"/>
    <s v="NWK ACCESS TECH"/>
    <s v="HPON"/>
    <s v="VHUB AURORA"/>
    <s v="N222"/>
    <s v="AUR-STANDARD ORDER MIXED"/>
    <s v="See Shipping Instructions"/>
    <s v="OP"/>
    <n v="1241025"/>
    <s v="SSI"/>
    <m/>
    <m/>
    <m/>
    <s v="See Shipping Instructions"/>
    <s v="LTL"/>
    <s v="EXW"/>
    <s v="Collect"/>
    <m/>
    <m/>
    <s v="Call for Pick Up: Herlinda Marquez Cedillo - hmarquez@izzi.mx - Andres Del Rosario Perez - adelrosario@cablemas.com.mx - Tel#: 011 52 55 4122 8870 - WOOD PALLETS ONLY"/>
    <m/>
    <m/>
    <m/>
    <m/>
    <s v="0"/>
    <s v="0"/>
  </r>
  <r>
    <s v="SJ2"/>
    <s v="5001170"/>
    <s v="TELMEX COLOMBIA S.A."/>
    <s v="CRA 7"/>
    <s v="R041P05L1"/>
    <s v="SJ2_STAG"/>
    <s v="TELMEX COLOMBIA S.A."/>
    <s v="CRA. 7 NO.63-44"/>
    <m/>
    <s v="BOGOTA"/>
    <s v="6500300"/>
    <s v="AT3535G-47-1-AS"/>
    <s v="TRANSMITTER 1GHZ 80 QAM CHAN 4"/>
    <s v="20106954"/>
    <s v="5.1"/>
    <x v="25"/>
    <n v="1944578"/>
    <d v="2016-08-24T10:30:24"/>
    <m/>
    <d v="2016-10-06T12:04:25"/>
    <d v="2016-08-25T00:00:00"/>
    <d v="2016-10-06T23:59:00"/>
    <m/>
    <n v="1"/>
    <n v="1"/>
    <n v="2484"/>
    <n v="2484"/>
    <s v="N004"/>
    <s v="NWK ACCESS TECH"/>
    <s v="HEO"/>
    <s v="TRANSMITTERS AURORA"/>
    <s v="N004"/>
    <s v="AS-STANDARD ORDER MIXED"/>
    <s v="A-CUST P/U"/>
    <s v="OP"/>
    <n v="1238034"/>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41P05L2"/>
    <s v="SJ2_STAG"/>
    <s v="TELMEX COLOMBIA S.A."/>
    <s v="CRA. 7 NO.63-44"/>
    <m/>
    <s v="BOGOTA"/>
    <s v="6500300"/>
    <s v="AT3535G-46-1-AS"/>
    <s v="TRANSMITTER 1GHZ 80 QAM CHAN 4"/>
    <s v="20106954"/>
    <s v="6.1"/>
    <x v="25"/>
    <n v="1944578"/>
    <d v="2016-08-24T10:30:24"/>
    <m/>
    <d v="2016-10-06T12:04:25"/>
    <d v="2016-08-25T00:00:00"/>
    <d v="2016-10-06T23:59:00"/>
    <m/>
    <n v="1"/>
    <n v="1"/>
    <n v="2484"/>
    <n v="2484"/>
    <s v="N004"/>
    <s v="NWK ACCESS TECH"/>
    <s v="HEO"/>
    <s v="TRANSMITTERS AURORA"/>
    <s v="N004"/>
    <s v="AS-STANDARD ORDER MIXED"/>
    <s v="A-CUST P/U"/>
    <s v="OP"/>
    <n v="1238034"/>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16P39L2B01"/>
    <s v="SJ2_STAG"/>
    <s v="TELMEX COLOMBIA S.A."/>
    <s v="CRA. 7 NO.63-44"/>
    <m/>
    <s v="BOGOTA"/>
    <s v="6500300"/>
    <s v="NH4000-VHP2"/>
    <s v="HOUSING VHUB DUAL PWR SPLY FBR"/>
    <s v="20112750"/>
    <s v="7.1"/>
    <x v="26"/>
    <n v="1944578"/>
    <d v="2016-09-22T15:01:12"/>
    <m/>
    <d v="2016-10-06T12:04:25"/>
    <d v="2016-10-06T00:00:00"/>
    <d v="2016-10-06T23:59:00"/>
    <m/>
    <n v="1"/>
    <n v="1"/>
    <n v="867"/>
    <n v="867"/>
    <s v="N224"/>
    <s v="NWK ACCESS TECH"/>
    <s v="ACCESS OTHER"/>
    <s v="OTHER AURORA"/>
    <s v="N224"/>
    <s v="AS-STANDARD ORDER MIXED"/>
    <s v="A-CUST P/U"/>
    <s v="OP"/>
    <n v="1238034"/>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15P29L2"/>
    <s v="SJ2_STAG"/>
    <s v="TELMEX COLOMBIA S.A."/>
    <s v="NIT 830.053.800-4 Sede Administrativa"/>
    <m/>
    <s v="BOGOTA"/>
    <s v="110921"/>
    <s v="PS3148N"/>
    <s v="POWER SUPPLY NO DISPLAY -48VDC"/>
    <s v="6901455"/>
    <s v="10.1"/>
    <x v="27"/>
    <n v="1944579"/>
    <d v="2016-08-29T09:35:59"/>
    <m/>
    <d v="2016-10-06T12:04:25"/>
    <d v="2016-08-29T00:00:00"/>
    <d v="2016-10-06T23:59:00"/>
    <m/>
    <n v="20"/>
    <n v="20"/>
    <n v="14940"/>
    <n v="14940"/>
    <s v="N204"/>
    <s v="NWK ACCESS TECH"/>
    <s v="ACCESS OTHER"/>
    <s v="OTHER AURORA"/>
    <s v="N204"/>
    <s v="AUR-STANDARD ORDER MIXED"/>
    <s v="A-SURFACE"/>
    <s v="OP"/>
    <n v="1238034"/>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15P68L3"/>
    <s v="SJ2_STAG"/>
    <s v="TELMEX COLOMBIA S.A."/>
    <s v="NIT 830.053.800-4 Sede Administrativa"/>
    <m/>
    <s v="BOGOTA"/>
    <s v="110921"/>
    <s v="PS3148D"/>
    <s v="POWER SUPPLY W/DISPLAY -48VDC"/>
    <s v="6901455"/>
    <s v="9.1"/>
    <x v="27"/>
    <n v="1944579"/>
    <d v="2016-08-29T09:35:59"/>
    <m/>
    <d v="2016-10-06T12:04:25"/>
    <d v="2016-08-29T00:00:00"/>
    <d v="2016-10-06T23:59:00"/>
    <m/>
    <n v="20"/>
    <n v="20"/>
    <n v="16660"/>
    <n v="16660"/>
    <s v="N204"/>
    <s v="NWK ACCESS TECH"/>
    <s v="ACCESS OTHER"/>
    <s v="OTHER AURORA"/>
    <s v="N204"/>
    <s v="AUR-STANDARD ORDER MIXED"/>
    <s v="A-SURFACE"/>
    <s v="OP"/>
    <n v="1238034"/>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222"/>
    <s v="VTR"/>
    <s v="VTR.COM-PARINACOTA"/>
    <s v="R015P26L1"/>
    <s v="SJ2_FOB"/>
    <s v="VTR.COM SPA"/>
    <s v="PARINACOTA 401"/>
    <s v="SANTIAGO"/>
    <s v="QUILICURA"/>
    <m/>
    <s v="RS4002-00"/>
    <s v="COMBINER DUAL RETURN PATH PLUG"/>
    <s v="20111078"/>
    <s v="25.1"/>
    <x v="28"/>
    <n v="1944205"/>
    <d v="2016-09-14T13:32:52"/>
    <m/>
    <d v="2016-10-06T03:33:27"/>
    <d v="2016-09-16T00:00:00"/>
    <d v="2016-10-06T23:59:00"/>
    <m/>
    <n v="16"/>
    <n v="16"/>
    <n v="295.2"/>
    <n v="295.2"/>
    <s v="N224"/>
    <s v="NWK ACCESS TECH"/>
    <s v="ACCESS OTHER"/>
    <s v="OTHER AURORA"/>
    <s v="N224"/>
    <s v="AS-STANDARD ORDER MIXED"/>
    <s v="A-OCEAN"/>
    <s v="OP"/>
    <n v="1237794"/>
    <s v="A-OCEAN"/>
    <m/>
    <m/>
    <m/>
    <s v="A-OCEAN"/>
    <s v="P2D"/>
    <s v="CIF"/>
    <s v="Prepaid"/>
    <m/>
    <m/>
    <s v="SHIP CIF PPD OCEAN TO (PORT) PUERTO CHILE VALPARAISO. CUSTOMERS BROKER IN CHILE-Agencia de aduanas Patricio Larranaga y Cia Limitada-Matias Cousino 150 Of 540 Santiago.Email-ccaqueo@plk.cl and jponce@plk.cl. PH:01156226766251 "/>
    <s v="Chile Free Trade Agreement Certificate of Origin (if apply) when sending documentation. IF SHIPPING WOOD PALLETS MUST INCLUDE STAMP FOR CERTIFICATION OF FUMIGATION"/>
    <m/>
    <m/>
    <m/>
    <s v="0"/>
    <s v="0"/>
  </r>
  <r>
    <s v="SJ2"/>
    <s v="5001222"/>
    <s v="VTR"/>
    <s v="VTR.COM-PARINACOTA"/>
    <s v="R015P44L4"/>
    <s v="SJ2_FOB"/>
    <s v="VTR.COM SPA"/>
    <s v="PARINACOTA 401"/>
    <s v="SANTIAGO"/>
    <s v="QUILICURA"/>
    <m/>
    <s v="DT4250N-50-00"/>
    <s v="DGTL XCVR ENH MULTI-MODES OF O"/>
    <s v="20111078"/>
    <s v="3.1"/>
    <x v="28"/>
    <n v="1944206"/>
    <d v="2016-09-14T13:32:52"/>
    <m/>
    <d v="2016-10-06T03:33:27"/>
    <d v="2016-09-16T00:00:00"/>
    <d v="2016-10-06T23:59:00"/>
    <m/>
    <n v="8"/>
    <n v="8"/>
    <n v="2460"/>
    <n v="2460"/>
    <s v="N065"/>
    <s v="NWK ACCESS TECH"/>
    <s v="NODE"/>
    <s v="NODE MISC AURORA"/>
    <s v="N065"/>
    <s v="AS-STANDARD ORDER MIXED"/>
    <s v="A-OCEAN"/>
    <s v="OP"/>
    <n v="1237794"/>
    <s v="A-OCEAN"/>
    <m/>
    <m/>
    <m/>
    <s v="A-OCEAN"/>
    <s v="P2D"/>
    <s v="CIF"/>
    <s v="Prepaid"/>
    <m/>
    <m/>
    <s v="SHIP CIF PPD OCEAN TO (PORT) PUERTO CHILE VALPARAISO. CUSTOMERS BROKER IN CHILE-Agencia de aduanas Patricio Larranaga y Cia Limitada-Matias Cousino 150 Of 540 Santiago.Email-ccaqueo@plk.cl and jponce@plk.cl. PH:01156226766251 "/>
    <s v="Chile Free Trade Agreement Certificate of Origin (if apply) when sending documentation. IF SHIPPING WOOD PALLETS MUST INCLUDE STAMP FOR CERTIFICATION OF FUMIGATION"/>
    <m/>
    <m/>
    <m/>
    <s v="0"/>
    <s v="0"/>
  </r>
  <r>
    <s v="SJ2"/>
    <s v="5001222"/>
    <s v="VTR"/>
    <s v="VTR.COM-PARINACOTA"/>
    <s v="R016P16L2B01"/>
    <s v="SJ2_FOB"/>
    <s v="VTR.COM SPA"/>
    <s v="PARINACOTA 401"/>
    <s v="SANTIAGO"/>
    <s v="QUILICURA"/>
    <m/>
    <s v="AR4203G-AS"/>
    <s v="OPTICAL RECEIVER 51-1002MHz FW"/>
    <s v="20111078"/>
    <s v="30.1"/>
    <x v="28"/>
    <n v="1944205"/>
    <d v="2016-09-14T13:32:52"/>
    <m/>
    <d v="2016-10-06T03:33:27"/>
    <d v="2016-09-16T00:00:00"/>
    <d v="2016-10-06T23:59:00"/>
    <m/>
    <n v="8"/>
    <n v="8"/>
    <n v="2952"/>
    <n v="2952"/>
    <s v="N222"/>
    <s v="NWK ACCESS TECH"/>
    <s v="HPON"/>
    <s v="VHUB AURORA"/>
    <s v="N222"/>
    <s v="AS-STANDARD ORDER MIXED"/>
    <s v="A-OCEAN"/>
    <s v="OP"/>
    <n v="1237794"/>
    <s v="A-OCEAN"/>
    <m/>
    <m/>
    <m/>
    <s v="A-OCEAN"/>
    <s v="P2D"/>
    <s v="CIF"/>
    <s v="Prepaid"/>
    <m/>
    <m/>
    <s v="SHIP CIF PPD OCEAN TO (PORT) PUERTO CHILE VALPARAISO. CUSTOMERS BROKER IN CHILE-Agencia de aduanas Patricio Larranaga y Cia Limitada-Matias Cousino 150 Of 540 Santiago.Email-ccaqueo@plk.cl and jponce@plk.cl. PH:01156226766251 "/>
    <s v="Chile Free Trade Agreement Certificate of Origin (if apply) when sending documentation. IF SHIPPING WOOD PALLETS MUST INCLUDE STAMP FOR CERTIFICATION OF FUMIGATION"/>
    <m/>
    <m/>
    <m/>
    <s v="0"/>
    <s v="0"/>
  </r>
  <r>
    <s v="SJ2"/>
    <s v="5001222"/>
    <s v="VTR"/>
    <s v="VTR.COM-PARINACOTA"/>
    <s v="R023P05L4"/>
    <s v="SJ2_FOB"/>
    <s v="VTR.COM SPA"/>
    <s v="PARINACOTA 401"/>
    <s v="SANTIAGO"/>
    <s v="QUILICURA"/>
    <m/>
    <s v="OP91S3S-EQ-N0-00"/>
    <s v="FIELD COUPLER 1X3 BAL N-CASE 0"/>
    <s v="20111078"/>
    <s v="43.1"/>
    <x v="29"/>
    <n v="1947463"/>
    <d v="2016-09-14T13:32:52"/>
    <m/>
    <d v="2016-10-11T03:39:06"/>
    <d v="2016-09-16T00:00:00"/>
    <d v="2016-10-11T23:59:00"/>
    <m/>
    <n v="24"/>
    <n v="24"/>
    <n v="1820.4"/>
    <n v="1820.4"/>
    <s v="N156"/>
    <s v="NWK ACCESS TECH"/>
    <s v="ACCESS OTHER"/>
    <s v="OTHER AURORA"/>
    <s v="N156"/>
    <s v="AS-STANDARD ORDER MIXED"/>
    <s v="A-OCEAN"/>
    <s v="OP"/>
    <n v="1240808"/>
    <s v="A-OCEAN"/>
    <m/>
    <m/>
    <m/>
    <s v="A-OCEAN"/>
    <s v="P2D"/>
    <s v="CIF"/>
    <s v="Prepaid"/>
    <m/>
    <m/>
    <s v="SHIP CIF PPD OCEAN TO (PORT) PUERTO CHILE VALPARAISO. CUSTOMERS BROKER IN CHILE-Agencia de aduanas Patricio Larranaga y Cia Limitada-Matias Cousino 150 Of 540 Santiago.Email-ccaqueo@plk.cl and jponce@plk.cl. PH:01156226766251 "/>
    <s v="Chile Free Trade Agreement Certificate of Origin (if apply) when sending documentation. IF SHIPPING WOOD PALLETS MUST INCLUDE STAMP FOR CERTIFICATION OF FUMIGATION"/>
    <m/>
    <m/>
    <m/>
    <s v="0"/>
    <s v="0"/>
  </r>
  <r>
    <s v="SJ2"/>
    <s v="5001320"/>
    <s v="NATIONAL CABLE TELEVISION COOP"/>
    <s v="SUN LAKES3637"/>
    <s v="R015P19L2"/>
    <s v="SJ2_STAG"/>
    <s v="WESTERN BROADBAND LLC"/>
    <s v="9666 E RIGGS RD STE 108 (WES140)"/>
    <s v="AZ"/>
    <s v="SUN LAKES"/>
    <s v="85248-7403"/>
    <s v="CH3000N"/>
    <s v="CHASSIS NO COVERS 3RU"/>
    <s v="20116604"/>
    <s v="1.1"/>
    <x v="30"/>
    <n v="1950099"/>
    <d v="2016-10-13T08:32:26"/>
    <m/>
    <d v="2016-10-13T14:04:21"/>
    <d v="2016-10-13T00:00:00"/>
    <d v="2016-10-13T23:59:00"/>
    <m/>
    <n v="1"/>
    <m/>
    <n v="247"/>
    <m/>
    <s v="N199"/>
    <s v="NWK ACCESS TECH"/>
    <s v="HEO"/>
    <s v="HEO MISC AURORA"/>
    <s v="N199"/>
    <s v="AS-STANDARD ORDER MIXED"/>
    <s v="A-SURFACE"/>
    <s v="OP"/>
    <n v="1242316"/>
    <s v="A-SURFACE"/>
    <m/>
    <m/>
    <m/>
    <s v="A-SURFACE"/>
    <s v="LTL"/>
    <s v="EXW"/>
    <s v="Prepay &amp; Add"/>
    <m/>
    <m/>
    <s v="JERRY SCULLAWL 480-895-8010"/>
    <m/>
    <m/>
    <m/>
    <m/>
    <s v="0"/>
    <s v="0"/>
  </r>
  <r>
    <s v="SJ2"/>
    <s v="5001320"/>
    <s v="NATIONAL CABLE TELEVISION COOP"/>
    <s v="SUN LAKES3637"/>
    <s v="R016P02L3B01"/>
    <s v="SJ2_STAG"/>
    <s v="WESTERN BROADBAND LLC"/>
    <s v="9666 E RIGGS RD STE 108 (WES140)"/>
    <s v="AZ"/>
    <s v="SUN LAKES"/>
    <s v="85248-7403"/>
    <s v="DR3450N-50-00"/>
    <s v="DIGITAL RECEIVER Q-RX 2.125GBP"/>
    <s v="20116604"/>
    <s v="11.1"/>
    <x v="30"/>
    <n v="1950099"/>
    <d v="2016-10-13T08:32:26"/>
    <m/>
    <d v="2016-10-13T14:04:21"/>
    <d v="2016-10-13T00:00:00"/>
    <d v="2016-10-13T23:59:00"/>
    <m/>
    <n v="1"/>
    <m/>
    <n v="1235"/>
    <m/>
    <s v="N275"/>
    <s v="NWK ACCESS TECH"/>
    <s v="HEO"/>
    <s v="RECEIVERS AURORA"/>
    <s v="N275"/>
    <s v="AS-STANDARD ORDER MIXED"/>
    <s v="A-SURFACE"/>
    <s v="OP"/>
    <n v="1242316"/>
    <s v="A-SURFACE"/>
    <m/>
    <m/>
    <m/>
    <s v="A-SURFACE"/>
    <s v="LTL"/>
    <s v="EXW"/>
    <s v="Prepay &amp; Add"/>
    <m/>
    <m/>
    <s v="JERRY SCULLAWL 480-895-8010"/>
    <m/>
    <m/>
    <m/>
    <m/>
    <s v="0"/>
    <s v="0"/>
  </r>
  <r>
    <s v="SJ2"/>
    <s v="5001320"/>
    <s v="NATIONAL CABLE TELEVISION COOP"/>
    <s v="SUN LAKES3637"/>
    <s v="R015P43L5"/>
    <s v="SJ2_STAG"/>
    <s v="WESTERN BROADBAND LLC"/>
    <s v="9666 E RIGGS RD STE 108 (WES140)"/>
    <s v="AZ"/>
    <s v="SUN LAKES"/>
    <s v="85248-7403"/>
    <s v="NC4121S2A1-00000000"/>
    <s v="BASE NODE 5-42/51-1GHz JXP 1"/>
    <s v="20116604"/>
    <s v="13.1"/>
    <x v="30"/>
    <n v="1950099"/>
    <d v="2016-10-13T08:32:26"/>
    <m/>
    <d v="2016-10-13T14:04:21"/>
    <d v="2016-10-13T00:00:00"/>
    <d v="2016-10-13T23:59:00"/>
    <m/>
    <n v="2"/>
    <m/>
    <n v="3310"/>
    <m/>
    <s v="N034"/>
    <s v="NWK ACCESS TECH"/>
    <s v="NODE"/>
    <s v="NC4000 AURORA"/>
    <s v="N034"/>
    <s v="AS-STANDARD ORDER MIXED"/>
    <s v="A-SURFACE"/>
    <s v="OP"/>
    <n v="1242316"/>
    <s v="A-SURFACE"/>
    <m/>
    <m/>
    <m/>
    <s v="A-SURFACE"/>
    <s v="LTL"/>
    <s v="EXW"/>
    <s v="Prepay &amp; Add"/>
    <m/>
    <m/>
    <s v="JERRY SCULLAWL 480-895-8010"/>
    <m/>
    <m/>
    <m/>
    <m/>
    <s v="0"/>
    <s v="0"/>
  </r>
  <r>
    <s v="SJ2"/>
    <s v="5001320"/>
    <s v="NATIONAL CABLE TELEVISION COOP"/>
    <s v="SUN LAKES3637"/>
    <s v="R016P16L2B01"/>
    <s v="SJ2_STAG"/>
    <s v="WESTERN BROADBAND LLC"/>
    <s v="9666 E RIGGS RD STE 108 (WES140)"/>
    <s v="AZ"/>
    <s v="SUN LAKES"/>
    <s v="85248-7403"/>
    <s v="AR4203G-AS"/>
    <s v="OPTICAL RECEIVER 51-1002MHz FW"/>
    <s v="20116604"/>
    <s v="14.1"/>
    <x v="30"/>
    <n v="1950099"/>
    <d v="2016-10-13T08:32:26"/>
    <m/>
    <d v="2016-10-13T14:04:21"/>
    <d v="2016-10-13T00:00:00"/>
    <d v="2016-10-13T23:59:00"/>
    <m/>
    <n v="2"/>
    <m/>
    <n v="742"/>
    <m/>
    <s v="N222"/>
    <s v="NWK ACCESS TECH"/>
    <s v="HPON"/>
    <s v="VHUB AURORA"/>
    <s v="N222"/>
    <s v="AS-STANDARD ORDER MIXED"/>
    <s v="A-SURFACE"/>
    <s v="OP"/>
    <n v="1242316"/>
    <s v="A-SURFACE"/>
    <m/>
    <m/>
    <m/>
    <s v="A-SURFACE"/>
    <s v="LTL"/>
    <s v="EXW"/>
    <s v="Prepay &amp; Add"/>
    <m/>
    <m/>
    <s v="JERRY SCULLAWL 480-895-8010"/>
    <m/>
    <m/>
    <m/>
    <m/>
    <s v="0"/>
    <s v="0"/>
  </r>
  <r>
    <s v="SJ2"/>
    <s v="5001320"/>
    <s v="NATIONAL CABLE TELEVISION COOP"/>
    <s v="SUN LAKES3637"/>
    <s v="R016P05L1B02"/>
    <s v="SJ2_STAG"/>
    <s v="WESTERN BROADBAND LLC"/>
    <s v="9666 E RIGGS RD STE 108 (WES140)"/>
    <s v="AZ"/>
    <s v="SUN LAKES"/>
    <s v="85248-7403"/>
    <s v="DT4250N-50-00"/>
    <s v="DGTL XCVR ENH MULTI-MODES OF O"/>
    <s v="20116604"/>
    <s v="15.1"/>
    <x v="30"/>
    <n v="1950099"/>
    <d v="2016-10-13T08:32:26"/>
    <m/>
    <d v="2016-10-13T14:04:21"/>
    <d v="2016-10-13T00:00:00"/>
    <d v="2016-10-13T23:59:00"/>
    <m/>
    <n v="2"/>
    <m/>
    <n v="618"/>
    <m/>
    <s v="N065"/>
    <s v="NWK ACCESS TECH"/>
    <s v="NODE"/>
    <s v="NODE MISC AURORA"/>
    <s v="N065"/>
    <s v="AS-STANDARD ORDER MIXED"/>
    <s v="A-SURFACE"/>
    <s v="OP"/>
    <n v="1242316"/>
    <s v="A-SURFACE"/>
    <m/>
    <m/>
    <m/>
    <s v="A-SURFACE"/>
    <s v="LTL"/>
    <s v="EXW"/>
    <s v="Prepay &amp; Add"/>
    <m/>
    <m/>
    <s v="JERRY SCULLAWL 480-895-8010"/>
    <m/>
    <m/>
    <m/>
    <m/>
    <s v="0"/>
    <s v="0"/>
  </r>
  <r>
    <s v="SJ2"/>
    <s v="5001320"/>
    <s v="NATIONAL CABLE TELEVISION COOP"/>
    <s v="SUN LAKES3637"/>
    <s v="R015P26L1"/>
    <s v="SJ2_STAG"/>
    <s v="WESTERN BROADBAND LLC"/>
    <s v="9666 E RIGGS RD STE 108 (WES140)"/>
    <s v="AZ"/>
    <s v="SUN LAKES"/>
    <s v="85248-7403"/>
    <s v="RS4002-00"/>
    <s v="COMBINER DUAL RETURN PATH PLUG"/>
    <s v="20116604"/>
    <s v="16.1"/>
    <x v="30"/>
    <n v="1950099"/>
    <d v="2016-10-13T08:32:26"/>
    <m/>
    <d v="2016-10-13T14:04:21"/>
    <d v="2016-10-13T00:00:00"/>
    <d v="2016-10-13T23:59:00"/>
    <m/>
    <n v="2"/>
    <m/>
    <n v="38"/>
    <m/>
    <s v="N224"/>
    <s v="NWK ACCESS TECH"/>
    <s v="ACCESS OTHER"/>
    <s v="OTHER AURORA"/>
    <s v="N224"/>
    <s v="AS-STANDARD ORDER MIXED"/>
    <s v="A-SURFACE"/>
    <s v="OP"/>
    <n v="1242316"/>
    <s v="A-SURFACE"/>
    <m/>
    <m/>
    <m/>
    <s v="A-SURFACE"/>
    <s v="LTL"/>
    <s v="EXW"/>
    <s v="Prepay &amp; Add"/>
    <m/>
    <m/>
    <s v="JERRY SCULLAWL 480-895-8010"/>
    <m/>
    <m/>
    <m/>
    <m/>
    <s v="0"/>
    <s v="0"/>
  </r>
  <r>
    <s v="SJ2"/>
    <s v="5001320"/>
    <s v="NATIONAL CABLE TELEVISION COOP"/>
    <s v="SUN LAKES3637"/>
    <s v="R023P14L1"/>
    <s v="SJ2_STAG"/>
    <s v="WESTERN BROADBAND LLC"/>
    <s v="9666 E RIGGS RD STE 108 (WES140)"/>
    <s v="AZ"/>
    <s v="SUN LAKES"/>
    <s v="85248-7403"/>
    <s v="OP95D4-CF1-102-R2-AS"/>
    <s v="DEMUX DWDM 100GHZ 4 CH F-CASE"/>
    <s v="20116604"/>
    <s v="18.1"/>
    <x v="30"/>
    <n v="1950099"/>
    <d v="2016-10-13T08:32:26"/>
    <m/>
    <d v="2016-10-13T14:04:21"/>
    <d v="2016-10-13T00:00:00"/>
    <d v="2016-10-13T23:59:00"/>
    <m/>
    <n v="2"/>
    <m/>
    <n v="1606"/>
    <m/>
    <s v="N160"/>
    <s v="NWK ACCESS TECH"/>
    <s v="OPTICAL PASSIVES"/>
    <s v="OUTDOOR PASSIVES AURORA"/>
    <s v="N160"/>
    <s v="AS-STANDARD ORDER MIXED"/>
    <s v="A-SURFACE"/>
    <s v="OP"/>
    <n v="1242316"/>
    <s v="A-SURFACE"/>
    <m/>
    <m/>
    <m/>
    <s v="A-SURFACE"/>
    <s v="LTL"/>
    <s v="EXW"/>
    <s v="Prepay &amp; Add"/>
    <m/>
    <m/>
    <s v="JERRY SCULLAWL 480-895-8010"/>
    <m/>
    <m/>
    <m/>
    <m/>
    <s v="0"/>
    <s v="0"/>
  </r>
  <r>
    <s v="SJ2"/>
    <s v="5001320"/>
    <s v="NATIONAL CABLE TELEVISION COOP"/>
    <s v="SUN LAKES3637"/>
    <s v="R015P68L1"/>
    <s v="SJ2_STAG"/>
    <s v="WESTERN BROADBAND LLC"/>
    <s v="9666 E RIGGS RD STE 108 (WES140)"/>
    <s v="AZ"/>
    <s v="SUN LAKES"/>
    <s v="85248-7403"/>
    <s v="CH3000U-FM-00"/>
    <s v="ADAPTER FIBER MGT FOR CH3000 C"/>
    <s v="20116604"/>
    <s v="2.1"/>
    <x v="30"/>
    <n v="1950100"/>
    <d v="2016-10-13T08:32:26"/>
    <m/>
    <d v="2016-10-13T14:04:21"/>
    <d v="2016-10-13T00:00:00"/>
    <d v="2016-10-13T23:59:00"/>
    <m/>
    <n v="1"/>
    <m/>
    <n v="62"/>
    <m/>
    <s v="N199"/>
    <s v="NWK ACCESS TECH"/>
    <s v="HEO"/>
    <s v="HEO MISC AURORA"/>
    <s v="N199"/>
    <s v="AS-STANDARD ORDER MIXED"/>
    <s v="A-SURFACE"/>
    <s v="OP"/>
    <n v="1242316"/>
    <s v="A-SURFACE"/>
    <m/>
    <m/>
    <m/>
    <s v="A-SURFACE"/>
    <s v="LTL"/>
    <s v="EXW"/>
    <s v="Prepay &amp; Add"/>
    <m/>
    <m/>
    <s v="JERRY SCULLAWL 480-895-8010"/>
    <m/>
    <m/>
    <m/>
    <m/>
    <s v="0"/>
    <s v="0"/>
  </r>
  <r>
    <s v="SJ2"/>
    <s v="5001320"/>
    <s v="NATIONAL CABLE TELEVISION COOP"/>
    <s v="SUN LAKES3637"/>
    <s v="R023P04L1"/>
    <s v="SJ2_STAG"/>
    <s v="WESTERN BROADBAND LLC"/>
    <s v="9666 E RIGGS RD STE 108 (WES140)"/>
    <s v="AZ"/>
    <s v="SUN LAKES"/>
    <s v="85248-7403"/>
    <s v="TL3000-EJ-00"/>
    <s v="TOOL EXTRACTOR HANDLE CH3000"/>
    <s v="20116604"/>
    <s v="24.1"/>
    <x v="30"/>
    <n v="1950100"/>
    <d v="2016-10-13T08:32:26"/>
    <m/>
    <d v="2016-10-13T14:04:21"/>
    <d v="2016-10-13T00:00:00"/>
    <d v="2016-10-13T23:59:00"/>
    <m/>
    <n v="1"/>
    <m/>
    <n v="7"/>
    <m/>
    <s v="N185"/>
    <s v="NWK ACCESS TECH"/>
    <s v="ACCESS OTHER"/>
    <s v="OTHER AURORA"/>
    <s v="N185"/>
    <s v="AS-STANDARD ORDER MIXED"/>
    <s v="A-SURFACE"/>
    <s v="OP"/>
    <n v="1242316"/>
    <s v="A-SURFACE"/>
    <m/>
    <m/>
    <m/>
    <s v="A-SURFACE"/>
    <s v="LTL"/>
    <s v="EXW"/>
    <s v="Prepay &amp; Add"/>
    <m/>
    <m/>
    <s v="JERRY SCULLAWL 480-895-8010"/>
    <m/>
    <m/>
    <m/>
    <m/>
    <s v="0"/>
    <s v="0"/>
  </r>
  <r>
    <s v="SJ2"/>
    <s v="5001320"/>
    <s v="NATIONAL CABLE TELEVISION COOP"/>
    <s v="SUN LAKES3637"/>
    <s v="R015P22L3"/>
    <s v="SJ2_STAG"/>
    <s v="WESTERN BROADBAND LLC"/>
    <s v="9666 E RIGGS RD STE 108 (WES140)"/>
    <s v="AZ"/>
    <s v="SUN LAKES"/>
    <s v="85248-7403"/>
    <s v="PS3005D"/>
    <s v="POWER SUPPLY 250W CE TUV W/DIS"/>
    <s v="20116604"/>
    <s v="3.1"/>
    <x v="30"/>
    <n v="1950100"/>
    <d v="2016-10-13T08:32:26"/>
    <m/>
    <d v="2016-10-13T14:04:21"/>
    <d v="2016-10-13T00:00:00"/>
    <d v="2016-10-13T23:59:00"/>
    <m/>
    <n v="1"/>
    <m/>
    <n v="618"/>
    <m/>
    <s v="N204"/>
    <s v="NWK ACCESS TECH"/>
    <s v="ACCESS OTHER"/>
    <s v="OTHER AURORA"/>
    <s v="N204"/>
    <s v="AS-STANDARD ORDER MIXED"/>
    <s v="A-SURFACE"/>
    <s v="OP"/>
    <n v="1242316"/>
    <s v="A-SURFACE"/>
    <m/>
    <m/>
    <m/>
    <s v="A-SURFACE"/>
    <s v="LTL"/>
    <s v="EXW"/>
    <s v="Prepay &amp; Add"/>
    <m/>
    <m/>
    <s v="JERRY SCULLAWL 480-895-8010"/>
    <m/>
    <m/>
    <m/>
    <m/>
    <s v="0"/>
    <s v="0"/>
  </r>
  <r>
    <s v="SJ2"/>
    <s v="5001320"/>
    <s v="NATIONAL CABLE TELEVISION COOP"/>
    <s v="SUN LAKES3637"/>
    <s v="R015P64L2"/>
    <s v="SJ2_STAG"/>
    <s v="WESTERN BROADBAND LLC"/>
    <s v="9666 E RIGGS RD STE 108 (WES140)"/>
    <s v="AZ"/>
    <s v="SUN LAKES"/>
    <s v="85248-7403"/>
    <s v="PS3005N"/>
    <s v="POWER SUPPLY 250W CE TUV W/O D"/>
    <s v="20116604"/>
    <s v="4.1"/>
    <x v="30"/>
    <n v="1950100"/>
    <d v="2016-10-13T08:32:26"/>
    <m/>
    <d v="2016-10-13T14:04:21"/>
    <d v="2016-10-13T00:00:00"/>
    <d v="2016-10-13T23:59:00"/>
    <m/>
    <n v="1"/>
    <m/>
    <n v="519"/>
    <m/>
    <s v="N204"/>
    <s v="NWK ACCESS TECH"/>
    <s v="ACCESS OTHER"/>
    <s v="OTHER AURORA"/>
    <s v="N204"/>
    <s v="AS-STANDARD ORDER MIXED"/>
    <s v="A-SURFACE"/>
    <s v="OP"/>
    <n v="1242316"/>
    <s v="A-SURFACE"/>
    <m/>
    <m/>
    <m/>
    <s v="A-SURFACE"/>
    <s v="LTL"/>
    <s v="EXW"/>
    <s v="Prepay &amp; Add"/>
    <m/>
    <m/>
    <s v="JERRY SCULLAWL 480-895-8010"/>
    <m/>
    <m/>
    <m/>
    <m/>
    <s v="0"/>
    <s v="0"/>
  </r>
  <r>
    <s v="SJ2"/>
    <s v="5001320"/>
    <s v="NATIONAL CABLE TELEVISION COOP"/>
    <s v="SUN LAKES3637"/>
    <s v="R015P02L1"/>
    <s v="SJ2_STAG"/>
    <s v="WESTERN BROADBAND LLC"/>
    <s v="9666 E RIGGS RD STE 108 (WES140)"/>
    <s v="AZ"/>
    <s v="SUN LAKES"/>
    <s v="85248-7403"/>
    <s v="BP3400C-00"/>
    <s v="BACKPLATE 4.25 GB/S 1-FER/2-FE"/>
    <s v="20116604"/>
    <s v="5.1"/>
    <x v="30"/>
    <n v="1950100"/>
    <d v="2016-10-13T08:32:26"/>
    <m/>
    <d v="2016-10-13T14:04:21"/>
    <d v="2016-10-13T00:00:00"/>
    <d v="2016-10-13T23:59:00"/>
    <m/>
    <n v="1"/>
    <m/>
    <n v="494"/>
    <m/>
    <s v="N076"/>
    <s v="NWK ACCESS TECH"/>
    <s v="HEO"/>
    <s v="HEO MISC AURORA"/>
    <s v="N076"/>
    <s v="AS-STANDARD ORDER MIXED"/>
    <s v="A-SURFACE"/>
    <s v="OP"/>
    <n v="1242316"/>
    <s v="A-SURFACE"/>
    <m/>
    <m/>
    <m/>
    <s v="A-SURFACE"/>
    <s v="LTL"/>
    <s v="EXW"/>
    <s v="Prepay &amp; Add"/>
    <m/>
    <m/>
    <s v="JERRY SCULLAWL 480-895-8010"/>
    <m/>
    <m/>
    <m/>
    <m/>
    <s v="0"/>
    <s v="0"/>
  </r>
  <r>
    <s v="SJ2"/>
    <s v="5001320"/>
    <s v="NATIONAL CABLE TELEVISION COOP"/>
    <s v="SUN LAKES3637"/>
    <s v="R015P22L3"/>
    <s v="SJ2_STAG"/>
    <s v="WESTERN BROADBAND LLC"/>
    <s v="9666 E RIGGS RD STE 108 (WES140)"/>
    <s v="AZ"/>
    <s v="SUN LAKES"/>
    <s v="85248-7403"/>
    <s v="BP-35M4-CF1-1-002-AS"/>
    <s v="OPT MUX BP 100GHZ A2 ITU CH 20"/>
    <s v="20116604"/>
    <s v="6.1"/>
    <x v="30"/>
    <n v="1950099"/>
    <d v="2016-10-13T08:32:26"/>
    <m/>
    <d v="2016-10-13T14:04:21"/>
    <d v="2016-10-13T00:00:00"/>
    <d v="2016-10-13T23:59:00"/>
    <m/>
    <n v="2"/>
    <m/>
    <n v="2198"/>
    <m/>
    <s v="N133"/>
    <s v="NWK ACCESS TECH"/>
    <s v="HEO"/>
    <s v="HEO MISC AURORA"/>
    <s v="N133"/>
    <s v="AS-STANDARD ORDER MIXED"/>
    <s v="A-SURFACE"/>
    <s v="OP"/>
    <n v="1242316"/>
    <s v="A-SURFACE"/>
    <m/>
    <m/>
    <m/>
    <s v="A-SURFACE"/>
    <s v="LTL"/>
    <s v="EXW"/>
    <s v="Prepay &amp; Add"/>
    <m/>
    <m/>
    <s v="JERRY SCULLAWL 480-895-8010"/>
    <m/>
    <m/>
    <m/>
    <m/>
    <s v="0"/>
    <s v="0"/>
  </r>
  <r>
    <s v="SJ2"/>
    <s v="5001320"/>
    <s v="NATIONAL CABLE TELEVISION COOP"/>
    <s v="SUN LAKES3637"/>
    <s v="REC1"/>
    <s v="SJ2_STAG"/>
    <s v="WESTERN BROADBAND LLC"/>
    <s v="9666 E RIGGS RD STE 108 (WES140)"/>
    <s v="AZ"/>
    <s v="SUN LAKES"/>
    <s v="85248-7403"/>
    <s v="CX3002"/>
    <s v="COMMUNICATIONS MODULE"/>
    <s v="20116604"/>
    <s v="7.1"/>
    <x v="30"/>
    <n v="1950100"/>
    <d v="2016-10-13T08:32:26"/>
    <m/>
    <d v="2016-10-13T14:04:21"/>
    <d v="2016-10-13T00:00:00"/>
    <d v="2016-10-13T23:59:00"/>
    <m/>
    <n v="1"/>
    <m/>
    <n v="420"/>
    <m/>
    <s v="N080"/>
    <s v="NWK ACCESS TECH"/>
    <s v="HEO"/>
    <s v="HEO MISC AURORA"/>
    <s v="N080"/>
    <s v="AS-STANDARD ORDER MIXED"/>
    <s v="A-SURFACE"/>
    <s v="OP"/>
    <n v="1242316"/>
    <s v="A-SURFACE"/>
    <m/>
    <m/>
    <m/>
    <s v="A-SURFACE"/>
    <s v="LTL"/>
    <s v="EXW"/>
    <s v="Prepay &amp; Add"/>
    <m/>
    <m/>
    <s v="JERRY SCULLAWL 480-895-8010"/>
    <m/>
    <m/>
    <m/>
    <m/>
    <s v="0"/>
    <s v="0"/>
  </r>
  <r>
    <s v="SJ2"/>
    <s v="5001320"/>
    <s v="NATIONAL CABLE TELEVISION COOP"/>
    <s v="JUNEAU001"/>
    <s v="R016P37L2B02"/>
    <s v="SJ2_STAG"/>
    <s v="GENERAL COMMUNICATIONS - GCI"/>
    <s v="1759 Anka St"/>
    <s v="AK"/>
    <s v="Juneau"/>
    <s v="99801-9504"/>
    <s v="NOM3121A-42-3L"/>
    <s v="RF MOD NOM3121A-42 1GHZ NODE"/>
    <s v="20116700"/>
    <s v="1.1"/>
    <x v="31"/>
    <n v="1950151"/>
    <d v="2016-10-13T14:14:04"/>
    <m/>
    <d v="2016-10-13T15:18:03"/>
    <d v="2016-10-13T00:00:00"/>
    <d v="2016-10-13T23:59:00"/>
    <m/>
    <n v="3"/>
    <m/>
    <n v="1140"/>
    <m/>
    <s v="N053"/>
    <s v="NWK ACCESS TECH"/>
    <s v="NODE"/>
    <s v="HLN3144 AURORA"/>
    <s v="N053"/>
    <s v="AS-STANDARD ORDER MIXED"/>
    <s v="A-SURFACE"/>
    <s v="OP"/>
    <n v="1242339"/>
    <s v="A-SURFACE"/>
    <m/>
    <m/>
    <m/>
    <s v="A-SURFACE"/>
    <s v="LTL"/>
    <s v="EXW"/>
    <s v="Prepay &amp; Add"/>
    <m/>
    <m/>
    <s v="MICHAEL HERBERT C/O JAN GOAD 907-868-7165"/>
    <m/>
    <m/>
    <m/>
    <m/>
    <s v="0"/>
    <s v="0"/>
  </r>
  <r>
    <s v="SJ2"/>
    <s v="5001320"/>
    <s v="NATIONAL CABLE TELEVISION COOP"/>
    <s v="HAGERSTOWN5354"/>
    <s v="R015P13L1"/>
    <s v="SJ2_STAG"/>
    <s v="ANTIETAM CABLE TELEVISION (ANT010)"/>
    <s v="1000 Willow Cir"/>
    <s v="MD"/>
    <s v="Hagerstown"/>
    <s v="21740-6829"/>
    <s v="MC2710B"/>
    <s v="MEDIA COMMUNICATIONS MODULE GE"/>
    <s v="20116742"/>
    <s v="3.1"/>
    <x v="32"/>
    <n v="1950225"/>
    <d v="2016-10-13T15:23:07"/>
    <m/>
    <d v="2016-10-13T16:04:47"/>
    <d v="2016-10-13T00:00:00"/>
    <d v="2016-10-13T23:59:00"/>
    <m/>
    <n v="6"/>
    <m/>
    <n v="3750"/>
    <m/>
    <s v="N090"/>
    <s v="NWK ACCESS TECH"/>
    <s v="PON"/>
    <s v="ONU MISC AURORA"/>
    <s v="N090"/>
    <s v="AS-STANDARD ORDER MIXED"/>
    <s v="A-SURFACE"/>
    <s v="OP"/>
    <n v="1242370"/>
    <s v="A-SURFACE"/>
    <m/>
    <m/>
    <m/>
    <s v="A-SURFACE"/>
    <s v="LTL"/>
    <s v="EXW"/>
    <s v="Prepay &amp; Add"/>
    <m/>
    <m/>
    <s v="DONALD STONE 240-420-3654 (REAR DOCK AREA)"/>
    <m/>
    <m/>
    <m/>
    <m/>
    <s v="0"/>
    <s v="0"/>
  </r>
  <r>
    <s v="SJ2"/>
    <s v="5001320"/>
    <s v="NATIONAL CABLE TELEVISION COOP"/>
    <s v="166701"/>
    <s v="R015P37L1"/>
    <s v="SJ2_STAG"/>
    <s v="Wave Broadband"/>
    <s v="1031 Triangle Ct"/>
    <s v="CA"/>
    <s v="West Sacramento"/>
    <s v="95605"/>
    <s v="CP801TU-01-00"/>
    <s v="CPE RFOG SDU OBI FIXED 1610 5-"/>
    <s v="6900482"/>
    <s v="1.1"/>
    <x v="33"/>
    <n v="1946591"/>
    <d v="2016-07-05T00:00:00"/>
    <m/>
    <d v="2016-10-10T01:05:26"/>
    <d v="2016-07-05T00:00:00"/>
    <d v="2016-10-12T23:59:00"/>
    <m/>
    <n v="3"/>
    <m/>
    <n v="822"/>
    <m/>
    <s v="N262"/>
    <s v="NWK ACCESS TECH"/>
    <s v="ACCESS OTHER"/>
    <s v="OTHER AURORA"/>
    <s v="N262"/>
    <s v="AUR-STANDARD ORDER MIXED"/>
    <s v="A-SURFACE"/>
    <s v="OP"/>
    <n v="1240131"/>
    <s v="A-SURFACE"/>
    <m/>
    <m/>
    <m/>
    <s v="A-SURFACE"/>
    <s v="LTL"/>
    <s v="EXW"/>
    <s v="Prepay &amp; Add"/>
    <m/>
    <m/>
    <m/>
    <m/>
    <m/>
    <m/>
    <m/>
    <s v="0"/>
    <s v="0"/>
  </r>
  <r>
    <s v="SJ2"/>
    <s v="5001414"/>
    <s v="CABLE LINK INC"/>
    <s v="163235"/>
    <s v="R023P05L4"/>
    <s v="SJ2_STAG"/>
    <s v="Cable Link Phillippines"/>
    <s v="8210 Dr. A Santos Ave Sucat"/>
    <s v=".."/>
    <s v="Paranaque City"/>
    <s v="1700"/>
    <s v="OP91S3S-EQ-N0-00"/>
    <s v="FIELD COUPLER 1X3 BAL N-CASE 0"/>
    <s v="6900585"/>
    <s v="20.1"/>
    <x v="34"/>
    <n v="1950076"/>
    <d v="2016-04-25T00:00:00"/>
    <m/>
    <d v="2016-10-13T14:04:21"/>
    <d v="2016-09-23T00:00:00"/>
    <d v="2016-10-13T23:59:00"/>
    <m/>
    <n v="2"/>
    <m/>
    <n v="146"/>
    <m/>
    <s v="N156"/>
    <s v="NWK ACCESS TECH"/>
    <s v="ACCESS OTHER"/>
    <s v="OTHER AURORA"/>
    <s v="N156"/>
    <s v="AUR-STANDARD ORDER MIXED"/>
    <s v="A-SURFACE"/>
    <s v="OP"/>
    <n v="1242316"/>
    <s v="A-SURFACE"/>
    <m/>
    <m/>
    <m/>
    <s v="A-SURFACE"/>
    <s v="LTL"/>
    <s v="EXW"/>
    <s v="Collect"/>
    <m/>
    <m/>
    <s v="Contact freight forwarder for pick-up ; ACSI Transport; c/o Mr. Tom Gonzales ; 650-225-9040; ; F 650.225.9042 ; C 415.335.0759; T 650.225.9040 F 650.225.9042 ; C 415.335.0759 Email: acsi-sfo@acsitrans.com; Alt. Email: acsitrans@gmail.com;"/>
    <m/>
    <m/>
    <m/>
    <m/>
    <s v="0"/>
    <s v="0"/>
  </r>
  <r>
    <s v="SJ2"/>
    <s v="5001468"/>
    <s v="BUCKEYE CABLE"/>
    <s v="TOLEDO 4818"/>
    <s v="R023P09L2"/>
    <s v="SJ2_STAG"/>
    <s v="BUCKEYE CABLEVISION"/>
    <s v="4818 Angola Rd"/>
    <s v="OH"/>
    <s v="Toledo"/>
    <s v="43615-6411"/>
    <s v="FA3521H-00-AS"/>
    <s v="FBROPT AMPL SGL 21DBM GAIN FLA"/>
    <s v="20113079"/>
    <s v="11.1"/>
    <x v="35"/>
    <n v="1945369"/>
    <d v="2016-09-23T16:50:27"/>
    <m/>
    <d v="2016-10-07T03:40:29"/>
    <d v="2016-09-23T00:00:00"/>
    <d v="2016-10-07T23:59:00"/>
    <m/>
    <n v="2"/>
    <m/>
    <n v="11700"/>
    <m/>
    <s v="N125"/>
    <s v="NWK ACCESS TECH"/>
    <s v="HEO"/>
    <s v="HEO MISC AURORA"/>
    <s v="EDFA"/>
    <s v="AS-STANDARD ORDER MIXED"/>
    <s v="A-SURFACE"/>
    <s v="OP"/>
    <n v="1238413"/>
    <s v="A-SURFACE"/>
    <m/>
    <m/>
    <m/>
    <s v="A-SURFACE"/>
    <s v="LTL"/>
    <s v="EXW"/>
    <s v="Prepay &amp; Add"/>
    <m/>
    <m/>
    <m/>
    <m/>
    <m/>
    <m/>
    <m/>
    <s v="0"/>
    <s v="0"/>
  </r>
  <r>
    <s v="SJ2"/>
    <s v="5001490"/>
    <s v="MEDIACOM"/>
    <s v="MOLINE (4507)"/>
    <s v="R023P03L3"/>
    <s v="SJ2_STAG"/>
    <s v="MEDIACOM COMMUNICTIONS CORP"/>
    <s v="4507 49th Ave"/>
    <s v="IL"/>
    <s v="Moline"/>
    <s v="61265-7578"/>
    <s v="AT3535G-20-1-AS"/>
    <s v="TRANSMITTER 1GHZ 80 QAM CHAN 2"/>
    <s v="20112586"/>
    <s v="1.1"/>
    <x v="36"/>
    <n v="1940876"/>
    <d v="2016-09-21T18:06:40"/>
    <m/>
    <d v="2016-10-03T11:03:37"/>
    <d v="2016-09-23T00:00:00"/>
    <d v="2016-10-03T23:59:00"/>
    <m/>
    <n v="2"/>
    <n v="2"/>
    <n v="3456"/>
    <n v="3456"/>
    <s v="N004"/>
    <s v="NWK ACCESS TECH"/>
    <s v="HEO"/>
    <s v="TRANSMITTERS AURORA"/>
    <s v="N004"/>
    <s v="AS-STANDARD ORDER MIXED"/>
    <s v="A-SURFACE"/>
    <s v="OP"/>
    <n v="1236138"/>
    <s v="A-SURFACE"/>
    <m/>
    <m/>
    <m/>
    <s v="A-SURFACE"/>
    <s v="LTL"/>
    <s v="EXW"/>
    <s v="Collect"/>
    <m/>
    <m/>
    <s v="Parcel ships &lt;150 lbs use UPS #2E2866. LTL ships EM ECHO at mediacom@echo.com or call 312-488-2753"/>
    <m/>
    <m/>
    <m/>
    <m/>
    <s v="0"/>
    <s v="0"/>
  </r>
  <r>
    <s v="SJ2"/>
    <s v="5001490"/>
    <s v="MEDIACOM"/>
    <s v="URBANDALE1569"/>
    <s v="R023P03L3"/>
    <s v="SJ2_STAG"/>
    <s v="MEDIACOM"/>
    <s v="12060 Meredith Dr"/>
    <s v="IA"/>
    <s v="Urbandale"/>
    <s v="50323-1501"/>
    <s v="AT3535G-20-1-AS"/>
    <s v="TRANSMITTER 1GHZ 80 QAM CHAN 2"/>
    <s v="20113474"/>
    <s v="1.1"/>
    <x v="37"/>
    <n v="1939500"/>
    <d v="2016-09-26T16:23:38"/>
    <m/>
    <d v="2016-10-01T06:31:18"/>
    <d v="2016-10-06T00:00:00"/>
    <d v="2016-10-03T23:59:00"/>
    <m/>
    <n v="2"/>
    <n v="2"/>
    <n v="3456"/>
    <n v="3456"/>
    <s v="N004"/>
    <s v="NWK ACCESS TECH"/>
    <s v="HEO"/>
    <s v="TRANSMITTERS AURORA"/>
    <s v="N004"/>
    <s v="AS-STANDARD ORDER MIXED"/>
    <s v="A-SURFACE"/>
    <s v="OP"/>
    <n v="1234822"/>
    <s v="A-SURFACE"/>
    <m/>
    <m/>
    <m/>
    <s v="A-SURFACE"/>
    <s v="LTL"/>
    <s v="EXW"/>
    <s v="Collect"/>
    <m/>
    <m/>
    <s v="Parcel ships &lt;150 lbs use UPS #2E2866. LTL ships EM ECHO at mediacom@echo.com or call 312-488-2753"/>
    <m/>
    <m/>
    <m/>
    <m/>
    <s v="0"/>
    <s v="0"/>
  </r>
  <r>
    <s v="SJ2"/>
    <s v="5001490"/>
    <s v="MEDIACOM"/>
    <s v="162040"/>
    <s v="R016P05L1B02"/>
    <s v="SJ2_STAG"/>
    <s v="MEDIACOM"/>
    <s v="1613 Nantahala Beach Rd"/>
    <s v="FL"/>
    <s v="Gulf Breeze"/>
    <s v="32563-8944"/>
    <s v="DT4250N-50-00"/>
    <s v="DGTL XCVR ENH MULTI-MODES OF O"/>
    <s v="6900517"/>
    <s v="10.1"/>
    <x v="38"/>
    <n v="1950196"/>
    <d v="2016-05-11T00:00:00"/>
    <m/>
    <d v="2016-10-13T16:04:46"/>
    <d v="2016-05-11T00:00:00"/>
    <d v="2016-10-13T23:59:00"/>
    <m/>
    <n v="1"/>
    <m/>
    <n v="320"/>
    <m/>
    <s v="N065"/>
    <s v="NWK ACCESS TECH"/>
    <s v="NODE"/>
    <s v="NODE MISC AURORA"/>
    <s v="N065"/>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02L1"/>
    <s v="SJ2_STAG"/>
    <s v="MEDIACOM"/>
    <s v="1613 Nantahala Beach Rd"/>
    <s v="FL"/>
    <s v="Gulf Breeze"/>
    <s v="32563-8944"/>
    <s v="BP3400C-00"/>
    <s v="BACKPLATE 4.25 GB/S 1-FER/2-FE"/>
    <s v="6900517"/>
    <s v="13.1"/>
    <x v="38"/>
    <n v="1950205"/>
    <d v="2016-05-11T00:00:00"/>
    <m/>
    <d v="2016-10-13T16:04:46"/>
    <d v="2016-05-11T00:00:00"/>
    <d v="2016-10-13T23:59:00"/>
    <m/>
    <n v="1"/>
    <m/>
    <n v="512"/>
    <m/>
    <s v="N076"/>
    <s v="NWK ACCESS TECH"/>
    <s v="HEO"/>
    <s v="HEO MISC AURORA"/>
    <s v="N076"/>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6P02L3B01"/>
    <s v="SJ2_STAG"/>
    <s v="MEDIACOM"/>
    <s v="1613 Nantahala Beach Rd"/>
    <s v="FL"/>
    <s v="Gulf Breeze"/>
    <s v="32563-8944"/>
    <s v="DR3450N-50-00"/>
    <s v="DIGITAL RECEIVER Q-RX 2.125GBP"/>
    <s v="6900517"/>
    <s v="14.1"/>
    <x v="38"/>
    <n v="1950196"/>
    <d v="2016-05-11T00:00:00"/>
    <m/>
    <d v="2016-10-13T16:04:46"/>
    <d v="2016-05-11T00:00:00"/>
    <d v="2016-10-13T23:59:00"/>
    <m/>
    <n v="1"/>
    <m/>
    <n v="1280"/>
    <m/>
    <s v="N275"/>
    <s v="NWK ACCESS TECH"/>
    <s v="HEO"/>
    <s v="RECEIVERS AURORA"/>
    <s v="N275"/>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43L5"/>
    <s v="SJ2_STAG"/>
    <s v="MEDIACOM"/>
    <s v="1613 Nantahala Beach Rd"/>
    <s v="FL"/>
    <s v="Gulf Breeze"/>
    <s v="32563-8944"/>
    <s v="NC4121S2A1-00000000"/>
    <s v="BASE NODE 5-42/51-1GHz JXP 1"/>
    <s v="6900517"/>
    <s v="15.1"/>
    <x v="38"/>
    <n v="1950196"/>
    <d v="2016-05-11T00:00:00"/>
    <m/>
    <d v="2016-10-13T16:04:46"/>
    <d v="2016-05-11T00:00:00"/>
    <d v="2016-10-13T23:59:00"/>
    <m/>
    <n v="1"/>
    <m/>
    <n v="1715"/>
    <m/>
    <s v="N034"/>
    <s v="NWK ACCESS TECH"/>
    <s v="NODE"/>
    <s v="NC4000 AURORA"/>
    <s v="N034"/>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26L1"/>
    <s v="SJ2_STAG"/>
    <s v="MEDIACOM"/>
    <s v="1613 Nantahala Beach Rd"/>
    <s v="FL"/>
    <s v="Gulf Breeze"/>
    <s v="32563-8944"/>
    <s v="RS4002-00"/>
    <s v="COMBINER DUAL RETURN PATH PLUG"/>
    <s v="6900517"/>
    <s v="2.1"/>
    <x v="38"/>
    <n v="1950196"/>
    <d v="2016-05-11T00:00:00"/>
    <m/>
    <d v="2016-10-13T16:04:46"/>
    <d v="2016-05-11T00:00:00"/>
    <d v="2016-10-13T23:59:00"/>
    <m/>
    <n v="1"/>
    <m/>
    <n v="19"/>
    <m/>
    <s v="N224"/>
    <s v="NWK ACCESS TECH"/>
    <s v="ACCESS OTHER"/>
    <s v="OTHER AURORA"/>
    <s v="N224"/>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725"/>
    <s v="MIDCONTINENT COMMUNICATIONS"/>
    <s v="163909"/>
    <s v="R016P40L1B01"/>
    <s v="SJ2_STAG"/>
    <s v="Midcontinent Communications"/>
    <s v="2012 Great Northern Dr N"/>
    <s v="ND"/>
    <s v="Fargo"/>
    <s v="58102-3251"/>
    <s v="NC219A1HGE1-0000000"/>
    <s v="NODE 5-85MHZ RVS 102-1GHZ FWD"/>
    <s v="6900250"/>
    <s v="1.1"/>
    <x v="39"/>
    <n v="1946874"/>
    <d v="2016-06-14T00:00:00"/>
    <m/>
    <d v="2016-10-10T11:04:01"/>
    <d v="2016-07-20T00:00:00"/>
    <d v="2016-10-10T23:59:00"/>
    <m/>
    <n v="5"/>
    <m/>
    <n v="5395"/>
    <m/>
    <s v="N276"/>
    <s v="NWK ACCESS TECH"/>
    <s v="NODE"/>
    <s v="NC2000 AURORA"/>
    <s v="N276"/>
    <s v="AUR-STANDARD ORDER MIXED"/>
    <s v="A-SURFACE"/>
    <s v="OP"/>
    <n v="1240376"/>
    <s v="A-SURFACE"/>
    <m/>
    <m/>
    <m/>
    <s v="A-SURFACE"/>
    <s v="LTL"/>
    <s v="EXW"/>
    <s v="Prepay &amp; Add"/>
    <m/>
    <m/>
    <m/>
    <m/>
    <m/>
    <m/>
    <m/>
    <s v="0"/>
    <s v="0"/>
  </r>
  <r>
    <s v="SJ2"/>
    <s v="5001725"/>
    <s v="MIDCONTINENT COMMUNICATIONS"/>
    <s v="163909"/>
    <s v="R016P38L1B01"/>
    <s v="SJ2_STAG"/>
    <s v="Midcontinent Communications"/>
    <s v="2012 Great Northern Dr N"/>
    <s v="ND"/>
    <s v="Fargo"/>
    <s v="58102-3251"/>
    <s v="NC219A1HGE1-0000000"/>
    <s v="NODE 5-85MHZ RVS 102-1GHZ FWD"/>
    <s v="6900250"/>
    <s v="1.1"/>
    <x v="39"/>
    <n v="1946874"/>
    <d v="2016-06-14T00:00:00"/>
    <m/>
    <d v="2016-10-10T11:04:01"/>
    <d v="2016-07-20T00:00:00"/>
    <d v="2016-10-10T23:59:00"/>
    <m/>
    <n v="5"/>
    <m/>
    <n v="5395"/>
    <m/>
    <s v="N276"/>
    <s v="NWK ACCESS TECH"/>
    <s v="NODE"/>
    <s v="NC2000 AURORA"/>
    <s v="N276"/>
    <s v="AUR-STANDARD ORDER MIXED"/>
    <s v="A-SURFACE"/>
    <s v="OP"/>
    <n v="1240376"/>
    <s v="A-SURFACE"/>
    <m/>
    <m/>
    <m/>
    <s v="A-SURFACE"/>
    <s v="LTL"/>
    <s v="EXW"/>
    <s v="Prepay &amp; Add"/>
    <m/>
    <m/>
    <m/>
    <m/>
    <m/>
    <m/>
    <m/>
    <s v="0"/>
    <s v="0"/>
  </r>
  <r>
    <s v="SJ2"/>
    <s v="5001732"/>
    <s v="CABLE ONE"/>
    <s v="BOISE4953"/>
    <m/>
    <s v="SJ2_STAG"/>
    <s v="CABLE ONE"/>
    <s v="8400 W Westpark St"/>
    <s v="ID"/>
    <s v="Boise"/>
    <s v="83704-8365"/>
    <s v="OP15D40U-0-99-AS"/>
    <s v="OPT DEMUX 100GHZ CH 20-59 1RU"/>
    <s v="20109817"/>
    <s v="57.1"/>
    <x v="40"/>
    <n v="1946595"/>
    <d v="2016-09-07T19:04:21"/>
    <m/>
    <d v="2016-10-10T01:05:26"/>
    <d v="2016-09-07T00:00:00"/>
    <d v="2016-10-12T23:59:00"/>
    <m/>
    <n v="2"/>
    <m/>
    <n v="16498"/>
    <m/>
    <s v="N157"/>
    <s v="NWK ACCESS TECH"/>
    <s v="OPTICAL PASSIVES"/>
    <s v="INDOOR PASSIVES AURORA"/>
    <s v="N157"/>
    <s v="AS-STANDARD ORDER MIXED"/>
    <s v="A-SURFACE"/>
    <s v="OP"/>
    <n v="1240131"/>
    <s v="A-SURFACE"/>
    <m/>
    <m/>
    <m/>
    <s v="A-SURFACE"/>
    <s v="LTL"/>
    <s v="EXW"/>
    <s v="Prepay &amp; Add"/>
    <m/>
    <m/>
    <m/>
    <m/>
    <m/>
    <m/>
    <m/>
    <s v="0"/>
    <s v="0"/>
  </r>
  <r>
    <s v="SJ2"/>
    <s v="5001732"/>
    <s v="CABLE ONE"/>
    <s v="BOISE4953"/>
    <s v="R023P11L2"/>
    <s v="SJ2_STAG"/>
    <s v="CABLE ONE"/>
    <s v="8400 W Westpark St"/>
    <s v="ID"/>
    <s v="Boise"/>
    <s v="83704-8365"/>
    <s v="BD35M4-A0T-H02F-3-AS"/>
    <s v="OPT MUX BD 100GHZ D ITU CH 52-"/>
    <s v="20109817"/>
    <s v="7.1"/>
    <x v="40"/>
    <n v="1946596"/>
    <d v="2016-09-07T19:04:21"/>
    <m/>
    <d v="2016-10-10T01:05:26"/>
    <d v="2016-09-07T00:00:00"/>
    <d v="2016-10-12T23:59:00"/>
    <m/>
    <n v="2"/>
    <m/>
    <n v="4290"/>
    <m/>
    <s v="N258"/>
    <s v="NWK ACCESS TECH"/>
    <s v="HEO"/>
    <s v="TRANSMITTERS AURORA"/>
    <s v="HDTX"/>
    <s v="AS-STANDARD ORDER MIXED"/>
    <s v="A-SURFACE"/>
    <s v="OP"/>
    <n v="1240131"/>
    <s v="A-SURFACE"/>
    <m/>
    <m/>
    <m/>
    <s v="A-SURFACE"/>
    <s v="LTL"/>
    <s v="EXW"/>
    <s v="Prepay &amp; Add"/>
    <m/>
    <m/>
    <m/>
    <m/>
    <m/>
    <m/>
    <m/>
    <s v="0"/>
    <s v="0"/>
  </r>
  <r>
    <s v="SJ2"/>
    <s v="5001732"/>
    <s v="CABLE ONE"/>
    <s v="BOISE4953"/>
    <s v="R023P07L3"/>
    <s v="SJ2_STAG"/>
    <s v="CABLE ONE"/>
    <s v="8400 W Westpark St"/>
    <s v="ID"/>
    <s v="Boise"/>
    <s v="83704-8365"/>
    <s v="OP95D4-CF3-103-R1-00"/>
    <s v="DEMUX DWDM 100GHZ 4 CH 03 F-CA"/>
    <s v="20112588"/>
    <s v="10.1"/>
    <x v="41"/>
    <n v="1950264"/>
    <d v="2016-09-21T18:12:45"/>
    <m/>
    <d v="2016-10-13T17:04:44"/>
    <d v="2016-09-21T00:00:00"/>
    <d v="2016-10-14T23:59:00"/>
    <m/>
    <n v="1"/>
    <m/>
    <n v="780"/>
    <m/>
    <s v="N160"/>
    <s v="NWK ACCESS TECH"/>
    <s v="OPTICAL PASSIVES"/>
    <s v="OUTDOOR PASSIVES AURORA"/>
    <s v="N160"/>
    <s v="AS-STANDARD ORDER MIXED"/>
    <s v="A-SURFACE"/>
    <s v="OP"/>
    <n v="1242390"/>
    <s v="A-SURFACE"/>
    <m/>
    <m/>
    <m/>
    <s v="A-SURFACE"/>
    <s v="LTL"/>
    <s v="EXW"/>
    <s v="Prepay &amp; Add"/>
    <m/>
    <m/>
    <m/>
    <m/>
    <m/>
    <m/>
    <m/>
    <s v="0"/>
    <s v="0"/>
  </r>
  <r>
    <s v="SJ2"/>
    <s v="5001732"/>
    <s v="CABLE ONE"/>
    <s v="PASCAGOULA4969"/>
    <s v="R015P68L1"/>
    <s v="SJ2_STAG"/>
    <s v="CABLE ONE"/>
    <s v="5100 Macphelah Rd"/>
    <s v="MS"/>
    <s v="Pascagoula"/>
    <s v="39567-1162"/>
    <s v="CH3000U-FM-00"/>
    <s v="ADAPTER FIBER MGT FOR CH3000 C"/>
    <s v="20115606"/>
    <s v="1.1"/>
    <x v="42"/>
    <n v="1944949"/>
    <d v="2016-10-06T18:14:26"/>
    <m/>
    <d v="2016-10-06T19:04:11"/>
    <d v="2016-10-06T00:00:00"/>
    <d v="2016-10-06T23:59:00"/>
    <m/>
    <n v="1"/>
    <n v="1"/>
    <n v="65"/>
    <n v="65"/>
    <s v="N199"/>
    <s v="NWK ACCESS TECH"/>
    <s v="HEO"/>
    <s v="HEO MISC AURORA"/>
    <s v="N199"/>
    <s v="AS-STANDARD ORDER MIXED"/>
    <s v="A-SURFACE"/>
    <s v="OP"/>
    <n v="1238208"/>
    <s v="A-SURFACE"/>
    <m/>
    <m/>
    <m/>
    <s v="A-SURFACE"/>
    <s v="LTL"/>
    <s v="EXW"/>
    <s v="Prepay &amp; Add"/>
    <m/>
    <m/>
    <m/>
    <m/>
    <m/>
    <m/>
    <m/>
    <s v="0"/>
    <s v="0"/>
  </r>
  <r>
    <s v="SJ2"/>
    <s v="5001732"/>
    <s v="CABLE ONE"/>
    <s v="PASCAGOULA4969"/>
    <s v="R015P59L5"/>
    <s v="SJ2_STAG"/>
    <s v="CABLE ONE"/>
    <s v="5100 Macphelah Rd"/>
    <s v="MS"/>
    <s v="Pascagoula"/>
    <s v="39567-1162"/>
    <s v="CH3000U-FM-00"/>
    <s v="ADAPTER FIBER MGT FOR CH3000 C"/>
    <s v="20115606"/>
    <s v="1.1"/>
    <x v="42"/>
    <n v="1944949"/>
    <d v="2016-10-06T18:14:26"/>
    <m/>
    <d v="2016-10-06T19:04:11"/>
    <d v="2016-10-06T00:00:00"/>
    <d v="2016-10-06T23:59:00"/>
    <m/>
    <n v="2"/>
    <n v="2"/>
    <n v="130"/>
    <n v="130"/>
    <s v="N199"/>
    <s v="NWK ACCESS TECH"/>
    <s v="HEO"/>
    <s v="HEO MISC AURORA"/>
    <s v="N199"/>
    <s v="AS-STANDARD ORDER MIXED"/>
    <s v="A-SURFACE"/>
    <s v="OP"/>
    <n v="1238208"/>
    <s v="A-SURFACE"/>
    <m/>
    <m/>
    <m/>
    <s v="A-SURFACE"/>
    <s v="LTL"/>
    <s v="EXW"/>
    <s v="Prepay &amp; Add"/>
    <m/>
    <m/>
    <m/>
    <m/>
    <m/>
    <m/>
    <m/>
    <s v="0"/>
    <s v="0"/>
  </r>
  <r>
    <s v="SJ2"/>
    <s v="5001732"/>
    <s v="CABLE ONE"/>
    <s v="PASCAGOULA4969"/>
    <s v="R016P12L3B01"/>
    <s v="SJ2_STAG"/>
    <s v="CABLE ONE"/>
    <s v="5100 Macphelah Rd"/>
    <s v="MS"/>
    <s v="Pascagoula"/>
    <s v="39567-1162"/>
    <s v="DR3450N-50-00"/>
    <s v="DIGITAL RECEIVER Q-RX 2.125GBP"/>
    <s v="20115606"/>
    <s v="11.1"/>
    <x v="42"/>
    <n v="1944950"/>
    <d v="2016-10-06T18:14:26"/>
    <m/>
    <d v="2016-10-06T19:04:11"/>
    <d v="2016-10-06T00:00:00"/>
    <d v="2016-10-06T23:59:00"/>
    <m/>
    <n v="2"/>
    <n v="2"/>
    <n v="2600"/>
    <n v="2600"/>
    <s v="N275"/>
    <s v="NWK ACCESS TECH"/>
    <s v="HEO"/>
    <s v="RECEIVERS AURORA"/>
    <s v="N275"/>
    <s v="AS-STANDARD ORDER MIXED"/>
    <s v="A-SURFACE"/>
    <s v="OP"/>
    <n v="1238208"/>
    <s v="A-SURFACE"/>
    <m/>
    <m/>
    <m/>
    <s v="A-SURFACE"/>
    <s v="LTL"/>
    <s v="EXW"/>
    <s v="Prepay &amp; Add"/>
    <m/>
    <m/>
    <m/>
    <m/>
    <m/>
    <m/>
    <m/>
    <s v="0"/>
    <s v="0"/>
  </r>
  <r>
    <s v="SJ2"/>
    <s v="5001732"/>
    <s v="CABLE ONE"/>
    <s v="PASCAGOULA4969"/>
    <s v="R016P45L4B01"/>
    <s v="SJ2_STAG"/>
    <s v="CABLE ONE"/>
    <s v="5100 Macphelah Rd"/>
    <s v="MS"/>
    <s v="Pascagoula"/>
    <s v="39567-1162"/>
    <s v="NC4121S251-00000000"/>
    <s v="NODE 5-42/51-870MHz JXP 1X1 SE"/>
    <s v="20115606"/>
    <s v="13.1"/>
    <x v="42"/>
    <n v="1944950"/>
    <d v="2016-10-06T18:14:26"/>
    <m/>
    <d v="2016-10-06T19:04:11"/>
    <d v="2016-10-06T00:00:00"/>
    <d v="2016-10-06T23:59:00"/>
    <m/>
    <n v="3"/>
    <n v="3"/>
    <n v="5226"/>
    <n v="5226"/>
    <s v="N034"/>
    <s v="NWK ACCESS TECH"/>
    <s v="NODE"/>
    <s v="NC4000 AURORA"/>
    <s v="N034"/>
    <s v="AS-STANDARD ORDER MIXED"/>
    <s v="A-SURFACE"/>
    <s v="OP"/>
    <n v="1238208"/>
    <s v="A-SURFACE"/>
    <m/>
    <m/>
    <m/>
    <s v="A-SURFACE"/>
    <s v="LTL"/>
    <s v="EXW"/>
    <s v="Prepay &amp; Add"/>
    <m/>
    <m/>
    <m/>
    <m/>
    <m/>
    <m/>
    <m/>
    <s v="0"/>
    <s v="0"/>
  </r>
  <r>
    <s v="SJ2"/>
    <s v="5001732"/>
    <s v="CABLE ONE"/>
    <s v="PASCAGOULA4969"/>
    <s v="R015P26L1"/>
    <s v="SJ2_STAG"/>
    <s v="CABLE ONE"/>
    <s v="5100 Macphelah Rd"/>
    <s v="MS"/>
    <s v="Pascagoula"/>
    <s v="39567-1162"/>
    <s v="RS4002-00"/>
    <s v="COMBINER DUAL RETURN PATH PLUG"/>
    <s v="20115606"/>
    <s v="17.1"/>
    <x v="42"/>
    <n v="1944950"/>
    <d v="2016-10-06T18:14:26"/>
    <m/>
    <d v="2016-10-06T19:04:11"/>
    <d v="2016-10-06T00:00:00"/>
    <d v="2016-10-06T23:59:00"/>
    <m/>
    <n v="1"/>
    <n v="1"/>
    <n v="20"/>
    <n v="20"/>
    <s v="N224"/>
    <s v="NWK ACCESS TECH"/>
    <s v="ACCESS OTHER"/>
    <s v="OTHER AURORA"/>
    <s v="N224"/>
    <s v="AS-STANDARD ORDER MIXED"/>
    <s v="A-SURFACE"/>
    <s v="OP"/>
    <n v="1238208"/>
    <s v="A-SURFACE"/>
    <m/>
    <m/>
    <m/>
    <s v="A-SURFACE"/>
    <s v="LTL"/>
    <s v="EXW"/>
    <s v="Prepay &amp; Add"/>
    <m/>
    <m/>
    <m/>
    <m/>
    <m/>
    <m/>
    <m/>
    <s v="0"/>
    <s v="0"/>
  </r>
  <r>
    <s v="SJ2"/>
    <s v="5001732"/>
    <s v="CABLE ONE"/>
    <s v="PASCAGOULA4969"/>
    <s v="R016P41L1B02"/>
    <s v="SJ2_STAG"/>
    <s v="CABLE ONE"/>
    <s v="5100 Macphelah Rd"/>
    <s v="MS"/>
    <s v="Pascagoula"/>
    <s v="39567-1162"/>
    <s v="CH3000N"/>
    <s v="CHASSIS NO COVERS 3RU"/>
    <s v="20115606"/>
    <s v="2.1"/>
    <x v="42"/>
    <n v="1944949"/>
    <d v="2016-10-06T18:14:26"/>
    <m/>
    <d v="2016-10-06T19:04:11"/>
    <d v="2016-10-06T00:00:00"/>
    <d v="2016-10-06T23:59:00"/>
    <m/>
    <n v="3"/>
    <n v="3"/>
    <n v="780"/>
    <n v="780"/>
    <s v="N199"/>
    <s v="NWK ACCESS TECH"/>
    <s v="HEO"/>
    <s v="HEO MISC AURORA"/>
    <s v="N199"/>
    <s v="AS-STANDARD ORDER MIXED"/>
    <s v="A-SURFACE"/>
    <s v="OP"/>
    <n v="1238208"/>
    <s v="A-SURFACE"/>
    <m/>
    <m/>
    <m/>
    <s v="A-SURFACE"/>
    <s v="LTL"/>
    <s v="EXW"/>
    <s v="Prepay &amp; Add"/>
    <m/>
    <m/>
    <m/>
    <m/>
    <m/>
    <m/>
    <m/>
    <s v="0"/>
    <s v="0"/>
  </r>
  <r>
    <s v="SJ2"/>
    <s v="5001732"/>
    <s v="CABLE ONE"/>
    <s v="PASCAGOULA4969"/>
    <s v="R023P04L1"/>
    <s v="SJ2_STAG"/>
    <s v="CABLE ONE"/>
    <s v="5100 Macphelah Rd"/>
    <s v="MS"/>
    <s v="Pascagoula"/>
    <s v="39567-1162"/>
    <s v="TL3000-EJ-00"/>
    <s v="TOOL EXTRACTOR HANDLE CH3000"/>
    <s v="20115606"/>
    <s v="23.1"/>
    <x v="42"/>
    <n v="1944950"/>
    <d v="2016-10-06T18:14:26"/>
    <m/>
    <d v="2016-10-06T19:04:11"/>
    <d v="2016-10-06T00:00:00"/>
    <d v="2016-10-06T23:59:00"/>
    <m/>
    <n v="1"/>
    <n v="1"/>
    <n v="7"/>
    <n v="7"/>
    <s v="N185"/>
    <s v="NWK ACCESS TECH"/>
    <s v="ACCESS OTHER"/>
    <s v="OTHER AURORA"/>
    <s v="N185"/>
    <s v="AS-STANDARD ORDER MIXED"/>
    <s v="A-SURFACE"/>
    <s v="OP"/>
    <n v="1238208"/>
    <s v="A-SURFACE"/>
    <m/>
    <m/>
    <m/>
    <s v="A-SURFACE"/>
    <s v="LTL"/>
    <s v="EXW"/>
    <s v="Prepay &amp; Add"/>
    <m/>
    <m/>
    <m/>
    <m/>
    <m/>
    <m/>
    <m/>
    <s v="0"/>
    <s v="0"/>
  </r>
  <r>
    <s v="SJ2"/>
    <s v="5001732"/>
    <s v="CABLE ONE"/>
    <s v="PASCAGOULA4969"/>
    <s v="R016P39L1B01"/>
    <s v="SJ2_STAG"/>
    <s v="CABLE ONE"/>
    <s v="5100 Macphelah Rd"/>
    <s v="MS"/>
    <s v="Pascagoula"/>
    <s v="39567-1162"/>
    <s v="JC1508-AS-50"/>
    <s v="CABLE SERVICE 8 SC/APC 50FT"/>
    <s v="20115606"/>
    <s v="26.1"/>
    <x v="42"/>
    <n v="1944949"/>
    <d v="2016-10-06T18:14:26"/>
    <m/>
    <d v="2016-10-06T19:04:11"/>
    <d v="2016-10-06T00:00:00"/>
    <d v="2016-10-06T23:59:00"/>
    <m/>
    <n v="3"/>
    <n v="3"/>
    <n v="702"/>
    <n v="702"/>
    <s v="N223"/>
    <s v="NWK ACCESS TECH"/>
    <s v="OPTICAL PASSIVES"/>
    <s v="INDOOR PASSIVES AURORA"/>
    <s v="N223"/>
    <s v="AS-STANDARD ORDER MIXED"/>
    <s v="A-SURFACE"/>
    <s v="OP"/>
    <n v="1238208"/>
    <s v="A-SURFACE"/>
    <m/>
    <m/>
    <m/>
    <s v="A-SURFACE"/>
    <s v="LTL"/>
    <s v="EXW"/>
    <s v="Prepay &amp; Add"/>
    <m/>
    <m/>
    <m/>
    <m/>
    <m/>
    <m/>
    <m/>
    <s v="0"/>
    <s v="0"/>
  </r>
  <r>
    <s v="SJ2"/>
    <s v="5001732"/>
    <s v="CABLE ONE"/>
    <s v="PASCAGOULA4969"/>
    <s v="R015P25L2"/>
    <s v="SJ2_STAG"/>
    <s v="CABLE ONE"/>
    <s v="5100 Macphelah Rd"/>
    <s v="MS"/>
    <s v="Pascagoula"/>
    <s v="39567-1162"/>
    <s v="PS3005D"/>
    <s v="POWER SUPPLY 250W CE TUV W/DIS"/>
    <s v="20115606"/>
    <s v="3.1"/>
    <x v="42"/>
    <n v="1944949"/>
    <d v="2016-10-06T18:14:26"/>
    <m/>
    <d v="2016-10-06T19:04:11"/>
    <d v="2016-10-06T00:00:00"/>
    <d v="2016-10-06T23:59:00"/>
    <m/>
    <n v="3"/>
    <n v="3"/>
    <n v="1950"/>
    <n v="1950"/>
    <s v="N204"/>
    <s v="NWK ACCESS TECH"/>
    <s v="ACCESS OTHER"/>
    <s v="OTHER AURORA"/>
    <s v="N204"/>
    <s v="AS-STANDARD ORDER MIXED"/>
    <s v="A-SURFACE"/>
    <s v="OP"/>
    <n v="1238208"/>
    <s v="A-SURFACE"/>
    <m/>
    <m/>
    <m/>
    <s v="A-SURFACE"/>
    <s v="LTL"/>
    <s v="EXW"/>
    <s v="Prepay &amp; Add"/>
    <m/>
    <m/>
    <m/>
    <m/>
    <m/>
    <m/>
    <m/>
    <s v="0"/>
    <s v="0"/>
  </r>
  <r>
    <s v="SJ2"/>
    <s v="5001732"/>
    <s v="CABLE ONE"/>
    <s v="PASCAGOULA4969"/>
    <s v="R016P39L4B02"/>
    <s v="SJ2_STAG"/>
    <s v="CABLE ONE"/>
    <s v="5100 Macphelah Rd"/>
    <s v="MS"/>
    <s v="Pascagoula"/>
    <s v="39567-1162"/>
    <s v="PS3005N"/>
    <s v="POWER SUPPLY 250W CE TUV W/O D"/>
    <s v="20115606"/>
    <s v="4.1"/>
    <x v="42"/>
    <n v="1944949"/>
    <d v="2016-10-06T18:14:26"/>
    <m/>
    <d v="2016-10-06T19:04:11"/>
    <d v="2016-10-06T00:00:00"/>
    <d v="2016-10-06T23:59:00"/>
    <m/>
    <n v="3"/>
    <n v="3"/>
    <n v="1638"/>
    <n v="1638"/>
    <s v="N204"/>
    <s v="NWK ACCESS TECH"/>
    <s v="ACCESS OTHER"/>
    <s v="OTHER AURORA"/>
    <s v="N204"/>
    <s v="AS-STANDARD ORDER MIXED"/>
    <s v="A-SURFACE"/>
    <s v="OP"/>
    <n v="1238208"/>
    <s v="A-SURFACE"/>
    <m/>
    <m/>
    <m/>
    <s v="A-SURFACE"/>
    <s v="LTL"/>
    <s v="EXW"/>
    <s v="Prepay &amp; Add"/>
    <m/>
    <m/>
    <m/>
    <m/>
    <m/>
    <m/>
    <m/>
    <s v="0"/>
    <s v="0"/>
  </r>
  <r>
    <s v="SJ2"/>
    <s v="5001732"/>
    <s v="CABLE ONE"/>
    <s v="KIRKSVILLE4963"/>
    <m/>
    <s v="SJ2_STAG"/>
    <s v="CABLE ONE"/>
    <s v="402 N Main St"/>
    <s v="MO"/>
    <s v="Kirksville"/>
    <s v="63501-2848"/>
    <s v="CH3000N"/>
    <s v="CHASSIS NO COVERS 3RU"/>
    <s v="20115702"/>
    <s v="1.1"/>
    <x v="43"/>
    <n v="1947050"/>
    <d v="2016-10-07T13:00:14"/>
    <m/>
    <d v="2016-10-10T15:05:27"/>
    <d v="2016-10-07T00:00:00"/>
    <d v="2016-10-10T23:59:00"/>
    <m/>
    <n v="2"/>
    <n v="2"/>
    <n v="520"/>
    <n v="520"/>
    <s v="N199"/>
    <s v="NWK ACCESS TECH"/>
    <s v="HEO"/>
    <s v="HEO MISC AURORA"/>
    <s v="N199"/>
    <s v="AS-STANDARD ORDER MIXED"/>
    <s v="A-SURFACE"/>
    <s v="OP"/>
    <n v="1240502"/>
    <s v="A-SURFACE"/>
    <m/>
    <m/>
    <m/>
    <s v="A-SURFACE"/>
    <s v="LTL"/>
    <s v="EXW"/>
    <s v="Prepay &amp; Add"/>
    <m/>
    <m/>
    <m/>
    <m/>
    <m/>
    <m/>
    <m/>
    <s v="0"/>
    <s v="0"/>
  </r>
  <r>
    <s v="SJ2"/>
    <s v="5001732"/>
    <s v="CABLE ONE"/>
    <s v="KIRKSVILLE4963"/>
    <m/>
    <s v="SJ2_STAG"/>
    <s v="CABLE ONE"/>
    <s v="402 N Main St"/>
    <s v="MO"/>
    <s v="Kirksville"/>
    <m/>
    <s v="DR3450N-50-00"/>
    <s v="DIGITAL RECEIVER Q-RX 2.125GBP"/>
    <s v="20115702"/>
    <s v="14.1"/>
    <x v="43"/>
    <n v="1947050"/>
    <d v="2016-10-07T13:00:14"/>
    <s v=""/>
    <d v="2016-10-10T15:05:27"/>
    <d v="2016-10-07T00:00:00"/>
    <d v="2016-10-10T23:59:00"/>
    <s v=""/>
    <n v="2"/>
    <n v="2"/>
    <n v="2600"/>
    <n v="2600"/>
    <s v="N275"/>
    <s v="NWK ACCESS TECH"/>
    <s v="HEO"/>
    <s v="RECEIVERS AURORA"/>
    <s v="N275"/>
    <s v="AS-STANDARD ORDER MIXED"/>
    <s v="A-SURFACE"/>
    <s v="OP"/>
    <n v="1240502"/>
    <s v="A-SURFACE"/>
    <m/>
    <m/>
    <m/>
    <s v="A-SURFACE"/>
    <s v="LTL"/>
    <s v="EXW"/>
    <s v="Prepay &amp; Add"/>
    <m/>
    <s v=""/>
    <s v=""/>
    <s v=""/>
    <m/>
    <m/>
    <m/>
    <s v="0"/>
    <s v="0"/>
  </r>
  <r>
    <s v="SJ2"/>
    <s v="5001732"/>
    <s v="CABLE ONE"/>
    <s v="KIRKSVILLE4963"/>
    <m/>
    <s v="SJ2_STAG"/>
    <s v="CABLE ONE"/>
    <s v="402 N Main St"/>
    <s v="MO"/>
    <s v="Kirksville"/>
    <m/>
    <s v="DR3450N-50-00"/>
    <s v="DIGITAL RECEIVER Q-RX 2.125GBP"/>
    <s v="20115702"/>
    <s v="14.1"/>
    <x v="43"/>
    <n v="1947051"/>
    <m/>
    <m/>
    <m/>
    <m/>
    <m/>
    <m/>
    <n v="3"/>
    <n v="3"/>
    <n v="3900"/>
    <n v="3900"/>
    <m/>
    <m/>
    <m/>
    <m/>
    <m/>
    <m/>
    <m/>
    <m/>
    <n v="1240502"/>
    <m/>
    <m/>
    <m/>
    <m/>
    <m/>
    <m/>
    <m/>
    <m/>
    <m/>
    <m/>
    <m/>
    <m/>
    <m/>
    <m/>
    <m/>
    <m/>
    <m/>
  </r>
  <r>
    <s v="SJ2"/>
    <s v="5001732"/>
    <s v="CABLE ONE"/>
    <s v="KIRKSVILLE4963"/>
    <m/>
    <s v="SJ2_STAG"/>
    <s v="CABLE ONE"/>
    <s v="402 N Main St"/>
    <s v="MO"/>
    <s v="Kirksville"/>
    <m/>
    <s v="NC4121S2A1-00000000"/>
    <s v="BASE NODE 5-42/51-1GHz JXP 1"/>
    <s v="20115702"/>
    <s v="16.1"/>
    <x v="43"/>
    <n v="1947051"/>
    <d v="2016-10-07T13:00:14"/>
    <m/>
    <d v="2016-10-10T15:05:27"/>
    <d v="2016-10-07T00:00:00"/>
    <d v="2016-10-10T23:59:00"/>
    <m/>
    <n v="7"/>
    <n v="7"/>
    <n v="12194"/>
    <n v="12194"/>
    <s v="N034"/>
    <s v="NWK ACCESS TECH"/>
    <s v="NODE"/>
    <s v="NC4000 AURORA"/>
    <s v="N034"/>
    <s v="AS-STANDARD ORDER MIXED"/>
    <s v="A-SURFACE"/>
    <s v="OP"/>
    <n v="1240502"/>
    <s v="A-SURFACE"/>
    <m/>
    <m/>
    <m/>
    <s v="A-SURFACE"/>
    <s v="LTL"/>
    <s v="EXW"/>
    <s v="Prepay &amp; Add"/>
    <m/>
    <m/>
    <m/>
    <m/>
    <m/>
    <m/>
    <m/>
    <s v="0"/>
    <s v="0"/>
  </r>
  <r>
    <s v="SJ2"/>
    <s v="5001732"/>
    <s v="CABLE ONE"/>
    <s v="KIRKSVILLE4963"/>
    <m/>
    <s v="SJ2_STAG"/>
    <s v="CABLE ONE"/>
    <s v="402 N Main St"/>
    <s v="MO"/>
    <s v="Kirksville"/>
    <m/>
    <s v="AR4203G-AS"/>
    <s v="OPTICAL RECEIVER 51-1002MHz FW"/>
    <s v="20115702"/>
    <s v="17.1"/>
    <x v="43"/>
    <n v="1947050"/>
    <d v="2016-10-07T13:00:14"/>
    <m/>
    <d v="2016-10-10T15:05:27"/>
    <d v="2016-10-07T00:00:00"/>
    <d v="2016-10-10T23:59:00"/>
    <m/>
    <n v="6"/>
    <n v="6"/>
    <n v="2340"/>
    <n v="2340"/>
    <s v="N222"/>
    <s v="NWK ACCESS TECH"/>
    <s v="HPON"/>
    <s v="VHUB AURORA"/>
    <s v="N222"/>
    <s v="AS-STANDARD ORDER MIXED"/>
    <s v="A-SURFACE"/>
    <s v="OP"/>
    <n v="1240502"/>
    <s v="A-SURFACE"/>
    <m/>
    <m/>
    <m/>
    <s v="A-SURFACE"/>
    <s v="LTL"/>
    <s v="EXW"/>
    <s v="Prepay &amp; Add"/>
    <m/>
    <m/>
    <m/>
    <m/>
    <m/>
    <m/>
    <m/>
    <s v="0"/>
    <s v="0"/>
  </r>
  <r>
    <s v="SJ2"/>
    <s v="5001732"/>
    <s v="CABLE ONE"/>
    <s v="KIRKSVILLE4963"/>
    <m/>
    <s v="SJ2_STAG"/>
    <s v="CABLE ONE"/>
    <s v="402 N Main St"/>
    <s v="MO"/>
    <s v="Kirksville"/>
    <m/>
    <s v="DT4250N-50-00"/>
    <s v="DGTL XCVR ENH MULTI-MODES OF O"/>
    <s v="20115702"/>
    <s v="18.1"/>
    <x v="43"/>
    <n v="1947050"/>
    <d v="2016-10-07T13:00:14"/>
    <m/>
    <d v="2016-10-10T15:05:27"/>
    <d v="2016-10-07T00:00:00"/>
    <d v="2016-10-10T23:59:00"/>
    <m/>
    <n v="8"/>
    <n v="8"/>
    <n v="2600"/>
    <n v="2600"/>
    <s v="N065"/>
    <s v="NWK ACCESS TECH"/>
    <s v="NODE"/>
    <s v="NODE MISC AURORA"/>
    <s v="N065"/>
    <s v="AS-STANDARD ORDER MIXED"/>
    <s v="A-SURFACE"/>
    <s v="OP"/>
    <n v="1240502"/>
    <s v="A-SURFACE"/>
    <m/>
    <m/>
    <m/>
    <s v="A-SURFACE"/>
    <s v="LTL"/>
    <s v="EXW"/>
    <s v="Prepay &amp; Add"/>
    <m/>
    <m/>
    <m/>
    <m/>
    <m/>
    <m/>
    <m/>
    <s v="0"/>
    <s v="0"/>
  </r>
  <r>
    <s v="SJ2"/>
    <s v="5001732"/>
    <s v="CABLE ONE"/>
    <s v="KIRKSVILLE4963"/>
    <m/>
    <s v="SJ2_STAG"/>
    <s v="CABLE ONE"/>
    <s v="402 N Main St"/>
    <s v="MO"/>
    <s v="Kirksville"/>
    <m/>
    <s v="RS4002-00"/>
    <s v="COMBINER DUAL RETURN PATH PLUG"/>
    <s v="20115702"/>
    <s v="19.1"/>
    <x v="43"/>
    <n v="1947050"/>
    <d v="2016-10-07T13:00:14"/>
    <m/>
    <d v="2016-10-10T15:05:27"/>
    <d v="2016-10-07T00:00:00"/>
    <d v="2016-10-10T23:59:00"/>
    <m/>
    <n v="7"/>
    <n v="7"/>
    <n v="140"/>
    <n v="140"/>
    <s v="N224"/>
    <s v="NWK ACCESS TECH"/>
    <s v="ACCESS OTHER"/>
    <s v="OTHER AURORA"/>
    <s v="N224"/>
    <s v="AS-STANDARD ORDER MIXED"/>
    <s v="A-SURFACE"/>
    <s v="OP"/>
    <n v="1240502"/>
    <s v="A-SURFACE"/>
    <m/>
    <m/>
    <m/>
    <s v="A-SURFACE"/>
    <s v="LTL"/>
    <s v="EXW"/>
    <s v="Prepay &amp; Add"/>
    <m/>
    <m/>
    <m/>
    <m/>
    <m/>
    <m/>
    <m/>
    <s v="0"/>
    <s v="0"/>
  </r>
  <r>
    <s v="SJ2"/>
    <s v="5001732"/>
    <s v="CABLE ONE"/>
    <s v="KIRKSVILLE4963"/>
    <m/>
    <s v="SJ2_STAG"/>
    <s v="CABLE ONE"/>
    <s v="402 N Main St"/>
    <s v="MO"/>
    <s v="Kirksville"/>
    <m/>
    <s v="CH3000U-FM-00"/>
    <s v="ADAPTER FIBER MGT FOR CH3000 C"/>
    <s v="20115702"/>
    <s v="2.1"/>
    <x v="43"/>
    <n v="1947050"/>
    <d v="2016-10-07T13:00:14"/>
    <m/>
    <d v="2016-10-10T15:05:27"/>
    <d v="2016-10-07T00:00:00"/>
    <d v="2016-10-10T23:59:00"/>
    <m/>
    <n v="2"/>
    <n v="2"/>
    <n v="130"/>
    <n v="130"/>
    <s v="N199"/>
    <s v="NWK ACCESS TECH"/>
    <s v="HEO"/>
    <s v="HEO MISC AURORA"/>
    <s v="N199"/>
    <s v="AS-STANDARD ORDER MIXED"/>
    <s v="A-SURFACE"/>
    <s v="OP"/>
    <n v="1240502"/>
    <s v="A-SURFACE"/>
    <m/>
    <m/>
    <m/>
    <s v="A-SURFACE"/>
    <s v="LTL"/>
    <s v="EXW"/>
    <s v="Prepay &amp; Add"/>
    <m/>
    <m/>
    <m/>
    <m/>
    <m/>
    <m/>
    <m/>
    <s v="0"/>
    <s v="0"/>
  </r>
  <r>
    <s v="SJ2"/>
    <s v="5001732"/>
    <s v="CABLE ONE"/>
    <s v="KIRKSVILLE4963"/>
    <m/>
    <s v="SJ2_STAG"/>
    <s v="CABLE ONE"/>
    <s v="402 N Main St"/>
    <s v="MO"/>
    <s v="Kirksville"/>
    <m/>
    <s v="PS3005D"/>
    <s v="POWER SUPPLY 250W CE TUV W/DIS"/>
    <s v="20115702"/>
    <s v="3.1"/>
    <x v="43"/>
    <n v="1947050"/>
    <d v="2016-10-07T13:00:14"/>
    <m/>
    <d v="2016-10-10T15:05:27"/>
    <d v="2016-10-07T00:00:00"/>
    <d v="2016-10-10T23:59:00"/>
    <m/>
    <n v="2"/>
    <n v="2"/>
    <n v="1300"/>
    <n v="1300"/>
    <s v="N204"/>
    <s v="NWK ACCESS TECH"/>
    <s v="ACCESS OTHER"/>
    <s v="OTHER AURORA"/>
    <s v="N204"/>
    <s v="AS-STANDARD ORDER MIXED"/>
    <s v="A-SURFACE"/>
    <s v="OP"/>
    <n v="1240502"/>
    <s v="A-SURFACE"/>
    <m/>
    <m/>
    <m/>
    <s v="A-SURFACE"/>
    <s v="LTL"/>
    <s v="EXW"/>
    <s v="Prepay &amp; Add"/>
    <m/>
    <m/>
    <m/>
    <m/>
    <m/>
    <m/>
    <m/>
    <s v="0"/>
    <s v="0"/>
  </r>
  <r>
    <s v="SJ2"/>
    <s v="5001732"/>
    <s v="CABLE ONE"/>
    <s v="KIRKSVILLE4963"/>
    <m/>
    <s v="SJ2_STAG"/>
    <s v="CABLE ONE"/>
    <s v="402 N Main St"/>
    <s v="MO"/>
    <s v="Kirksville"/>
    <m/>
    <s v="JC1508-AS-100"/>
    <s v="CABLE SERVICE 8 SC/APC 100FT"/>
    <s v="20115702"/>
    <s v="32.1"/>
    <x v="43"/>
    <n v="1947050"/>
    <d v="2016-10-07T13:00:14"/>
    <m/>
    <d v="2016-10-10T15:05:27"/>
    <d v="2016-10-07T00:00:00"/>
    <d v="2016-10-10T23:59:00"/>
    <m/>
    <n v="7"/>
    <n v="7"/>
    <n v="2002"/>
    <n v="2002"/>
    <s v="N223"/>
    <s v="NWK ACCESS TECH"/>
    <s v="OPTICAL PASSIVES"/>
    <s v="INDOOR PASSIVES AURORA"/>
    <s v="N223"/>
    <s v="AS-STANDARD ORDER MIXED"/>
    <s v="A-SURFACE"/>
    <s v="OP"/>
    <n v="1240502"/>
    <s v="A-SURFACE"/>
    <m/>
    <m/>
    <m/>
    <s v="A-SURFACE"/>
    <s v="LTL"/>
    <s v="EXW"/>
    <s v="Prepay &amp; Add"/>
    <m/>
    <m/>
    <m/>
    <m/>
    <m/>
    <m/>
    <m/>
    <s v="0"/>
    <s v="0"/>
  </r>
  <r>
    <s v="SJ2"/>
    <s v="5001732"/>
    <s v="CABLE ONE"/>
    <s v="KIRKSVILLE4963"/>
    <m/>
    <s v="SJ2_STAG"/>
    <s v="CABLE ONE"/>
    <s v="402 N Main St"/>
    <s v="MO"/>
    <s v="Kirksville"/>
    <m/>
    <s v="PS3005N"/>
    <s v="POWER SUPPLY 250W CE TUV W/O D"/>
    <s v="20115702"/>
    <s v="4.1"/>
    <x v="43"/>
    <n v="1947050"/>
    <d v="2016-10-07T13:00:14"/>
    <s v=""/>
    <d v="2016-10-10T15:05:27"/>
    <d v="2016-10-07T00:00:00"/>
    <d v="2016-10-10T23:59:00"/>
    <s v=""/>
    <n v="1"/>
    <n v="1"/>
    <n v="546"/>
    <n v="546"/>
    <s v="N204"/>
    <s v="NWK ACCESS TECH"/>
    <s v="ACCESS OTHER"/>
    <s v="OTHER AURORA"/>
    <s v="N204"/>
    <s v="AS-STANDARD ORDER MIXED"/>
    <s v="A-SURFACE"/>
    <s v="OP"/>
    <n v="1240502"/>
    <s v="A-SURFACE"/>
    <m/>
    <m/>
    <m/>
    <s v="A-SURFACE"/>
    <s v="LTL"/>
    <s v="EXW"/>
    <s v="Prepay &amp; Add"/>
    <m/>
    <s v=""/>
    <s v=""/>
    <s v=""/>
    <m/>
    <m/>
    <m/>
    <s v="0"/>
    <s v="0"/>
  </r>
  <r>
    <s v="SJ2"/>
    <s v="5001732"/>
    <s v="CABLE ONE"/>
    <s v="KIRKSVILLE4963"/>
    <m/>
    <s v="SJ2_STAG"/>
    <s v="CABLE ONE"/>
    <s v="402 N Main St"/>
    <s v="MO"/>
    <s v="Kirksville"/>
    <m/>
    <s v="PS3005N"/>
    <s v="POWER SUPPLY 250W CE TUV W/O D"/>
    <s v="20115702"/>
    <s v="4.1"/>
    <x v="43"/>
    <n v="1947050"/>
    <m/>
    <m/>
    <m/>
    <m/>
    <m/>
    <m/>
    <n v="1"/>
    <n v="1"/>
    <n v="546"/>
    <n v="546"/>
    <m/>
    <m/>
    <m/>
    <m/>
    <m/>
    <m/>
    <m/>
    <m/>
    <n v="1240502"/>
    <m/>
    <m/>
    <m/>
    <m/>
    <m/>
    <m/>
    <m/>
    <m/>
    <m/>
    <m/>
    <m/>
    <m/>
    <m/>
    <m/>
    <m/>
    <m/>
    <m/>
  </r>
  <r>
    <s v="SJ2"/>
    <s v="5001732"/>
    <s v="CABLE ONE"/>
    <s v="FARGO4970"/>
    <s v="R015P11L3"/>
    <s v="SJ2_STAG"/>
    <s v="CABLE ONE"/>
    <s v="1024 Page Dr S"/>
    <s v="ND"/>
    <s v="Fargo"/>
    <s v="58103-2336"/>
    <s v="NC4111H3H9-00000000"/>
    <s v="NODE FD 2x2 5-45/54-1GHz UHG A"/>
    <s v="20116096"/>
    <s v="11.1"/>
    <x v="44"/>
    <n v="1947024"/>
    <d v="2016-10-10T13:49:54"/>
    <m/>
    <d v="2016-10-10T14:05:22"/>
    <d v="2016-10-10T00:00:00"/>
    <d v="2016-10-10T23:59:00"/>
    <m/>
    <n v="2"/>
    <m/>
    <n v="3900"/>
    <m/>
    <s v="N032"/>
    <s v="NWK ACCESS TECH"/>
    <s v="NODE"/>
    <s v="NC4000 AURORA"/>
    <s v="N032"/>
    <s v="AS-STANDARD ORDER MIXED"/>
    <s v="A-SURFACE"/>
    <s v="OP"/>
    <n v="1240476"/>
    <s v="A-SURFACE"/>
    <m/>
    <m/>
    <m/>
    <s v="A-SURFACE"/>
    <s v="LTL"/>
    <s v="EXW"/>
    <s v="Prepay &amp; Add"/>
    <m/>
    <m/>
    <m/>
    <m/>
    <m/>
    <m/>
    <m/>
    <s v="0"/>
    <s v="0"/>
  </r>
  <r>
    <s v="SJ2"/>
    <s v="5001732"/>
    <s v="CABLE ONE"/>
    <s v="FARGO4970"/>
    <s v="R016P18L2B01"/>
    <s v="SJ2_STAG"/>
    <s v="CABLE ONE"/>
    <s v="1024 Page Dr S"/>
    <s v="ND"/>
    <s v="Fargo"/>
    <s v="58103-2336"/>
    <s v="AR4003G-AS"/>
    <s v="OPTICAL RECEIVER 54-1002MHz FW"/>
    <s v="20116096"/>
    <s v="12.1"/>
    <x v="44"/>
    <n v="1947024"/>
    <d v="2016-10-10T13:49:54"/>
    <m/>
    <d v="2016-10-10T14:05:22"/>
    <d v="2016-10-10T00:00:00"/>
    <d v="2016-10-10T23:59:00"/>
    <m/>
    <n v="1"/>
    <m/>
    <n v="390"/>
    <m/>
    <s v="N222"/>
    <s v="NWK ACCESS TECH"/>
    <s v="HPON"/>
    <s v="VHUB AURORA"/>
    <s v="N222"/>
    <s v="AS-STANDARD ORDER MIXED"/>
    <s v="A-SURFACE"/>
    <s v="OP"/>
    <n v="1240476"/>
    <s v="A-SURFACE"/>
    <m/>
    <m/>
    <m/>
    <s v="A-SURFACE"/>
    <s v="LTL"/>
    <s v="EXW"/>
    <s v="Prepay &amp; Add"/>
    <m/>
    <m/>
    <m/>
    <m/>
    <m/>
    <m/>
    <m/>
    <s v="0"/>
    <s v="0"/>
  </r>
  <r>
    <s v="SJ2"/>
    <s v="5001732"/>
    <s v="CABLE ONE"/>
    <s v="FARGO4970"/>
    <s v="R015P44L4"/>
    <s v="SJ2_STAG"/>
    <s v="CABLE ONE"/>
    <s v="1024 Page Dr S"/>
    <s v="ND"/>
    <s v="Fargo"/>
    <s v="58103-2336"/>
    <s v="DT4250N-50-00"/>
    <s v="DGTL XCVR ENH MULTI-MODES OF O"/>
    <s v="20116096"/>
    <s v="13.1"/>
    <x v="44"/>
    <n v="1947023"/>
    <d v="2016-10-10T13:49:54"/>
    <m/>
    <d v="2016-10-10T14:05:22"/>
    <d v="2016-10-10T00:00:00"/>
    <d v="2016-10-10T23:59:00"/>
    <m/>
    <n v="1"/>
    <m/>
    <n v="325"/>
    <m/>
    <s v="N065"/>
    <s v="NWK ACCESS TECH"/>
    <s v="NODE"/>
    <s v="NODE MISC AURORA"/>
    <s v="N065"/>
    <s v="AS-STANDARD ORDER MIXED"/>
    <s v="A-SURFACE"/>
    <s v="OP"/>
    <n v="1240476"/>
    <s v="A-SURFACE"/>
    <m/>
    <m/>
    <m/>
    <s v="A-SURFACE"/>
    <s v="LTL"/>
    <s v="EXW"/>
    <s v="Prepay &amp; Add"/>
    <m/>
    <m/>
    <m/>
    <m/>
    <m/>
    <m/>
    <m/>
    <s v="0"/>
    <s v="0"/>
  </r>
  <r>
    <s v="SJ2"/>
    <s v="5001732"/>
    <s v="CABLE ONE"/>
    <s v="FARGO4970"/>
    <s v="R023P11L5"/>
    <s v="SJ2_STAG"/>
    <s v="CABLE ONE"/>
    <s v="1024 Page Dr S"/>
    <s v="ND"/>
    <s v="Fargo"/>
    <s v="58103-2336"/>
    <s v="HT3541H-D-A510-2-AS"/>
    <s v="XMTR DD 1.2GHZ FULL SPECTRUM 3"/>
    <s v="20116096"/>
    <s v="5.1"/>
    <x v="44"/>
    <n v="1947023"/>
    <d v="2016-10-10T13:49:54"/>
    <m/>
    <d v="2016-10-10T14:05:22"/>
    <d v="2016-10-10T00:00:00"/>
    <d v="2016-10-10T23:59:00"/>
    <m/>
    <n v="1"/>
    <m/>
    <n v="2080"/>
    <m/>
    <s v="HE64"/>
    <s v="NWK ACCESS TECH"/>
    <s v="HEO"/>
    <s v="TRANSMITTER"/>
    <s v="HT"/>
    <s v="AS-STANDARD ORDER MIXED"/>
    <s v="A-SURFACE"/>
    <s v="OP"/>
    <n v="1240476"/>
    <s v="A-SURFACE"/>
    <m/>
    <m/>
    <m/>
    <s v="A-SURFACE"/>
    <s v="LTL"/>
    <s v="EXW"/>
    <s v="Prepay &amp; Add"/>
    <m/>
    <m/>
    <m/>
    <m/>
    <m/>
    <m/>
    <m/>
    <s v="0"/>
    <s v="0"/>
  </r>
  <r>
    <s v="SJ2"/>
    <s v="5001732"/>
    <s v="CABLE ONE"/>
    <s v="163311"/>
    <s v="R023P04L3"/>
    <s v="SJ2_STAG"/>
    <s v="CableONE"/>
    <s v="1341 E Thornton Rd"/>
    <s v="AZ"/>
    <s v="Show Low"/>
    <s v="85901-3829"/>
    <s v="OP95D4-CF3-100-R2-AS"/>
    <s v="DEMUX DWDM 100GHZ 4 CH F-CASE"/>
    <s v="6901044"/>
    <s v="85.2"/>
    <x v="45"/>
    <n v="1950127"/>
    <d v="2016-07-25T00:00:00"/>
    <m/>
    <d v="2016-10-13T15:18:02"/>
    <d v="2016-07-25T00:00:00"/>
    <d v="2016-10-13T23:59:00"/>
    <m/>
    <n v="2"/>
    <m/>
    <n v="1690"/>
    <m/>
    <s v="N160"/>
    <s v="NWK ACCESS TECH"/>
    <s v="OPTICAL PASSIVES"/>
    <s v="OUTDOOR PASSIVES AURORA"/>
    <s v="N160"/>
    <s v="AUR-STANDARD ORDER MIXED"/>
    <s v="A-SURFACE"/>
    <s v="OP"/>
    <n v="1242339"/>
    <s v="A-SURFACE"/>
    <m/>
    <m/>
    <m/>
    <s v="A-SURFACE"/>
    <s v="LTL"/>
    <s v="EXW"/>
    <s v="Prepay &amp; Add"/>
    <m/>
    <m/>
    <m/>
    <m/>
    <m/>
    <m/>
    <m/>
    <s v="0"/>
    <s v="0"/>
  </r>
  <r>
    <s v="SJ2"/>
    <s v="5002156"/>
    <s v="LIBERTY CABLEVISION OF PUERTO RICO, INC."/>
    <s v="SAN JUAN 1"/>
    <s v="R016P02L3B01"/>
    <s v="SJ2_STAG"/>
    <s v="LIBERTY CABLEVISION OF PUERTO RICO LLC"/>
    <s v="URB IND TRES MONJITAS"/>
    <s v="PUERTO RICO"/>
    <s v="SAN JUAN"/>
    <s v="00918"/>
    <s v="DR3450N-50-00"/>
    <s v="DIGITAL RECEIVER Q-RX 2.125GBP"/>
    <s v="20114932"/>
    <s v="11.1"/>
    <x v="46"/>
    <n v="1950219"/>
    <d v="2016-10-04T13:56:09"/>
    <m/>
    <d v="2016-10-13T16:04:47"/>
    <d v="2016-10-06T00:00:00"/>
    <d v="2016-10-11T23:59:00"/>
    <m/>
    <n v="17"/>
    <m/>
    <n v="20400"/>
    <m/>
    <s v="N275"/>
    <s v="NWK ACCESS TECH"/>
    <s v="HEO"/>
    <s v="RECEIVERS AURORA"/>
    <s v="N275"/>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11L4"/>
    <s v="SJ2_STAG"/>
    <s v="LIBERTY CABLEVISION OF PUERTO RICO LLC"/>
    <s v="URB IND TRES MONJITAS"/>
    <s v="PUERTO RICO"/>
    <s v="SAN JUAN"/>
    <s v="00918"/>
    <s v="HT3541H-D-A290-2-AS"/>
    <s v="XMTR DD 1.2GHZ FULL SPECTRUM 3"/>
    <s v="20114932"/>
    <s v="14.1"/>
    <x v="46"/>
    <n v="1950211"/>
    <d v="2016-10-04T13:56:09"/>
    <m/>
    <d v="2016-10-13T16:04:47"/>
    <d v="2016-10-06T00:00:00"/>
    <d v="2016-10-11T23:59:00"/>
    <m/>
    <n v="7"/>
    <m/>
    <n v="9520"/>
    <m/>
    <s v="HE64"/>
    <s v="NWK ACCESS TECH"/>
    <s v="HEO"/>
    <s v="TRANSMITTER"/>
    <s v="HT"/>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68L1"/>
    <s v="SJ2_STAG"/>
    <s v="LIBERTY CABLEVISION OF PUERTO RICO LLC"/>
    <s v="URB IND TRES MONJITAS"/>
    <s v="PUERTO RICO"/>
    <s v="SAN JUAN"/>
    <s v="00918"/>
    <s v="CH3000U-FM-00"/>
    <s v="ADAPTER FIBER MGT FOR CH3000 C"/>
    <s v="20114932"/>
    <s v="17.1"/>
    <x v="46"/>
    <n v="1950211"/>
    <d v="2016-10-04T13:56:09"/>
    <m/>
    <d v="2016-10-13T16:04:47"/>
    <d v="2016-10-06T00:00:00"/>
    <d v="2016-10-11T23:59:00"/>
    <m/>
    <n v="4"/>
    <m/>
    <n v="260"/>
    <m/>
    <s v="N199"/>
    <s v="NWK ACCESS TECH"/>
    <s v="HEO"/>
    <s v="HEO MISC AURORA"/>
    <s v="N199"/>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64L2"/>
    <s v="SJ2_STAG"/>
    <s v="LIBERTY CABLEVISION OF PUERTO RICO LLC"/>
    <s v="URB IND TRES MONJITAS"/>
    <s v="PUERTO RICO"/>
    <s v="SAN JUAN"/>
    <s v="00918"/>
    <s v="PS3005N"/>
    <s v="POWER SUPPLY 250W CE TUV W/O D"/>
    <s v="20114932"/>
    <s v="18.1"/>
    <x v="46"/>
    <n v="1950211"/>
    <d v="2016-10-04T13:56:09"/>
    <m/>
    <d v="2016-10-13T16:04:47"/>
    <d v="2016-10-06T00:00:00"/>
    <d v="2016-10-11T23:59:00"/>
    <m/>
    <n v="5"/>
    <m/>
    <n v="2455"/>
    <m/>
    <s v="N204"/>
    <s v="NWK ACCESS TECH"/>
    <s v="ACCESS OTHER"/>
    <s v="OTHER AURORA"/>
    <s v="N20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22L3"/>
    <s v="SJ2_STAG"/>
    <s v="LIBERTY CABLEVISION OF PUERTO RICO LLC"/>
    <s v="URB IND TRES MONJITAS"/>
    <s v="PUERTO RICO"/>
    <s v="SAN JUAN"/>
    <s v="00918"/>
    <s v="PS3005D"/>
    <s v="POWER SUPPLY 250W CE TUV W/DIS"/>
    <s v="20114932"/>
    <s v="2.1"/>
    <x v="46"/>
    <n v="1950211"/>
    <d v="2016-10-04T13:56:09"/>
    <m/>
    <d v="2016-10-13T16:04:47"/>
    <d v="2016-10-06T00:00:00"/>
    <d v="2016-10-11T23:59:00"/>
    <m/>
    <n v="5"/>
    <m/>
    <n v="2925"/>
    <m/>
    <s v="N204"/>
    <s v="NWK ACCESS TECH"/>
    <s v="ACCESS OTHER"/>
    <s v="OTHER AURORA"/>
    <s v="N20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03L1B01"/>
    <s v="SJ2_STAG"/>
    <s v="LIBERTY CABLEVISION OF PUERTO RICO LLC"/>
    <s v="URB IND TRES MONJITAS"/>
    <s v="PUERTO RICO"/>
    <s v="SAN JUAN"/>
    <s v="00918"/>
    <s v="BD31A4-100-H12F-0-AS"/>
    <s v="OPT PASSTHRU BD 4 XMTR 4 BC 4"/>
    <s v="20114932"/>
    <s v="21.1"/>
    <x v="46"/>
    <n v="1950211"/>
    <d v="2016-10-04T13:56:09"/>
    <m/>
    <d v="2016-10-13T16:04:47"/>
    <d v="2016-10-06T00:00:00"/>
    <d v="2016-10-11T23:59:00"/>
    <m/>
    <n v="7"/>
    <m/>
    <n v="4256"/>
    <m/>
    <s v="N258"/>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04L2"/>
    <s v="SJ2_STAG"/>
    <s v="LIBERTY CABLEVISION OF PUERTO RICO LLC"/>
    <s v="URB IND TRES MONJITAS"/>
    <s v="PUERTO RICO"/>
    <s v="SAN JUAN"/>
    <s v="00918"/>
    <s v="HT3541H-D-A200-2-AS"/>
    <s v="XMTR DD 1.2GHZ FULL SPECTRUM 3"/>
    <s v="20114932"/>
    <s v="22.1"/>
    <x v="46"/>
    <n v="1950211"/>
    <d v="2016-10-04T13:56:09"/>
    <m/>
    <d v="2016-10-13T16:04:47"/>
    <d v="2016-10-06T00:00:00"/>
    <d v="2016-10-11T23:59:00"/>
    <m/>
    <n v="7"/>
    <m/>
    <n v="9520"/>
    <m/>
    <s v="HE64"/>
    <s v="NWK ACCESS TECH"/>
    <s v="HEO"/>
    <s v="TRANSMITTER"/>
    <s v="HT"/>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6P85L3"/>
    <s v="SJ2_STAG"/>
    <s v="LIBERTY CABLEVISION OF PUERTO RICO LLC"/>
    <s v="URB IND TRES MONJITAS"/>
    <s v="PUERTO RICO"/>
    <s v="SAN JUAN"/>
    <s v="00918"/>
    <s v="CA3008"/>
    <s v="CARRIER MODULE HIGH DENSITY"/>
    <s v="20114932"/>
    <s v="26.1"/>
    <x v="46"/>
    <n v="1950211"/>
    <d v="2016-10-04T13:56:09"/>
    <m/>
    <d v="2016-10-13T16:04:47"/>
    <d v="2016-10-06T00:00:00"/>
    <d v="2016-10-11T23:59:00"/>
    <m/>
    <n v="8"/>
    <m/>
    <n v="1728"/>
    <m/>
    <s v="N259"/>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08L2"/>
    <s v="SJ2_STAG"/>
    <s v="LIBERTY CABLEVISION OF PUERTO RICO LLC"/>
    <s v="URB IND TRES MONJITAS"/>
    <s v="PUERTO RICO"/>
    <s v="SAN JUAN"/>
    <s v="00918"/>
    <s v="CA3008"/>
    <s v="CARRIER MODULE HIGH DENSITY"/>
    <s v="20114932"/>
    <s v="26.1"/>
    <x v="46"/>
    <n v="1950211"/>
    <d v="2016-10-04T13:56:09"/>
    <m/>
    <d v="2016-10-13T16:04:47"/>
    <d v="2016-10-06T00:00:00"/>
    <d v="2016-10-11T23:59:00"/>
    <m/>
    <n v="4"/>
    <m/>
    <n v="864"/>
    <m/>
    <s v="N259"/>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6P14L1B02"/>
    <s v="SJ2_STAG"/>
    <s v="LIBERTY CABLEVISION OF PUERTO RICO LLC"/>
    <s v="URB IND TRES MONJITAS"/>
    <s v="PUERTO RICO"/>
    <s v="SAN JUAN"/>
    <s v="00918"/>
    <s v="PF3000N-FM-00"/>
    <s v="PASSIVE FRAME 4RU FBR MGT NO C"/>
    <s v="20114932"/>
    <s v="27.1"/>
    <x v="46"/>
    <n v="1950211"/>
    <d v="2016-10-04T13:56:09"/>
    <m/>
    <d v="2016-10-13T16:04:47"/>
    <d v="2016-10-06T00:00:00"/>
    <d v="2016-10-11T23:59:00"/>
    <m/>
    <n v="4"/>
    <m/>
    <n v="572"/>
    <m/>
    <s v="N224"/>
    <s v="NWK ACCESS TECH"/>
    <s v="ACCESS OTHER"/>
    <s v="OTHER AURORA"/>
    <s v="N22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19L2"/>
    <s v="SJ2_STAG"/>
    <s v="LIBERTY CABLEVISION OF PUERTO RICO LLC"/>
    <s v="URB IND TRES MONJITAS"/>
    <s v="PUERTO RICO"/>
    <s v="SAN JUAN"/>
    <s v="00918"/>
    <s v="CH3000N"/>
    <s v="CHASSIS NO COVERS 3RU"/>
    <s v="20114932"/>
    <s v="28.1"/>
    <x v="46"/>
    <n v="1950219"/>
    <d v="2016-10-04T13:56:09"/>
    <m/>
    <d v="2016-10-13T16:04:47"/>
    <d v="2016-10-06T00:00:00"/>
    <d v="2016-10-11T23:59:00"/>
    <m/>
    <n v="5"/>
    <m/>
    <n v="920"/>
    <m/>
    <s v="N199"/>
    <s v="NWK ACCESS TECH"/>
    <s v="HEO"/>
    <s v="HEO MISC AURORA"/>
    <s v="N199"/>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64L2"/>
    <s v="SJ2_STAG"/>
    <s v="LIBERTY CABLEVISION OF PUERTO RICO LLC"/>
    <s v="URB IND TRES MONJITAS"/>
    <s v="PUERTO RICO"/>
    <s v="SAN JUAN"/>
    <s v="00918"/>
    <s v="PS3005N"/>
    <s v="POWER SUPPLY 250W CE TUV W/O D"/>
    <s v="20114935"/>
    <s v="1.1"/>
    <x v="47"/>
    <n v="1945694"/>
    <d v="2016-10-04T13:58:58"/>
    <m/>
    <d v="2016-10-07T16:03:31"/>
    <d v="2016-10-06T00:00:00"/>
    <d v="2016-10-07T23:59:00"/>
    <m/>
    <n v="5"/>
    <n v="5"/>
    <n v="2455"/>
    <n v="2455"/>
    <s v="N204"/>
    <s v="NWK ACCESS TECH"/>
    <s v="ACCESS OTHER"/>
    <s v="OTHER AURORA"/>
    <s v="N20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EC1"/>
    <s v="SJ2_STAG"/>
    <s v="LIBERTY CABLEVISION OF PUERTO RICO LLC"/>
    <s v="URB IND TRES MONJITAS"/>
    <s v="PUERTO RICO"/>
    <s v="SAN JUAN"/>
    <s v="00918"/>
    <s v="HT3541H-D-A290-2-AS"/>
    <s v="XMTR DD 1.2GHZ FULL SPECTRUM 3"/>
    <s v="20114935"/>
    <s v="12.1"/>
    <x v="47"/>
    <n v="1945692"/>
    <d v="2016-10-04T13:58:58"/>
    <m/>
    <d v="2016-10-07T16:03:31"/>
    <d v="2016-10-06T00:00:00"/>
    <d v="2016-10-07T23:59:00"/>
    <m/>
    <n v="5"/>
    <n v="5"/>
    <n v="6800"/>
    <n v="6800"/>
    <s v="HE64"/>
    <s v="NWK ACCESS TECH"/>
    <s v="HEO"/>
    <s v="TRANSMITTER"/>
    <s v="HT"/>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68L1"/>
    <s v="SJ2_STAG"/>
    <s v="LIBERTY CABLEVISION OF PUERTO RICO LLC"/>
    <s v="URB IND TRES MONJITAS"/>
    <s v="PUERTO RICO"/>
    <s v="SAN JUAN"/>
    <s v="00918"/>
    <s v="CH3000U-FM-00"/>
    <s v="ADAPTER FIBER MGT FOR CH3000 C"/>
    <s v="20114935"/>
    <s v="13.1"/>
    <x v="47"/>
    <n v="1945699"/>
    <d v="2016-10-04T13:58:58"/>
    <m/>
    <d v="2016-10-07T16:03:31"/>
    <d v="2016-10-06T00:00:00"/>
    <d v="2016-10-07T23:59:00"/>
    <m/>
    <n v="4"/>
    <n v="4"/>
    <n v="260"/>
    <n v="260"/>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07L2"/>
    <s v="SJ2_STAG"/>
    <s v="LIBERTY CABLEVISION OF PUERTO RICO LLC"/>
    <s v="URB IND TRES MONJITAS"/>
    <s v="PUERTO RICO"/>
    <s v="SAN JUAN"/>
    <s v="00918"/>
    <s v="BD31A4-100-H12F-0-AS"/>
    <s v="OPT PASSTHRU BD 4 XMTR 4 BC 4"/>
    <s v="20114935"/>
    <s v="16.1"/>
    <x v="47"/>
    <n v="1945691"/>
    <d v="2016-10-04T13:58:58"/>
    <m/>
    <d v="2016-10-07T16:03:31"/>
    <d v="2016-10-06T00:00:00"/>
    <d v="2016-10-07T23:59:00"/>
    <m/>
    <n v="4"/>
    <n v="4"/>
    <n v="2432"/>
    <n v="2432"/>
    <s v="N258"/>
    <s v="NWK ACCESS TECH"/>
    <s v="HEO"/>
    <s v="TRANSMITTERS AURORA"/>
    <s v="HDTX"/>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44L2"/>
    <s v="SJ2_STAG"/>
    <s v="LIBERTY CABLEVISION OF PUERTO RICO LLC"/>
    <s v="URB IND TRES MONJITAS"/>
    <s v="PUERTO RICO"/>
    <s v="SAN JUAN"/>
    <s v="00918"/>
    <s v="DR3450N-50-00"/>
    <s v="DIGITAL RECEIVER Q-RX 2.125GBP"/>
    <s v="20114935"/>
    <s v="21.1"/>
    <x v="47"/>
    <n v="1945699"/>
    <d v="2016-10-04T13:58:58"/>
    <m/>
    <d v="2016-10-07T16:03:31"/>
    <d v="2016-10-06T00:00:00"/>
    <d v="2016-10-07T23:59:00"/>
    <m/>
    <n v="6"/>
    <n v="6"/>
    <n v="7200"/>
    <n v="7200"/>
    <s v="N275"/>
    <s v="NWK ACCESS TECH"/>
    <s v="HEO"/>
    <s v="RECEIVERS AURORA"/>
    <s v="N275"/>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6P39L1B02"/>
    <s v="SJ2_STAG"/>
    <s v="LIBERTY CABLEVISION OF PUERTO RICO LLC"/>
    <s v="URB IND TRES MONJITAS"/>
    <s v="PUERTO RICO"/>
    <s v="SAN JUAN"/>
    <s v="00918"/>
    <s v="PF3000N-FM-00"/>
    <s v="PASSIVE FRAME 4RU FBR MGT NO C"/>
    <s v="20114935"/>
    <s v="22.1"/>
    <x v="47"/>
    <n v="1945694"/>
    <d v="2016-10-04T13:58:58"/>
    <m/>
    <d v="2016-10-07T16:03:31"/>
    <d v="2016-10-06T00:00:00"/>
    <d v="2016-10-07T23:59:00"/>
    <m/>
    <n v="4"/>
    <n v="4"/>
    <n v="572"/>
    <n v="572"/>
    <s v="N224"/>
    <s v="NWK ACCESS TECH"/>
    <s v="ACCESS OTHER"/>
    <s v="OTHER AURORA"/>
    <s v="N22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7P52L3"/>
    <s v="SJ2_STAG"/>
    <s v="LIBERTY CABLEVISION OF PUERTO RICO LLC"/>
    <s v="URB IND TRES MONJITAS"/>
    <s v="PUERTO RICO"/>
    <s v="SAN JUAN"/>
    <s v="00918"/>
    <s v="CH3000N"/>
    <s v="CHASSIS NO COVERS 3RU"/>
    <s v="20114935"/>
    <s v="25.1"/>
    <x v="47"/>
    <n v="1945694"/>
    <d v="2016-10-04T13:58:58"/>
    <m/>
    <d v="2016-10-07T16:03:31"/>
    <d v="2016-10-06T00:00:00"/>
    <d v="2016-10-07T23:59:00"/>
    <m/>
    <n v="2"/>
    <n v="2"/>
    <n v="368"/>
    <n v="368"/>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7P52L1"/>
    <s v="SJ2_STAG"/>
    <s v="LIBERTY CABLEVISION OF PUERTO RICO LLC"/>
    <s v="URB IND TRES MONJITAS"/>
    <s v="PUERTO RICO"/>
    <s v="SAN JUAN"/>
    <s v="00918"/>
    <s v="CH3000N"/>
    <s v="CHASSIS NO COVERS 3RU"/>
    <s v="20114935"/>
    <s v="25.1"/>
    <x v="47"/>
    <n v="1945694"/>
    <d v="2016-10-04T13:58:58"/>
    <m/>
    <d v="2016-10-07T16:03:31"/>
    <d v="2016-10-06T00:00:00"/>
    <d v="2016-10-07T23:59:00"/>
    <m/>
    <n v="2"/>
    <n v="2"/>
    <n v="368"/>
    <n v="368"/>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25L2"/>
    <s v="SJ2_STAG"/>
    <s v="LIBERTY CABLEVISION OF PUERTO RICO LLC"/>
    <s v="URB IND TRES MONJITAS"/>
    <s v="PUERTO RICO"/>
    <s v="SAN JUAN"/>
    <s v="00918"/>
    <s v="PS3005D"/>
    <s v="POWER SUPPLY 250W CE TUV W/DIS"/>
    <s v="20114935"/>
    <s v="3.1"/>
    <x v="47"/>
    <n v="1945692"/>
    <d v="2016-10-04T13:58:58"/>
    <m/>
    <d v="2016-10-07T16:03:31"/>
    <d v="2016-10-06T00:00:00"/>
    <d v="2016-10-07T23:59:00"/>
    <m/>
    <n v="5"/>
    <n v="5"/>
    <n v="2925"/>
    <n v="2925"/>
    <s v="N204"/>
    <s v="NWK ACCESS TECH"/>
    <s v="ACCESS OTHER"/>
    <s v="OTHER AURORA"/>
    <s v="N20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07L3"/>
    <s v="SJ2_STAG"/>
    <s v="LIBERTY CABLEVISION OF PUERTO RICO LLC"/>
    <s v="URB IND TRES MONJITAS"/>
    <s v="PUERTO RICO"/>
    <s v="SAN JUAN"/>
    <s v="00918"/>
    <s v="HT3541H-D-A200-2-AS"/>
    <s v="XMTR DD 1.2GHZ FULL SPECTRUM 3"/>
    <s v="20114935"/>
    <s v="8.1"/>
    <x v="47"/>
    <n v="1945691"/>
    <d v="2016-10-04T13:58:58"/>
    <m/>
    <d v="2016-10-07T16:03:31"/>
    <d v="2016-10-06T00:00:00"/>
    <d v="2016-10-07T23:59:00"/>
    <m/>
    <n v="4"/>
    <n v="4"/>
    <n v="5440"/>
    <n v="5440"/>
    <s v="HE64"/>
    <s v="NWK ACCESS TECH"/>
    <s v="HEO"/>
    <s v="TRANSMITTER"/>
    <s v="HT"/>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EC1"/>
    <s v="SJ2_STAG"/>
    <s v="LIBERTY CABLEVISION OF PUERTO RICO LLC"/>
    <s v="URB IND TRES MONJITAS"/>
    <s v="PUERTO RICO"/>
    <s v="SAN JUAN"/>
    <s v="00918"/>
    <s v="HT3541H-D-A200-2-AS"/>
    <s v="XMTR DD 1.2GHZ FULL SPECTRUM 3"/>
    <s v="20114935"/>
    <s v="8.1"/>
    <x v="47"/>
    <n v="1945692"/>
    <d v="2016-10-04T13:58:58"/>
    <m/>
    <d v="2016-10-07T16:03:31"/>
    <d v="2016-10-06T00:00:00"/>
    <d v="2016-10-07T23:59:00"/>
    <m/>
    <n v="1"/>
    <n v="1"/>
    <n v="1360"/>
    <n v="1360"/>
    <s v="HE64"/>
    <s v="NWK ACCESS TECH"/>
    <s v="HEO"/>
    <s v="TRANSMITTER"/>
    <s v="HT"/>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22L3"/>
    <s v="SJ2_STAG"/>
    <s v="LIBERTY CABLEVISION OF PUERTO RICO LLC"/>
    <s v="URB IND TRES MONJITAS"/>
    <s v="PUERTO RICO"/>
    <s v="SAN JUAN"/>
    <s v="00918"/>
    <s v="PS3005D"/>
    <s v="POWER SUPPLY 250W CE TUV W/DIS"/>
    <s v="20114938"/>
    <s v="1.1"/>
    <x v="48"/>
    <n v="1945692"/>
    <d v="2016-10-04T14:01:54"/>
    <m/>
    <d v="2016-10-07T16:03:31"/>
    <d v="2016-10-06T00:00:00"/>
    <d v="2016-10-07T23:59:00"/>
    <m/>
    <n v="3"/>
    <n v="3"/>
    <n v="1755"/>
    <n v="1755"/>
    <s v="N204"/>
    <s v="NWK ACCESS TECH"/>
    <s v="ACCESS OTHER"/>
    <s v="OTHER AURORA"/>
    <s v="N20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25L2"/>
    <s v="SJ2_STAG"/>
    <s v="LIBERTY CABLEVISION OF PUERTO RICO LLC"/>
    <s v="URB IND TRES MONJITAS"/>
    <s v="PUERTO RICO"/>
    <s v="SAN JUAN"/>
    <s v="00918"/>
    <s v="PS3005D"/>
    <s v="POWER SUPPLY 250W CE TUV W/DIS"/>
    <s v="20114938"/>
    <s v="1.1"/>
    <x v="48"/>
    <n v="1945692"/>
    <d v="2016-10-04T14:01:54"/>
    <m/>
    <d v="2016-10-07T16:03:31"/>
    <d v="2016-10-06T00:00:00"/>
    <d v="2016-10-07T23:59:00"/>
    <m/>
    <n v="4"/>
    <n v="4"/>
    <n v="2340"/>
    <n v="2340"/>
    <s v="N204"/>
    <s v="NWK ACCESS TECH"/>
    <s v="ACCESS OTHER"/>
    <s v="OTHER AURORA"/>
    <s v="N20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64L2"/>
    <s v="SJ2_STAG"/>
    <s v="LIBERTY CABLEVISION OF PUERTO RICO LLC"/>
    <s v="URB IND TRES MONJITAS"/>
    <s v="PUERTO RICO"/>
    <s v="SAN JUAN"/>
    <s v="00918"/>
    <s v="PS3005N"/>
    <s v="POWER SUPPLY 250W CE TUV W/O D"/>
    <s v="20114938"/>
    <s v="10.1"/>
    <x v="48"/>
    <n v="1945694"/>
    <d v="2016-10-04T14:01:54"/>
    <m/>
    <d v="2016-10-07T16:03:31"/>
    <d v="2016-10-06T00:00:00"/>
    <d v="2016-10-07T23:59:00"/>
    <m/>
    <n v="7"/>
    <n v="7"/>
    <n v="3437"/>
    <n v="3437"/>
    <s v="N204"/>
    <s v="NWK ACCESS TECH"/>
    <s v="ACCESS OTHER"/>
    <s v="OTHER AURORA"/>
    <s v="N20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07L2"/>
    <s v="SJ2_STAG"/>
    <s v="LIBERTY CABLEVISION OF PUERTO RICO LLC"/>
    <s v="URB IND TRES MONJITAS"/>
    <s v="PUERTO RICO"/>
    <s v="SAN JUAN"/>
    <s v="00918"/>
    <s v="BD31A4-100-H12F-0-AS"/>
    <s v="OPT PASSTHRU BD 4 XMTR 4 BC 4"/>
    <s v="20114938"/>
    <s v="18.1"/>
    <x v="48"/>
    <n v="1945691"/>
    <d v="2016-10-04T14:01:54"/>
    <m/>
    <d v="2016-10-07T16:03:31"/>
    <d v="2016-10-06T00:00:00"/>
    <d v="2016-10-07T23:59:00"/>
    <m/>
    <n v="6"/>
    <n v="6"/>
    <n v="3648"/>
    <n v="3648"/>
    <s v="N258"/>
    <s v="NWK ACCESS TECH"/>
    <s v="HEO"/>
    <s v="TRANSMITTERS AURORA"/>
    <s v="HDTX"/>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6P39L1B02"/>
    <s v="SJ2_STAG"/>
    <s v="LIBERTY CABLEVISION OF PUERTO RICO LLC"/>
    <s v="URB IND TRES MONJITAS"/>
    <s v="PUERTO RICO"/>
    <s v="SAN JUAN"/>
    <s v="00918"/>
    <s v="PF3000N-FM-00"/>
    <s v="PASSIVE FRAME 4RU FBR MGT NO C"/>
    <s v="20114938"/>
    <s v="24.1"/>
    <x v="48"/>
    <n v="1945694"/>
    <d v="2016-10-04T14:01:54"/>
    <m/>
    <d v="2016-10-07T16:03:31"/>
    <d v="2016-10-06T00:00:00"/>
    <d v="2016-10-07T23:59:00"/>
    <m/>
    <n v="6"/>
    <n v="6"/>
    <n v="858"/>
    <n v="858"/>
    <s v="N224"/>
    <s v="NWK ACCESS TECH"/>
    <s v="ACCESS OTHER"/>
    <s v="OTHER AURORA"/>
    <s v="N224"/>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20L1"/>
    <s v="SJ2_STAG"/>
    <s v="LIBERTY CABLEVISION OF PUERTO RICO LLC"/>
    <s v="URB IND TRES MONJITAS"/>
    <s v="PUERTO RICO"/>
    <s v="SAN JUAN"/>
    <s v="00918"/>
    <s v="CH3000N"/>
    <s v="CHASSIS NO COVERS 3RU"/>
    <s v="20114938"/>
    <s v="25.1"/>
    <x v="48"/>
    <n v="1945694"/>
    <d v="2016-10-04T14:01:54"/>
    <m/>
    <d v="2016-10-07T16:03:31"/>
    <d v="2016-10-06T00:00:00"/>
    <d v="2016-10-07T23:59:00"/>
    <m/>
    <n v="6"/>
    <n v="6"/>
    <n v="1104"/>
    <n v="1104"/>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7P52L3"/>
    <s v="SJ2_STAG"/>
    <s v="LIBERTY CABLEVISION OF PUERTO RICO LLC"/>
    <s v="URB IND TRES MONJITAS"/>
    <s v="PUERTO RICO"/>
    <s v="SAN JUAN"/>
    <s v="00918"/>
    <s v="CH3000N"/>
    <s v="CHASSIS NO COVERS 3RU"/>
    <s v="20114938"/>
    <s v="25.1"/>
    <x v="48"/>
    <n v="1945694"/>
    <d v="2016-10-04T14:01:54"/>
    <m/>
    <d v="2016-10-07T16:03:31"/>
    <d v="2016-10-06T00:00:00"/>
    <d v="2016-10-07T23:59:00"/>
    <m/>
    <n v="1"/>
    <n v="1"/>
    <n v="184"/>
    <n v="184"/>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68L1"/>
    <s v="SJ2_STAG"/>
    <s v="LIBERTY CABLEVISION OF PUERTO RICO LLC"/>
    <s v="URB IND TRES MONJITAS"/>
    <s v="PUERTO RICO"/>
    <s v="SAN JUAN"/>
    <s v="00918"/>
    <s v="CH3000U-FM-00"/>
    <s v="ADAPTER FIBER MGT FOR CH3000 C"/>
    <s v="20114938"/>
    <s v="27.1"/>
    <x v="48"/>
    <n v="1945699"/>
    <d v="2016-10-04T14:01:54"/>
    <m/>
    <d v="2016-10-07T16:03:31"/>
    <d v="2016-10-06T00:00:00"/>
    <d v="2016-10-07T23:59:00"/>
    <m/>
    <n v="6"/>
    <n v="6"/>
    <n v="390"/>
    <n v="390"/>
    <s v="N199"/>
    <s v="NWK ACCESS TECH"/>
    <s v="HEO"/>
    <s v="HEO MISC AURORA"/>
    <s v="N199"/>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44L2"/>
    <s v="SJ2_STAG"/>
    <s v="LIBERTY CABLEVISION OF PUERTO RICO LLC"/>
    <s v="URB IND TRES MONJITAS"/>
    <s v="PUERTO RICO"/>
    <s v="SAN JUAN"/>
    <s v="00918"/>
    <s v="DR3450N-50-00"/>
    <s v="DIGITAL RECEIVER Q-RX 2.125GBP"/>
    <s v="20114938"/>
    <s v="3.1"/>
    <x v="48"/>
    <n v="1945699"/>
    <d v="2016-10-04T14:01:54"/>
    <m/>
    <d v="2016-10-07T16:03:31"/>
    <d v="2016-10-06T00:00:00"/>
    <d v="2016-10-07T23:59:00"/>
    <m/>
    <n v="15"/>
    <n v="15"/>
    <n v="18000"/>
    <n v="18000"/>
    <s v="N275"/>
    <s v="NWK ACCESS TECH"/>
    <s v="HEO"/>
    <s v="RECEIVERS AURORA"/>
    <s v="N275"/>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EC1"/>
    <s v="SJ2_STAG"/>
    <s v="LIBERTY CABLEVISION OF PUERTO RICO LLC"/>
    <s v="URB IND TRES MONJITAS"/>
    <s v="PUERTO RICO"/>
    <s v="SAN JUAN"/>
    <s v="00918"/>
    <s v="HT3541H-D-A200-2-AS"/>
    <s v="XMTR DD 1.2GHZ FULL SPECTRUM 3"/>
    <s v="20114938"/>
    <s v="5.1"/>
    <x v="48"/>
    <n v="1945692"/>
    <d v="2016-10-04T14:01:54"/>
    <m/>
    <d v="2016-10-07T16:03:31"/>
    <d v="2016-10-06T00:00:00"/>
    <d v="2016-10-07T23:59:00"/>
    <m/>
    <n v="9"/>
    <n v="9"/>
    <n v="12240"/>
    <n v="12240"/>
    <s v="HE64"/>
    <s v="NWK ACCESS TECH"/>
    <s v="HEO"/>
    <s v="TRANSMITTER"/>
    <s v="HT"/>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EC1"/>
    <s v="SJ2_STAG"/>
    <s v="LIBERTY CABLEVISION OF PUERTO RICO LLC"/>
    <s v="URB IND TRES MONJITAS"/>
    <s v="PUERTO RICO"/>
    <s v="SAN JUAN"/>
    <m/>
    <s v="HT3541H-D-A290-2-AS"/>
    <s v="XMTR DD 1.2GHZ FULL SPECTRUM 3"/>
    <s v="20114938"/>
    <s v="9.1"/>
    <x v="48"/>
    <n v="1945692"/>
    <d v="2016-10-04T14:01:54"/>
    <m/>
    <d v="2016-10-07T16:03:31"/>
    <d v="2016-10-06T00:00:00"/>
    <d v="2016-10-07T23:59:00"/>
    <m/>
    <n v="9"/>
    <n v="9"/>
    <n v="12240"/>
    <n v="12240"/>
    <s v="HE64"/>
    <s v="NWK ACCESS TECH"/>
    <s v="HEO"/>
    <s v="TRANSMITTER"/>
    <s v="HT"/>
    <s v="AS-STANDARD ORDER MIXED"/>
    <s v="A-CUST P/U"/>
    <s v="OP"/>
    <n v="123873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3068"/>
    <s v="CABLEVISION RED, S.A. DE C.V."/>
    <s v="VALLARTA"/>
    <s v="R015P59L5"/>
    <s v="SJ2_STAG"/>
    <s v="CABLEVISION RED SA DE CV"/>
    <s v="AV. VALLARTA # 5050 COL. JARDINES DE LA PATRIA"/>
    <s v="MEXICO"/>
    <s v="MEXICO"/>
    <m/>
    <s v="CH3000U-FM-00"/>
    <s v="ADAPTER FIBER MGT FOR CH3000 C"/>
    <s v="20106358"/>
    <s v="1.1"/>
    <x v="49"/>
    <n v="1944313"/>
    <d v="2016-08-22T14:48:35"/>
    <m/>
    <d v="2016-10-06T06:03:39"/>
    <d v="2016-10-03T00:00:00"/>
    <d v="2016-10-06T23:59:00"/>
    <m/>
    <n v="8"/>
    <n v="8"/>
    <n v="624"/>
    <n v="624"/>
    <s v="N199"/>
    <s v="NWK ACCESS TECH"/>
    <s v="HEO"/>
    <s v="HEO MISC AURORA"/>
    <s v="N199"/>
    <s v="AS-STANDARD ORDER MIXED"/>
    <s v="A-SURFACE"/>
    <s v="OP"/>
    <n v="1237873"/>
    <s v="A-SURFACE"/>
    <m/>
    <m/>
    <m/>
    <s v="A-SURFACE"/>
    <s v="LTL"/>
    <s v="EXW"/>
    <s v="Collect"/>
    <m/>
    <m/>
    <s v="FOR EXW SEND W&amp;D TO CSR marita.fernandez@arris.com and hmarquez@izzi.mx .FOR FCA CONTACT FF."/>
    <s v="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3068"/>
    <s v="CABLEVISION RED, S.A. DE C.V."/>
    <s v="VALLARTA"/>
    <s v="R016P40L4B01"/>
    <s v="SJ2_STAG"/>
    <s v="CABLEVISION RED SA DE CV"/>
    <s v="AV. VALLARTA # 5050 COL. JARDINES DE LA PATRIA"/>
    <s v="MEXICO"/>
    <s v="MEXICO"/>
    <s v=""/>
    <s v="CH3000N"/>
    <s v="CHASSIS NO COVERS 3RU"/>
    <s v="20106358"/>
    <s v="2.1"/>
    <x v="49"/>
    <n v="1944313"/>
    <d v="2016-08-22T14:48:35"/>
    <s v=""/>
    <d v="2016-10-06T06:03:39"/>
    <d v="2016-10-03T00:00:00"/>
    <d v="2016-10-06T23:59:00"/>
    <s v=""/>
    <n v="2"/>
    <n v="2"/>
    <n v="520"/>
    <n v="520"/>
    <s v="N199"/>
    <s v="NWK ACCESS TECH"/>
    <s v="HEO"/>
    <s v="HEO MISC AURORA"/>
    <s v="N199"/>
    <s v="AS-STANDARD ORDER MIXED"/>
    <s v="A-SURFACE"/>
    <s v="OP"/>
    <n v="1237873"/>
    <s v="A-SURFACE"/>
    <m/>
    <m/>
    <m/>
    <s v="A-SURFACE"/>
    <s v="LTL"/>
    <s v="EXW"/>
    <s v="Collect"/>
    <m/>
    <s v=""/>
    <s v="FOR EXW SEND W&amp;D TO CSR marita.fernandez@arris.com and hmarquez@izzi.mx .FOR FCA CONTACT FF."/>
    <s v="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3068"/>
    <s v="CABLEVISION RED, S.A. DE C.V."/>
    <s v="VALLARTA"/>
    <s v="R016P40L4B01"/>
    <s v="SJ2_STAG"/>
    <s v="CABLEVISION RED SA DE CV"/>
    <s v="AV. VALLARTA # 5050 COL. JARDINES DE LA PATRIA"/>
    <s v="MEXICO"/>
    <s v="MEXICO"/>
    <m/>
    <s v="CH3000N"/>
    <s v="CHASSIS NO COVERS 3RU"/>
    <s v="20106358"/>
    <s v="2.1"/>
    <x v="49"/>
    <n v="1944313"/>
    <m/>
    <m/>
    <m/>
    <m/>
    <m/>
    <m/>
    <n v="6"/>
    <n v="6"/>
    <n v="1560"/>
    <n v="1560"/>
    <m/>
    <m/>
    <m/>
    <m/>
    <m/>
    <m/>
    <m/>
    <m/>
    <n v="1237873"/>
    <m/>
    <m/>
    <m/>
    <m/>
    <m/>
    <m/>
    <m/>
    <m/>
    <m/>
    <m/>
    <m/>
    <m/>
    <m/>
    <m/>
    <m/>
    <m/>
    <m/>
  </r>
  <r>
    <s v="SJ2"/>
    <s v="5003270"/>
    <s v="ARRIS TECHNOLOGY, INC."/>
    <s v="RDM - ROTTERDAM NL"/>
    <s v="R023P10L4"/>
    <s v="SJ2_STAG"/>
    <s v="ARRIS TECHNOLOGY, INC., C/O DB SCHENKER LOGISTICS NETHERLANDS"/>
    <s v="BU SEAFREIGHT"/>
    <s v="NL"/>
    <s v="KV ROTTERDAM"/>
    <s v="3197"/>
    <s v="HT3309H-D-1310-2-AS"/>
    <s v="XMTR DD 1.2GHZ 1310NM D-IN 9DB"/>
    <s v="90710542"/>
    <s v="23.1"/>
    <x v="50"/>
    <n v="1949198"/>
    <d v="2016-09-09T10:13:29"/>
    <m/>
    <d v="2016-10-12T16:04:13"/>
    <d v="2016-10-03T00:00:00"/>
    <d v="2016-10-11T23:59:00"/>
    <m/>
    <n v="7"/>
    <m/>
    <n v="4487.8575000000001"/>
    <m/>
    <s v="HE64"/>
    <s v="NWK ACCESS TECH"/>
    <s v="HEO"/>
    <s v="TRANSMITTER"/>
    <s v="HT"/>
    <s v="OM-INTERNAL ORDER"/>
    <s v="A-SURFACE"/>
    <s v="OP"/>
    <n v="1241744"/>
    <s v="A-SURFACE"/>
    <m/>
    <m/>
    <m/>
    <s v="A-SURFACE"/>
    <s v="LTL"/>
    <s v="DAP"/>
    <s v="Prepaid"/>
    <m/>
    <m/>
    <m/>
    <m/>
    <m/>
    <m/>
    <m/>
    <s v="0"/>
    <s v="0"/>
  </r>
  <r>
    <s v="SJ2"/>
    <s v="5003270"/>
    <s v="ARRIS TECHNOLOGY, INC."/>
    <s v="RDM - ROTTERDAM NL"/>
    <s v="R023P10L4"/>
    <s v="SJ2_STAG"/>
    <s v="ARRIS TECHNOLOGY, INC., C/O DB SCHENKER LOGISTICS NETHERLANDS"/>
    <s v="BU SEAFREIGHT"/>
    <s v="NL"/>
    <s v="KV ROTTERDAM"/>
    <m/>
    <s v="HT3309H-D-1310-2-AS"/>
    <s v="XMTR DD 1.2GHZ 1310NM D-IN 9DB"/>
    <s v="90710695"/>
    <s v="15.1"/>
    <x v="50"/>
    <n v="1949198"/>
    <d v="2016-09-23T21:45:34"/>
    <m/>
    <d v="2016-10-12T16:04:13"/>
    <d v="2016-09-24T00:00:00"/>
    <d v="2016-10-11T23:59:00"/>
    <m/>
    <n v="7"/>
    <m/>
    <n v="4487.8575000000001"/>
    <m/>
    <s v="HE64"/>
    <s v="NWK ACCESS TECH"/>
    <s v="HEO"/>
    <s v="TRANSMITTER"/>
    <s v="HT"/>
    <s v="OM-INTERNAL ORDER"/>
    <s v="A-SURFACE"/>
    <s v="OP"/>
    <n v="1241744"/>
    <s v="A-SURFACE"/>
    <m/>
    <m/>
    <m/>
    <s v="A-SURFACE"/>
    <s v="LTL"/>
    <s v="DAP"/>
    <s v="Prepaid"/>
    <m/>
    <m/>
    <m/>
    <m/>
    <m/>
    <m/>
    <m/>
    <s v="0"/>
    <s v="0"/>
  </r>
  <r>
    <s v="SJ2"/>
    <s v="5003270"/>
    <s v="ARRIS TECHNOLOGY, INC."/>
    <s v="RDM - ROTTERDAM NL"/>
    <s v="REC1"/>
    <s v="SJ2_STAG"/>
    <s v="ARRIS TECHNOLOGY, INC., C/O DB SCHENKER LOGISTICS NETHERLANDS"/>
    <s v="BU SEAFREIGHT"/>
    <s v="NL"/>
    <s v="KV ROTTERDAM"/>
    <s v="3197"/>
    <s v="AR3001-AS"/>
    <s v="ANALOG RETURN RX DUAL 5-225MHz"/>
    <s v="90710900"/>
    <s v="1.1"/>
    <x v="51"/>
    <n v="1947097"/>
    <d v="2016-10-10T16:51:42"/>
    <m/>
    <d v="2016-10-10T17:04:10"/>
    <d v="2016-10-14T00:00:00"/>
    <d v="2016-10-10T23:59:00"/>
    <m/>
    <n v="2"/>
    <m/>
    <n v="733.18"/>
    <m/>
    <s v="N023"/>
    <s v="NWK ACCESS TECH"/>
    <s v="HEO"/>
    <s v="RECEIVERS AURORA"/>
    <s v="N023"/>
    <s v="OM-INTERNAL ORDER"/>
    <s v="A-SURFACE"/>
    <s v="OP"/>
    <n v="1240555"/>
    <s v="A-SURFACE"/>
    <m/>
    <m/>
    <m/>
    <s v="A-SURFACE"/>
    <s v="LTL"/>
    <s v="DAP"/>
    <s v="Prepaid"/>
    <m/>
    <m/>
    <m/>
    <m/>
    <m/>
    <m/>
    <m/>
    <s v="0"/>
    <s v="0"/>
  </r>
  <r>
    <s v="SJ2"/>
    <s v="5003270"/>
    <s v="ARRIS TECHNOLOGY, INC."/>
    <s v="RDM - ROTTERDAM NL"/>
    <s v="R016P31L3B02"/>
    <s v="SJ2_STAG"/>
    <s v="ARRIS TECHNOLOGY, INC., C/O DB SCHENKER LOGISTICS NETHERLANDS"/>
    <s v="BU SEAFREIGHT"/>
    <s v="NL"/>
    <s v="KV ROTTERDAM"/>
    <s v="3197"/>
    <s v="DR3450N-75-00"/>
    <s v="DIGITAL RECEIVER Q-RX 5-65MHZ"/>
    <s v="90710916"/>
    <s v="1.1"/>
    <x v="52"/>
    <n v="1948602"/>
    <d v="2016-10-12T01:59:01"/>
    <m/>
    <d v="2016-10-12T03:15:38"/>
    <d v="2016-10-14T00:00:00"/>
    <d v="2016-10-12T23:59:00"/>
    <m/>
    <n v="9"/>
    <m/>
    <n v="3857.13"/>
    <m/>
    <s v="N275"/>
    <s v="NWK ACCESS TECH"/>
    <s v="HEO"/>
    <s v="RECEIVERS AURORA"/>
    <s v="N275"/>
    <s v="OM-INTERNAL ORDER"/>
    <s v="A-SURFACE"/>
    <s v="OP"/>
    <n v="1241411"/>
    <s v="A-SURFACE"/>
    <m/>
    <m/>
    <m/>
    <s v="A-SURFACE"/>
    <s v="LTL"/>
    <s v="DAP"/>
    <s v="Prepaid"/>
    <m/>
    <m/>
    <m/>
    <m/>
    <m/>
    <m/>
    <m/>
    <s v="0"/>
    <s v="0"/>
  </r>
  <r>
    <s v="SJ2"/>
    <s v="5003270"/>
    <s v="ARRIS TECHNOLOGY, INC."/>
    <s v="RDM - ROTTERDAM NL"/>
    <s v="R016P31L3B02"/>
    <s v="SJ2_STAG"/>
    <s v="ARRIS TECHNOLOGY, INC., C/O DB SCHENKER LOGISTICS NETHERLANDS"/>
    <s v="BU SEAFREIGHT"/>
    <s v="NL"/>
    <s v="KV ROTTERDAM"/>
    <m/>
    <s v="DR3450N-75-00"/>
    <s v="DIGITAL RECEIVER Q-RX 5-65MHZ"/>
    <s v="90710916"/>
    <s v="2.1"/>
    <x v="52"/>
    <n v="1948602"/>
    <d v="2016-10-12T01:59:01"/>
    <m/>
    <d v="2016-10-12T03:15:38"/>
    <d v="2016-10-14T00:00:00"/>
    <d v="2016-10-12T23:59:00"/>
    <m/>
    <n v="15"/>
    <m/>
    <n v="6428.55"/>
    <m/>
    <s v="N275"/>
    <s v="NWK ACCESS TECH"/>
    <s v="HEO"/>
    <s v="RECEIVERS AURORA"/>
    <s v="N275"/>
    <s v="OM-INTERNAL ORDER"/>
    <s v="A-SURFACE"/>
    <s v="OP"/>
    <n v="1241411"/>
    <s v="A-SURFACE"/>
    <m/>
    <m/>
    <m/>
    <s v="A-SURFACE"/>
    <s v="LTL"/>
    <s v="DAP"/>
    <s v="Prepaid"/>
    <m/>
    <m/>
    <m/>
    <m/>
    <m/>
    <m/>
    <m/>
    <s v="0"/>
    <s v="0"/>
  </r>
  <r>
    <s v="SJ2"/>
    <s v="5003270"/>
    <s v="ARRIS TECHNOLOGY, INC."/>
    <s v="RDM - ROTTERDAM NL"/>
    <s v="R016P49L3B01"/>
    <s v="SJ2_STAG"/>
    <s v="ARRIS TECHNOLOGY, INC., C/O DB SCHENKER LOGISTICS NETHERLANDS"/>
    <s v="BU SEAFREIGHT"/>
    <s v="NL"/>
    <s v="KV ROTTERDAM"/>
    <s v="3197"/>
    <s v="PS3005D-2"/>
    <s v="POWER SUPPLY 250W CE TUV W/DIS"/>
    <s v="90710916"/>
    <s v="3.1"/>
    <x v="52"/>
    <n v="1948602"/>
    <d v="2016-10-12T01:59:01"/>
    <m/>
    <d v="2016-10-12T03:15:38"/>
    <d v="2016-10-14T00:00:00"/>
    <d v="2016-10-12T23:59:00"/>
    <m/>
    <n v="2"/>
    <m/>
    <n v="646.04"/>
    <m/>
    <s v="N204"/>
    <s v="NWK ACCESS TECH"/>
    <s v="ACCESS OTHER"/>
    <s v="OTHER AURORA"/>
    <s v="N204"/>
    <s v="OM-INTERNAL ORDER"/>
    <s v="A-SURFACE"/>
    <s v="OP"/>
    <n v="1241411"/>
    <s v="A-SURFACE"/>
    <m/>
    <m/>
    <m/>
    <s v="A-SURFACE"/>
    <s v="LTL"/>
    <s v="DAP"/>
    <s v="Prepaid"/>
    <m/>
    <m/>
    <m/>
    <m/>
    <m/>
    <m/>
    <m/>
    <s v="0"/>
    <s v="0"/>
  </r>
  <r>
    <s v="SJ2"/>
    <s v="5003270"/>
    <s v="ARRIS TECHNOLOGY, INC."/>
    <s v="RDM - ROTTERDAM NL"/>
    <s v="R016P50L3B01"/>
    <s v="SJ2_STAG"/>
    <s v="ARRIS TECHNOLOGY, INC., C/O DB SCHENKER LOGISTICS NETHERLANDS"/>
    <s v="BU SEAFREIGHT"/>
    <s v="NL"/>
    <s v="KV ROTTERDAM"/>
    <s v="3197"/>
    <s v="PS3005D-2"/>
    <s v="POWER SUPPLY 250W CE TUV W/DIS"/>
    <s v="90710916"/>
    <s v="4.1"/>
    <x v="52"/>
    <n v="1948602"/>
    <d v="2016-10-12T01:59:01"/>
    <m/>
    <d v="2016-10-12T03:15:38"/>
    <d v="2016-10-14T00:00:00"/>
    <d v="2016-10-12T23:59:00"/>
    <m/>
    <n v="10"/>
    <m/>
    <n v="3230.2"/>
    <m/>
    <s v="N204"/>
    <s v="NWK ACCESS TECH"/>
    <s v="ACCESS OTHER"/>
    <s v="OTHER AURORA"/>
    <s v="N204"/>
    <s v="OM-INTERNAL ORDER"/>
    <s v="A-SURFACE"/>
    <s v="OP"/>
    <n v="1241411"/>
    <s v="A-SURFACE"/>
    <m/>
    <m/>
    <m/>
    <s v="A-SURFACE"/>
    <s v="LTL"/>
    <s v="DAP"/>
    <s v="Prepaid"/>
    <m/>
    <m/>
    <m/>
    <m/>
    <m/>
    <m/>
    <m/>
    <s v="0"/>
    <s v="0"/>
  </r>
  <r>
    <s v="SJ2"/>
    <s v="5003270"/>
    <s v="ARRIS TECHNOLOGY, INC."/>
    <s v="RDM - ROTTERDAM NL"/>
    <s v="R016P49L3B01"/>
    <s v="SJ2_STAG"/>
    <s v="ARRIS TECHNOLOGY, INC., C/O DB SCHENKER LOGISTICS NETHERLANDS"/>
    <s v="BU SEAFREIGHT"/>
    <s v="NL"/>
    <s v="KV ROTTERDAM"/>
    <s v="3197"/>
    <s v="PS3005D-2"/>
    <s v="POWER SUPPLY 250W CE TUV W/DIS"/>
    <s v="90710916"/>
    <s v="4.1"/>
    <x v="52"/>
    <n v="1948602"/>
    <d v="2016-10-12T01:59:01"/>
    <m/>
    <d v="2016-10-12T03:15:38"/>
    <d v="2016-10-14T00:00:00"/>
    <d v="2016-10-12T23:59:00"/>
    <m/>
    <n v="8"/>
    <m/>
    <n v="2584.16"/>
    <m/>
    <s v="N204"/>
    <s v="NWK ACCESS TECH"/>
    <s v="ACCESS OTHER"/>
    <s v="OTHER AURORA"/>
    <s v="N204"/>
    <s v="OM-INTERNAL ORDER"/>
    <s v="A-SURFACE"/>
    <s v="OP"/>
    <n v="1241411"/>
    <s v="A-SURFACE"/>
    <m/>
    <m/>
    <m/>
    <s v="A-SURFACE"/>
    <s v="LTL"/>
    <s v="DAP"/>
    <s v="Prepaid"/>
    <m/>
    <m/>
    <m/>
    <m/>
    <m/>
    <m/>
    <m/>
    <s v="0"/>
    <s v="0"/>
  </r>
  <r>
    <s v="SJ2"/>
    <s v="5003270"/>
    <s v="ARRIS TECHNOLOGY, INC."/>
    <s v="RDM - ROTTERDAM NL"/>
    <s v="R016P49L3B01"/>
    <s v="SJ2_STAG"/>
    <s v="ARRIS TECHNOLOGY, INC., C/O DB SCHENKER LOGISTICS NETHERLANDS"/>
    <s v="BU SEAFREIGHT"/>
    <s v="NL"/>
    <s v="KV ROTTERDAM"/>
    <m/>
    <s v="PS3005D-2"/>
    <s v="POWER SUPPLY 250W CE TUV W/DIS"/>
    <s v="90710916"/>
    <s v="5.1"/>
    <x v="52"/>
    <n v="1948602"/>
    <d v="2016-10-12T01:59:01"/>
    <m/>
    <d v="2016-10-12T03:15:38"/>
    <d v="2016-10-14T00:00:00"/>
    <d v="2016-10-12T23:59:00"/>
    <m/>
    <n v="28"/>
    <m/>
    <n v="9044.56"/>
    <m/>
    <s v="N204"/>
    <s v="NWK ACCESS TECH"/>
    <s v="ACCESS OTHER"/>
    <s v="OTHER AURORA"/>
    <s v="N204"/>
    <s v="OM-INTERNAL ORDER"/>
    <s v="A-SURFACE"/>
    <s v="OP"/>
    <n v="1241411"/>
    <s v="A-SURFACE"/>
    <m/>
    <m/>
    <m/>
    <s v="A-SURFACE"/>
    <s v="LTL"/>
    <s v="DAP"/>
    <s v="Prepaid"/>
    <m/>
    <m/>
    <m/>
    <m/>
    <m/>
    <m/>
    <m/>
    <s v="0"/>
    <s v="0"/>
  </r>
  <r>
    <s v="SJ2"/>
    <s v="5003270"/>
    <s v="ARRIS TECHNOLOGY, INC."/>
    <s v="RDM - ROTTERDAM NL"/>
    <s v="R016P49L2B02"/>
    <s v="SJ2_STAG"/>
    <s v="ARRIS TECHNOLOGY, INC., C/O DB SCHENKER LOGISTICS NETHERLANDS"/>
    <s v="BU SEAFREIGHT"/>
    <s v="NL"/>
    <s v="KV ROTTERDAM"/>
    <s v="3197"/>
    <s v="PS3005N-2"/>
    <s v="POWER SUPPLY 250W CE TUV W/O D"/>
    <s v="90710916"/>
    <s v="6.1"/>
    <x v="52"/>
    <n v="1948602"/>
    <d v="2016-10-12T01:59:01"/>
    <m/>
    <d v="2016-10-12T03:15:38"/>
    <d v="2016-10-14T00:00:00"/>
    <d v="2016-10-12T23:59:00"/>
    <m/>
    <n v="2"/>
    <m/>
    <n v="541.55999999999995"/>
    <m/>
    <s v="N204"/>
    <s v="NWK ACCESS TECH"/>
    <s v="ACCESS OTHER"/>
    <s v="OTHER AURORA"/>
    <s v="N204"/>
    <s v="OM-INTERNAL ORDER"/>
    <s v="A-SURFACE"/>
    <s v="OP"/>
    <n v="1241411"/>
    <s v="A-SURFACE"/>
    <m/>
    <m/>
    <m/>
    <s v="A-SURFACE"/>
    <s v="LTL"/>
    <s v="DAP"/>
    <s v="Prepaid"/>
    <m/>
    <m/>
    <m/>
    <m/>
    <m/>
    <m/>
    <m/>
    <s v="0"/>
    <s v="0"/>
  </r>
  <r>
    <s v="SJ2"/>
    <s v="5003270"/>
    <s v="ARRIS TECHNOLOGY, INC."/>
    <s v="RDM - ROTTERDAM NL"/>
    <s v="R016P13L4B02"/>
    <s v="SJ2_STAG"/>
    <s v="ARRIS TECHNOLOGY, INC., C/O DB SCHENKER LOGISTICS NETHERLANDS"/>
    <s v="BU SEAFREIGHT"/>
    <s v="NL"/>
    <s v="KV ROTTERDAM"/>
    <s v="3197"/>
    <s v="PS3005N-2"/>
    <s v="POWER SUPPLY 250W CE TUV W/O D"/>
    <s v="90710916"/>
    <s v="6.1"/>
    <x v="52"/>
    <n v="1948602"/>
    <d v="2016-10-12T01:59:01"/>
    <m/>
    <d v="2016-10-12T03:15:38"/>
    <d v="2016-10-14T00:00:00"/>
    <d v="2016-10-12T23:59:00"/>
    <m/>
    <n v="23"/>
    <m/>
    <n v="6227.94"/>
    <m/>
    <s v="N204"/>
    <s v="NWK ACCESS TECH"/>
    <s v="ACCESS OTHER"/>
    <s v="OTHER AURORA"/>
    <s v="N204"/>
    <s v="OM-INTERNAL ORDER"/>
    <s v="A-SURFACE"/>
    <s v="OP"/>
    <n v="1241411"/>
    <s v="A-SURFACE"/>
    <m/>
    <m/>
    <m/>
    <s v="A-SURFACE"/>
    <s v="LTL"/>
    <s v="DAP"/>
    <s v="Prepaid"/>
    <m/>
    <m/>
    <m/>
    <m/>
    <m/>
    <m/>
    <m/>
    <s v="0"/>
    <s v="0"/>
  </r>
  <r>
    <s v="SJ2"/>
    <s v="5003270"/>
    <s v="ARRIS TECHNOLOGY, INC."/>
    <s v="RDM - ROTTERDAM NL"/>
    <s v="R015P22L4"/>
    <s v="SJ2_STAG"/>
    <s v="ARRIS TECHNOLOGY, INC., C/O DB SCHENKER LOGISTICS NETHERLANDS"/>
    <s v="BU SEAFREIGHT"/>
    <s v="NL"/>
    <s v="KV ROTTERDAM"/>
    <s v="3197"/>
    <s v="PS3148N"/>
    <s v="POWER SUPPLY NO DISPLAY -48VDC"/>
    <s v="90710916"/>
    <s v="7.1"/>
    <x v="52"/>
    <n v="1948602"/>
    <d v="2016-10-12T01:59:01"/>
    <m/>
    <d v="2016-10-12T03:15:38"/>
    <d v="2016-10-14T00:00:00"/>
    <d v="2016-10-12T23:59:00"/>
    <m/>
    <n v="7"/>
    <m/>
    <n v="1140.23"/>
    <m/>
    <s v="N204"/>
    <s v="NWK ACCESS TECH"/>
    <s v="ACCESS OTHER"/>
    <s v="OTHER AURORA"/>
    <s v="N204"/>
    <s v="OM-INTERNAL ORDER"/>
    <s v="A-SURFACE"/>
    <s v="OP"/>
    <n v="1241411"/>
    <s v="A-SURFACE"/>
    <m/>
    <m/>
    <m/>
    <s v="A-SURFACE"/>
    <s v="LTL"/>
    <s v="DAP"/>
    <s v="Prepaid"/>
    <m/>
    <m/>
    <m/>
    <m/>
    <m/>
    <m/>
    <m/>
    <s v="0"/>
    <s v="0"/>
  </r>
  <r>
    <s v="SJ2"/>
    <s v="5003270"/>
    <s v="ARRIS TECHNOLOGY, INC."/>
    <s v="RDM - ROTTERDAM NL"/>
    <s v="R023P11L1"/>
    <s v="SJ2_STAG"/>
    <s v="ARRIS TECHNOLOGY, INC., C/O DB SCHENKER LOGISTICS NETHERLANDS"/>
    <s v="BU SEAFREIGHT"/>
    <s v="NL"/>
    <s v="KV ROTTERDAM"/>
    <s v="3197"/>
    <s v="BP3001"/>
    <s v="BLANK PLATE 1 WIDE REVERSIBLE"/>
    <s v="90710927"/>
    <s v="2.1"/>
    <x v="53"/>
    <n v="1949415"/>
    <d v="2016-10-12T20:05:59"/>
    <m/>
    <d v="2016-10-12T21:04:27"/>
    <d v="2016-10-14T00:00:00"/>
    <d v="2016-10-12T23:59:00"/>
    <m/>
    <n v="44"/>
    <m/>
    <n v="490.6"/>
    <m/>
    <s v="N224"/>
    <s v="NWK ACCESS TECH"/>
    <s v="ACCESS OTHER"/>
    <s v="OTHER AURORA"/>
    <s v="N224"/>
    <s v="OM-INTERNAL ORDER"/>
    <s v="A-SURFACE"/>
    <s v="OP"/>
    <n v="1241866"/>
    <s v="A-SURFACE"/>
    <m/>
    <m/>
    <m/>
    <s v="A-SURFACE"/>
    <s v="LTL"/>
    <s v="DAP"/>
    <s v="Prepaid"/>
    <m/>
    <m/>
    <m/>
    <m/>
    <m/>
    <m/>
    <m/>
    <s v="0"/>
    <s v="0"/>
  </r>
  <r>
    <s v="SJ2"/>
    <s v="5003270"/>
    <s v="ARRIS TECHNOLOGY, INC."/>
    <s v="RDM - ROTTERDAM NL"/>
    <s v="R015P41L3"/>
    <s v="SJ2_STAG"/>
    <s v="ARRIS TECHNOLOGY, INC., C/O DB SCHENKER LOGISTICS NETHERLANDS"/>
    <s v="BU SEAFREIGHT"/>
    <s v="NL"/>
    <s v="KV ROTTERDAM"/>
    <s v="3197"/>
    <s v="CPS4801-AC-01F"/>
    <s v="MOD POWER SUPPLY CPS4801-AC"/>
    <s v="90710937"/>
    <s v="1.1"/>
    <x v="54"/>
    <n v="1950155"/>
    <d v="2016-10-13T13:46:37"/>
    <m/>
    <d v="2016-10-13T15:18:02"/>
    <d v="2016-10-20T00:00:00"/>
    <d v="2016-10-13T23:59:00"/>
    <m/>
    <n v="10"/>
    <m/>
    <n v="1940"/>
    <m/>
    <s v="N224"/>
    <s v="NWK ACCESS TECH"/>
    <s v="ACCESS OTHER"/>
    <s v="OTHER AURORA"/>
    <s v="N224"/>
    <s v="OM-INTERNAL ORDER"/>
    <s v="A-SURFACE"/>
    <s v="OP"/>
    <n v="1242339"/>
    <s v="A-SURFACE"/>
    <m/>
    <m/>
    <m/>
    <s v="A-SURFACE"/>
    <s v="LTL"/>
    <s v="DAP"/>
    <s v="Prepaid"/>
    <m/>
    <m/>
    <m/>
    <m/>
    <m/>
    <m/>
    <m/>
    <s v="0"/>
    <s v="0"/>
  </r>
  <r>
    <s v="SJ2"/>
    <s v="5003270"/>
    <s v="ARRIS TECHNOLOGY, INC."/>
    <s v="RDM - ROTTERDAM NL"/>
    <s v="R015P54L1"/>
    <s v="SJ2_STAG"/>
    <s v="ARRIS TECHNOLOGY, INC., C/O DB SCHENKER LOGISTICS NETHERLANDS"/>
    <s v="BU SEAFREIGHT"/>
    <s v="NL"/>
    <s v="KV ROTTERDAM"/>
    <s v="3197"/>
    <s v="HLP4800-6F"/>
    <s v="PLATFORM HLP4800"/>
    <s v="90710938"/>
    <s v="1.1"/>
    <x v="54"/>
    <n v="1950155"/>
    <d v="2016-10-13T13:51:04"/>
    <m/>
    <d v="2016-10-13T15:18:02"/>
    <d v="2016-10-20T00:00:00"/>
    <d v="2016-10-13T23:59:00"/>
    <m/>
    <n v="5"/>
    <m/>
    <n v="1000"/>
    <m/>
    <s v="N140"/>
    <s v="NWK ACCESS TECH"/>
    <s v="HEO"/>
    <s v="HEO MISC AURORA"/>
    <s v="N140"/>
    <s v="OM-INTERNAL ORDER"/>
    <s v="A-SURFACE"/>
    <s v="OP"/>
    <n v="1242339"/>
    <s v="A-SURFACE"/>
    <m/>
    <m/>
    <m/>
    <s v="A-SURFACE"/>
    <s v="LTL"/>
    <s v="DAP"/>
    <s v="Prepaid"/>
    <m/>
    <m/>
    <m/>
    <m/>
    <m/>
    <m/>
    <m/>
    <s v="0"/>
    <s v="0"/>
  </r>
  <r>
    <s v="SJ2"/>
    <s v="5008835"/>
    <s v="SHENZHEN DONYAN TECHNOLOGY CO LTD"/>
    <s v="SHENZHEN002"/>
    <s v="R015P29L3"/>
    <s v="SJ2_STAG"/>
    <s v="SHENZHEN DONYAN TECHNOLOGY CO., LTD"/>
    <s v="16/F CHANGHONG BUILDING,"/>
    <m/>
    <s v="SHENZHEN"/>
    <s v="518057"/>
    <s v="PS1921W-00"/>
    <s v="POWER SUPPLY 15V RFOG OBI FREE"/>
    <s v="20109259"/>
    <s v="2.1"/>
    <x v="55"/>
    <n v="1949849"/>
    <d v="2016-09-04T22:55:18"/>
    <m/>
    <d v="2016-10-13T09:04:48"/>
    <d v="2016-09-09T00:00:00"/>
    <d v="2016-10-13T23:59:00"/>
    <m/>
    <n v="32"/>
    <m/>
    <n v="450.56"/>
    <m/>
    <s v="N204"/>
    <s v="NWK ACCESS TECH"/>
    <s v="ACCESS OTHER"/>
    <s v="OTHER AURORA"/>
    <s v="N204"/>
    <s v="AS-STANDARD ORDER MIXED"/>
    <s v="A-SURFACE"/>
    <s v="OP"/>
    <n v="1242184"/>
    <s v="A-SURFACE"/>
    <m/>
    <m/>
    <m/>
    <s v="A-SURFACE"/>
    <s v="LTL"/>
    <s v="EXW"/>
    <s v="Collect"/>
    <m/>
    <m/>
    <s v="Please contact EXPEDITORS /Agnieszka Tarchala/ Agnieszka.Tarchala@expeditors.com/Tel: 630-616-2338 /cyrus.li@expeditors.com/nicki.zhang@expeditors.com/ any question, please contact Joanna.li@arris.com"/>
    <m/>
    <m/>
    <m/>
    <m/>
    <s v="0"/>
    <s v="0"/>
  </r>
  <r>
    <s v="SJ2"/>
    <s v="5017196"/>
    <s v="CHARTER"/>
    <s v="ZILWAUKEE002"/>
    <s v="R015P35L2"/>
    <s v="SJ2_STAG"/>
    <s v="CHARTER COMMUNICATIONS"/>
    <s v="950 Bridgeview N"/>
    <s v="MI"/>
    <s v="Saginaw"/>
    <s v="48604-1166"/>
    <s v="FT4005-C"/>
    <s v="FIBER TRAY UNIVERSAL F/S-CASE"/>
    <s v="20106840"/>
    <s v="6.1"/>
    <x v="56"/>
    <n v="1929346"/>
    <d v="2016-08-25T00:00:00"/>
    <s v="20161016 000000"/>
    <d v="2016-09-22T13:41:45"/>
    <d v="2016-10-03T00:00:00"/>
    <d v="2016-09-26T23:59:00"/>
    <m/>
    <n v="2"/>
    <m/>
    <n v="96"/>
    <m/>
    <s v="N224"/>
    <s v="NWK ACCESS TECH"/>
    <s v="ACCESS OTHER"/>
    <s v="OTHER AURORA"/>
    <s v="N224"/>
    <s v="AS-STANDARD ORDER MIXED"/>
    <s v="A-SURFACE"/>
    <s v="OP"/>
    <n v="1229539"/>
    <s v="A-SURFACE"/>
    <m/>
    <m/>
    <m/>
    <s v="A-SURFACE"/>
    <s v="LTL"/>
    <s v="EXW"/>
    <s v="Prepay &amp; Add"/>
    <m/>
    <m/>
    <m/>
    <m/>
    <m/>
    <m/>
    <m/>
    <s v="0"/>
    <s v="0"/>
  </r>
  <r>
    <s v="SJ2"/>
    <s v="5017196"/>
    <s v="CHARTER"/>
    <s v="FENTON006"/>
    <s v="REC1"/>
    <s v="SJ2_STAG"/>
    <s v="CHARTER COMMUNICATIONS"/>
    <s v="2081 Corporate 44 Dr Bldg 6"/>
    <s v="MO"/>
    <s v="Fenton"/>
    <s v="63026-2517"/>
    <s v="CX3002"/>
    <s v="COMMUNICATIONS MODULE"/>
    <s v="20107315"/>
    <s v="5.1"/>
    <x v="57"/>
    <n v="1950275"/>
    <d v="2016-08-24T00:00:00"/>
    <s v="20161028 000000"/>
    <d v="2016-10-13T17:04:44"/>
    <d v="2016-10-17T00:00:00"/>
    <d v="2016-10-13T23:59:00"/>
    <m/>
    <n v="2"/>
    <m/>
    <n v="646"/>
    <m/>
    <s v="N080"/>
    <s v="NWK ACCESS TECH"/>
    <s v="HEO"/>
    <s v="HEO MISC AURORA"/>
    <s v="N080"/>
    <s v="AS-STANDARD ORDER MIXED"/>
    <s v="A-SURFACE"/>
    <s v="OP"/>
    <n v="1242390"/>
    <s v="A-SURFACE"/>
    <m/>
    <m/>
    <m/>
    <s v="A-SURFACE"/>
    <s v="LTL"/>
    <s v="EXW"/>
    <s v="Prepay &amp; Add"/>
    <m/>
    <m/>
    <s v="Delivery Instructions-NANCY YOUNT 314-565-7964;HOURS:0900-1400"/>
    <m/>
    <m/>
    <m/>
    <m/>
    <s v="0"/>
    <s v="0"/>
  </r>
  <r>
    <s v="SJ2"/>
    <s v="5017196"/>
    <s v="CHARTER"/>
    <s v="SPARKS001"/>
    <s v="R023P11L4"/>
    <s v="SJ2_STAG"/>
    <s v="CHARTER COMMUNICATIONS"/>
    <s v="1031 E Glendale Ave"/>
    <s v="NV"/>
    <s v="Sparks"/>
    <s v="89431-6460"/>
    <s v="HT3541H-D-A580-2-AS"/>
    <s v="XMTR DD 1.2GHZ FULL SPECTRUM 3"/>
    <s v="20109014"/>
    <s v="12.1"/>
    <x v="58"/>
    <n v="1950253"/>
    <d v="2016-09-14T00:00:00"/>
    <s v="20161110 000000"/>
    <d v="2016-10-13T17:04:44"/>
    <d v="2016-10-17T00:00:00"/>
    <d v="2016-10-13T23:59:00"/>
    <m/>
    <n v="1"/>
    <m/>
    <n v="1440"/>
    <m/>
    <s v="HE64"/>
    <s v="NWK ACCESS TECH"/>
    <s v="HEO"/>
    <s v="TRANSMITTER"/>
    <s v="HT"/>
    <s v="AS-STANDARD ORDER MIXED"/>
    <s v="A-SURFACE"/>
    <s v="OP"/>
    <n v="1242390"/>
    <s v="A-SURFACE"/>
    <m/>
    <m/>
    <m/>
    <s v="A-SURFACE"/>
    <s v="LTL"/>
    <s v="EXW"/>
    <s v="Prepay &amp; Add"/>
    <m/>
    <m/>
    <s v="Delivery Instructions-RECEIVING HOURS: 0700-1300"/>
    <m/>
    <m/>
    <m/>
    <m/>
    <s v="0"/>
    <s v="0"/>
  </r>
  <r>
    <s v="SJ2"/>
    <s v="5017196"/>
    <s v="CHARTER"/>
    <s v="SPARKS001"/>
    <s v="R023P65L3"/>
    <s v="SJ2_STAG"/>
    <s v="CHARTER COMMUNICATIONS"/>
    <s v="1031 E Glendale Ave"/>
    <s v="NV"/>
    <s v="Sparks"/>
    <s v="89431-6460"/>
    <s v="HT3541H-D-A420-2-AS"/>
    <s v="XMTR DD 1.2GHZ FULL SPECTRUM 3"/>
    <s v="20109014"/>
    <s v="8.1"/>
    <x v="58"/>
    <n v="1950253"/>
    <d v="2016-09-14T00:00:00"/>
    <s v="20161110 000000"/>
    <d v="2016-10-13T17:04:44"/>
    <d v="2016-10-17T00:00:00"/>
    <d v="2016-10-13T23:59:00"/>
    <m/>
    <n v="1"/>
    <m/>
    <n v="1440"/>
    <m/>
    <s v="HE64"/>
    <s v="NWK ACCESS TECH"/>
    <s v="HEO"/>
    <s v="TRANSMITTER"/>
    <s v="HT"/>
    <s v="AS-STANDARD ORDER MIXED"/>
    <s v="A-SURFACE"/>
    <s v="OP"/>
    <n v="1242390"/>
    <s v="A-SURFACE"/>
    <m/>
    <m/>
    <m/>
    <s v="A-SURFACE"/>
    <s v="LTL"/>
    <s v="EXW"/>
    <s v="Prepay &amp; Add"/>
    <m/>
    <m/>
    <s v="Delivery Instructions-RECEIVING HOURS: 0700-1300"/>
    <m/>
    <m/>
    <m/>
    <m/>
    <s v="0"/>
    <s v="0"/>
  </r>
  <r>
    <s v="SJ2"/>
    <s v="5017196"/>
    <s v="CHARTER"/>
    <s v="SPARKS001"/>
    <s v="R023P13L2"/>
    <s v="SJ2_STAG"/>
    <s v="CHARTER COMMUNICATIONS"/>
    <s v="1031 E Glendale Ave"/>
    <s v="NV"/>
    <s v="Sparks"/>
    <s v="89431-6460"/>
    <s v="OA-03-00-AL"/>
    <s v="ATTENUATOR STD OPT LC/APC 3DB"/>
    <s v="20109923"/>
    <s v="15.1"/>
    <x v="59"/>
    <n v="1950257"/>
    <d v="2016-09-13T00:00:00"/>
    <s v="20161110 000000"/>
    <d v="2016-10-13T17:04:44"/>
    <d v="2016-10-20T00:00:00"/>
    <d v="2016-10-13T23:59:00"/>
    <m/>
    <n v="1"/>
    <m/>
    <n v="156"/>
    <m/>
    <s v="N224"/>
    <s v="NWK ACCESS TECH"/>
    <s v="ACCESS OTHER"/>
    <s v="OTHER AURORA"/>
    <s v="N224"/>
    <s v="AS-STANDARD ORDER MIXED"/>
    <s v="A-SURFACE"/>
    <s v="OP"/>
    <n v="1242390"/>
    <s v="A-SURFACE"/>
    <m/>
    <m/>
    <m/>
    <s v="A-SURFACE"/>
    <s v="LTL"/>
    <s v="EXW"/>
    <s v="Prepay &amp; Add"/>
    <m/>
    <m/>
    <s v="Delivery Instructions-RECEIVING HOURS: 0700-1300"/>
    <m/>
    <m/>
    <m/>
    <m/>
    <s v="0"/>
    <s v="0"/>
  </r>
  <r>
    <s v="SJ2"/>
    <s v="5017196"/>
    <s v="CHARTER"/>
    <s v="SPARKS001"/>
    <s v="R023P04L1"/>
    <s v="SJ2_STAG"/>
    <s v="CHARTER COMMUNICATIONS"/>
    <s v="1031 E Glendale Ave"/>
    <s v="NV"/>
    <s v="Sparks"/>
    <s v="89431-6460"/>
    <s v="TL3000-EJ-00"/>
    <s v="TOOL EXTRACTOR HANDLE CH3000"/>
    <s v="20109923"/>
    <s v="16.1"/>
    <x v="60"/>
    <n v="1950320"/>
    <d v="2016-09-13T00:00:00"/>
    <s v="20161110 000000"/>
    <d v="2016-10-13T18:03:04"/>
    <d v="2016-10-17T00:00:00"/>
    <d v="2016-10-13T23:59:00"/>
    <m/>
    <n v="1"/>
    <m/>
    <n v="6"/>
    <m/>
    <s v="N185"/>
    <s v="NWK ACCESS TECH"/>
    <s v="ACCESS OTHER"/>
    <s v="OTHER AURORA"/>
    <s v="N185"/>
    <s v="AS-STANDARD ORDER MIXED"/>
    <s v="A-SURFACE"/>
    <s v="OP"/>
    <n v="1242416"/>
    <s v="A-SURFACE"/>
    <m/>
    <m/>
    <m/>
    <s v="A-SURFACE"/>
    <s v="LTL"/>
    <s v="EXW"/>
    <s v="Prepay &amp; Add"/>
    <m/>
    <m/>
    <s v="Delivery Instructions-RECEIVING HOURS: 0700-1300"/>
    <m/>
    <m/>
    <m/>
    <m/>
    <s v="0"/>
    <s v="0"/>
  </r>
  <r>
    <s v="SJ2"/>
    <s v="5017196"/>
    <s v="CHARTER"/>
    <s v="ZILWAUKEE002"/>
    <s v="R023P13L2"/>
    <s v="SJ2_STAG"/>
    <s v="CHARTER COMMUNICATIONS"/>
    <s v="950 Bridgeview N"/>
    <s v="MI"/>
    <s v="Saginaw"/>
    <s v="48604-1166"/>
    <s v="OA-03-00-AL"/>
    <s v="ATTENUATOR STD OPT LC/APC 3DB"/>
    <s v="20109924"/>
    <s v="5.1"/>
    <x v="61"/>
    <n v="1950313"/>
    <d v="2016-09-13T00:00:00"/>
    <s v="20161031 000000"/>
    <d v="2016-10-13T18:03:04"/>
    <d v="2016-10-20T00:00:00"/>
    <d v="2016-10-13T23:59:00"/>
    <m/>
    <n v="1"/>
    <m/>
    <n v="156"/>
    <m/>
    <s v="N224"/>
    <s v="NWK ACCESS TECH"/>
    <s v="ACCESS OTHER"/>
    <s v="OTHER AURORA"/>
    <s v="N224"/>
    <s v="AS-STANDARD ORDER MIXED"/>
    <s v="A-SURFACE"/>
    <s v="OP"/>
    <n v="1242416"/>
    <s v="A-SURFACE"/>
    <m/>
    <m/>
    <m/>
    <s v="A-SURFACE"/>
    <s v="LTL"/>
    <s v="EXW"/>
    <s v="Prepay &amp; Add"/>
    <m/>
    <m/>
    <m/>
    <m/>
    <m/>
    <m/>
    <m/>
    <s v="0"/>
    <s v="0"/>
  </r>
  <r>
    <s v="SJ2"/>
    <s v="5017196"/>
    <s v="CHARTER"/>
    <s v="DULUTH001"/>
    <s v="R023P10L4"/>
    <s v="SJ2_STAG"/>
    <s v="CHARTER COMMUNICATIONS"/>
    <s v="1925 Breckinridge Plz Ste 100"/>
    <s v="GA"/>
    <s v="Duluth"/>
    <s v="30096-8992"/>
    <s v="HT3309H-D-1310-2-AS"/>
    <s v="XMTR DD 1.2GHZ 1310NM D-IN 9DB"/>
    <s v="20110169"/>
    <s v="5.1"/>
    <x v="62"/>
    <n v="1950311"/>
    <d v="2016-09-13T00:00:00"/>
    <s v="20161130 000000"/>
    <d v="2016-10-13T18:03:04"/>
    <d v="2016-10-17T00:00:00"/>
    <d v="2016-10-13T23:59:00"/>
    <m/>
    <n v="1"/>
    <m/>
    <n v="900"/>
    <m/>
    <s v="HE64"/>
    <s v="NWK ACCESS TECH"/>
    <s v="HEO"/>
    <s v="TRANSMITTER"/>
    <s v="HT"/>
    <s v="AS-STANDARD ORDER MIXED"/>
    <s v="A-SURFACE"/>
    <s v="OP"/>
    <n v="1242416"/>
    <s v="A-SURFACE"/>
    <m/>
    <m/>
    <m/>
    <s v="A-SURFACE"/>
    <s v="LTL"/>
    <s v="EXW"/>
    <s v="Prepay &amp; Add"/>
    <m/>
    <m/>
    <s v="Delivery Instructions-HOURS: 0700-1200;(678)226-3692"/>
    <m/>
    <m/>
    <m/>
    <m/>
    <s v="0"/>
    <s v="0"/>
  </r>
  <r>
    <s v="SJ2"/>
    <s v="5017196"/>
    <s v="CHARTER"/>
    <s v="SPARKS001"/>
    <s v="REC1"/>
    <s v="SJ2_STAG"/>
    <s v="CHARTER COMMUNICATIONS"/>
    <s v="1031 E Glendale Ave"/>
    <s v="NV"/>
    <s v="Sparks"/>
    <s v="89431-6460"/>
    <s v="CX3002"/>
    <s v="COMMUNICATIONS MODULE"/>
    <s v="20110932"/>
    <s v="5.1"/>
    <x v="63"/>
    <n v="1950320"/>
    <d v="2016-09-13T00:00:00"/>
    <s v="20161124 000000"/>
    <d v="2016-10-13T18:03:04"/>
    <d v="2016-10-17T00:00:00"/>
    <d v="2016-10-13T23:59:00"/>
    <m/>
    <n v="5"/>
    <m/>
    <n v="1530"/>
    <m/>
    <s v="N080"/>
    <s v="NWK ACCESS TECH"/>
    <s v="HEO"/>
    <s v="HEO MISC AURORA"/>
    <s v="N080"/>
    <s v="AS-STANDARD ORDER MIXED"/>
    <s v="A-SURFACE"/>
    <s v="OP"/>
    <n v="1242416"/>
    <s v="A-SURFACE"/>
    <m/>
    <m/>
    <m/>
    <s v="A-SURFACE"/>
    <s v="LTL"/>
    <s v="EXW"/>
    <s v="Prepay &amp; Add"/>
    <m/>
    <m/>
    <s v="Delivery Instructions-RECEIVING HOURS: 0700-1300"/>
    <m/>
    <m/>
    <m/>
    <m/>
    <s v="0"/>
    <s v="0"/>
  </r>
  <r>
    <s v="SJ2"/>
    <s v="5017196"/>
    <s v="CHARTER"/>
    <s v="SPARKS001"/>
    <m/>
    <s v="SJ2_STAG"/>
    <s v="CHARTER COMMUNICATIONS"/>
    <s v="1031 E Glendale Ave"/>
    <s v="NV"/>
    <s v="Sparks"/>
    <s v="89431-6460"/>
    <s v="HT3541H-D-A510-2-AS"/>
    <s v="XMTR DD 1.2GHZ FULL SPECTRUM 3"/>
    <s v="20110937"/>
    <s v="22.1"/>
    <x v="64"/>
    <n v="1950312"/>
    <d v="2016-09-13T00:00:00"/>
    <s v="20161124 000000"/>
    <d v="2016-10-13T18:03:04"/>
    <d v="2016-10-17T00:00:00"/>
    <d v="2016-10-17T23:59:00"/>
    <m/>
    <n v="1"/>
    <m/>
    <n v="1440"/>
    <m/>
    <s v="HE64"/>
    <s v="NWK ACCESS TECH"/>
    <s v="HEO"/>
    <s v="TRANSMITTER"/>
    <s v="HT"/>
    <s v="AS-STANDARD ORDER MIXED"/>
    <s v="A-SURFACE"/>
    <s v="OP"/>
    <n v="1242416"/>
    <s v="A-SURFACE"/>
    <m/>
    <m/>
    <m/>
    <s v="A-SURFACE"/>
    <s v="LTL"/>
    <s v="EXW"/>
    <s v="Prepay &amp; Add"/>
    <m/>
    <m/>
    <s v="Delivery Instructions-RECEIVING HOURS: 0700-1300"/>
    <m/>
    <m/>
    <m/>
    <m/>
    <s v="0"/>
    <s v="0"/>
  </r>
  <r>
    <s v="SJ2"/>
    <s v="5017196"/>
    <s v="CHARTER"/>
    <s v="SPARKS001"/>
    <s v="R023P10L4"/>
    <s v="SJ2_STAG"/>
    <s v="CHARTER COMMUNICATIONS"/>
    <s v="1031 E Glendale Ave"/>
    <s v="NV"/>
    <s v="Sparks"/>
    <s v="89431-6460"/>
    <s v="HT3309H-D-1310-2-AS"/>
    <s v="XMTR DD 1.2GHZ 1310NM D-IN 9DB"/>
    <s v="20110937"/>
    <s v="23.1"/>
    <x v="65"/>
    <n v="1950253"/>
    <d v="2016-09-13T00:00:00"/>
    <s v="20161124 000000"/>
    <d v="2016-10-13T17:04:44"/>
    <d v="2016-11-24T00:00:00"/>
    <d v="2016-10-17T23:59:00"/>
    <m/>
    <n v="1"/>
    <m/>
    <n v="900"/>
    <m/>
    <s v="HE64"/>
    <s v="NWK ACCESS TECH"/>
    <s v="HEO"/>
    <s v="TRANSMITTER"/>
    <s v="HT"/>
    <s v="AS-STANDARD ORDER MIXED"/>
    <s v="A-SURFACE"/>
    <s v="OP"/>
    <n v="1242390"/>
    <s v="A-SURFACE"/>
    <m/>
    <m/>
    <m/>
    <s v="A-SURFACE"/>
    <s v="LTL"/>
    <s v="EXW"/>
    <s v="Prepay &amp; Add"/>
    <m/>
    <m/>
    <s v="Delivery Instructions-RECEIVING HOURS: 0700-1300"/>
    <m/>
    <m/>
    <m/>
    <m/>
    <s v="0"/>
    <s v="0"/>
  </r>
  <r>
    <s v="SJ2"/>
    <s v="5017196"/>
    <s v="CHARTER"/>
    <s v="SPARKS001"/>
    <s v="R012P05L1"/>
    <s v="SJ2_STAG"/>
    <s v="CHARTER COMMUNICATIONS"/>
    <s v="1031 E Glendale Ave"/>
    <s v="NV"/>
    <s v="Sparks"/>
    <s v="89431-6460"/>
    <s v="HT3541H-D-A510-2-AS"/>
    <s v="XMTR DD 1.2GHZ FULL SPECTRUM 3"/>
    <s v="20110939"/>
    <s v="17.1"/>
    <x v="66"/>
    <n v="1950301"/>
    <d v="2016-09-13T00:00:00"/>
    <s v="20161124 000000"/>
    <d v="2016-10-13T18:03:04"/>
    <d v="2016-10-17T00:00:00"/>
    <d v="2016-10-17T23:59:00"/>
    <m/>
    <n v="1"/>
    <m/>
    <n v="1440"/>
    <m/>
    <s v="HE64"/>
    <s v="NWK ACCESS TECH"/>
    <s v="HEO"/>
    <s v="TRANSMITTER"/>
    <s v="HT"/>
    <s v="AS-STANDARD ORDER MIXED"/>
    <s v="A-SURFACE"/>
    <s v="OP"/>
    <n v="1242416"/>
    <s v="A-SURFACE"/>
    <m/>
    <m/>
    <m/>
    <s v="A-SURFACE"/>
    <s v="LTL"/>
    <s v="EXW"/>
    <s v="Prepay &amp; Add"/>
    <m/>
    <m/>
    <s v="Delivery Instructions-RECEIVING HOURS: 0700-1300"/>
    <m/>
    <m/>
    <m/>
    <m/>
    <s v="0"/>
    <s v="0"/>
  </r>
  <r>
    <s v="SJ2"/>
    <s v="5017196"/>
    <s v="CHARTER"/>
    <s v="SPARKS001"/>
    <s v="R023P04L4"/>
    <s v="SJ2_STAG"/>
    <s v="CHARTER COMMUNICATIONS"/>
    <s v="1031 E Glendale Ave"/>
    <s v="NV"/>
    <s v="Sparks"/>
    <s v="89431-6460"/>
    <s v="BD35M4-AC3-H02F-3-AS"/>
    <s v="OPT MUX BD 100GHZ D ITU CH 23"/>
    <s v="20110939"/>
    <s v="2.1"/>
    <x v="66"/>
    <n v="1950300"/>
    <d v="2016-09-13T00:00:00"/>
    <s v="20161124 000000"/>
    <d v="2016-10-13T18:03:04"/>
    <d v="2016-10-17T00:00:00"/>
    <d v="2016-10-17T23:59:00"/>
    <m/>
    <n v="3"/>
    <m/>
    <n v="4950"/>
    <m/>
    <s v="N258"/>
    <s v="NWK ACCESS TECH"/>
    <s v="HEO"/>
    <s v="TRANSMITTERS AURORA"/>
    <s v="HDTX"/>
    <s v="AS-STANDARD ORDER MIXED"/>
    <s v="A-SURFACE"/>
    <s v="OP"/>
    <n v="1242416"/>
    <s v="A-SURFACE"/>
    <m/>
    <m/>
    <m/>
    <s v="A-SURFACE"/>
    <s v="LTL"/>
    <s v="EXW"/>
    <s v="Prepay &amp; Add"/>
    <m/>
    <m/>
    <s v="Delivery Instructions-RECEIVING HOURS: 0700-1300"/>
    <m/>
    <m/>
    <m/>
    <m/>
    <s v="0"/>
    <s v="0"/>
  </r>
  <r>
    <s v="SJ2"/>
    <s v="5017196"/>
    <s v="CHARTER"/>
    <s v="SPARKS001"/>
    <s v="R023P13L2"/>
    <s v="SJ2_STAG"/>
    <s v="CHARTER COMMUNICATIONS"/>
    <s v="1031 E Glendale Ave"/>
    <s v="NV"/>
    <s v="Sparks"/>
    <s v="89431-6460"/>
    <s v="OA-05-00-AL"/>
    <s v="ATTENUATOR STD OPT LC/APC 5DB"/>
    <s v="20110943"/>
    <s v="1.1"/>
    <x v="67"/>
    <n v="1950300"/>
    <d v="2016-09-13T00:00:00"/>
    <s v="20161117 000000"/>
    <d v="2016-10-13T18:03:04"/>
    <d v="2016-11-17T00:00:00"/>
    <d v="2016-10-17T23:59:00"/>
    <m/>
    <n v="1"/>
    <m/>
    <n v="39"/>
    <m/>
    <s v="N224"/>
    <s v="NWK ACCESS TECH"/>
    <s v="ACCESS OTHER"/>
    <s v="OTHER AURORA"/>
    <s v="N224"/>
    <s v="AS-STANDARD ORDER MIXED"/>
    <s v="A-SURFACE"/>
    <s v="OP"/>
    <n v="1242416"/>
    <s v="A-SURFACE"/>
    <m/>
    <m/>
    <m/>
    <s v="A-SURFACE"/>
    <s v="LTL"/>
    <s v="EXW"/>
    <s v="Prepay &amp; Add"/>
    <m/>
    <m/>
    <s v="Delivery Instructions-RECEIVING HOURS: 0700-1300"/>
    <m/>
    <m/>
    <m/>
    <m/>
    <s v="0"/>
    <s v="0"/>
  </r>
  <r>
    <s v="SJ2"/>
    <s v="5017196"/>
    <s v="CHARTER"/>
    <s v="SPARKS001"/>
    <s v="R023P04L4"/>
    <s v="SJ2_STAG"/>
    <s v="CHARTER COMMUNICATIONS"/>
    <s v="1031 E Glendale Ave"/>
    <s v="NV"/>
    <s v="Sparks"/>
    <s v="89431-6460"/>
    <s v="BD35M4-AC3-H02F-3-AS"/>
    <s v="OPT MUX BD 100GHZ D ITU CH 23"/>
    <s v="20110943"/>
    <s v="10.1"/>
    <x v="67"/>
    <n v="1950300"/>
    <d v="2016-09-13T00:00:00"/>
    <s v="20161117 000000"/>
    <d v="2016-10-13T18:03:04"/>
    <d v="2016-11-17T00:00:00"/>
    <d v="2016-10-17T23:59:00"/>
    <m/>
    <n v="1"/>
    <m/>
    <n v="1650"/>
    <m/>
    <s v="N258"/>
    <s v="NWK ACCESS TECH"/>
    <s v="HEO"/>
    <s v="TRANSMITTERS AURORA"/>
    <s v="HDTX"/>
    <s v="AS-STANDARD ORDER MIXED"/>
    <s v="A-SURFACE"/>
    <s v="OP"/>
    <n v="1242416"/>
    <s v="A-SURFACE"/>
    <m/>
    <m/>
    <m/>
    <s v="A-SURFACE"/>
    <s v="LTL"/>
    <s v="EXW"/>
    <s v="Prepay &amp; Add"/>
    <m/>
    <m/>
    <s v="Delivery Instructions-RECEIVING HOURS: 0700-1300"/>
    <m/>
    <m/>
    <m/>
    <m/>
    <s v="0"/>
    <s v="0"/>
  </r>
  <r>
    <s v="SJ2"/>
    <s v="5017196"/>
    <s v="CHARTER"/>
    <s v="PORTAGE001"/>
    <s v="R015P19L2"/>
    <s v="SJ2_STAG"/>
    <s v="CHARTER COMMUNICATIONS"/>
    <s v="4176 Commercial Ave"/>
    <s v="MI"/>
    <s v="Portage"/>
    <s v="49002-9700"/>
    <s v="CH3000N"/>
    <s v="CHASSIS NO COVERS 3RU"/>
    <s v="20116613"/>
    <s v="1.1"/>
    <x v="68"/>
    <n v="1949957"/>
    <d v="2016-10-13T00:00:00"/>
    <m/>
    <d v="2016-10-13T11:06:27"/>
    <d v="2016-10-13T00:00:00"/>
    <d v="2016-10-13T23:59:00"/>
    <m/>
    <n v="1"/>
    <m/>
    <n v="220"/>
    <m/>
    <s v="N199"/>
    <s v="NWK ACCESS TECH"/>
    <s v="HEO"/>
    <s v="HEO MISC AURORA"/>
    <s v="N199"/>
    <s v="AS-STANDARD ORDER MIXED"/>
    <s v="A-SURFACE"/>
    <s v="OP"/>
    <n v="1242237"/>
    <s v="A-SURFACE"/>
    <m/>
    <m/>
    <m/>
    <s v="A-SURFACE"/>
    <s v="LTL"/>
    <s v="EXW"/>
    <s v="Prepay &amp; Add"/>
    <m/>
    <m/>
    <s v="Delivery Instructions-RECEIVING HOURS 7a-3:30p M-F"/>
    <m/>
    <m/>
    <m/>
    <m/>
    <s v="0"/>
    <s v="0"/>
  </r>
  <r>
    <s v="SJ2"/>
    <s v="5017196"/>
    <s v="CHARTER"/>
    <s v="PORTAGE001"/>
    <s v="R015P57L1"/>
    <s v="SJ2_STAG"/>
    <s v="CHARTER COMMUNICATIONS"/>
    <s v="4176 Commercial Ave"/>
    <s v="MI"/>
    <s v="Portage"/>
    <s v="49002-9700"/>
    <s v="NC232A1SGA1-0000000"/>
    <s v="NODE 5-42MHZ RVS 51-1GHZ FWD 1"/>
    <s v="20116613"/>
    <s v="11.1"/>
    <x v="68"/>
    <n v="1949958"/>
    <d v="2016-10-13T00:00:00"/>
    <m/>
    <d v="2016-10-13T11:06:27"/>
    <d v="2016-10-13T00:00:00"/>
    <d v="2016-10-13T23:59:00"/>
    <m/>
    <n v="1"/>
    <m/>
    <n v="1003"/>
    <m/>
    <s v="N120"/>
    <s v="NWK ACCESS TECH"/>
    <s v="NODE"/>
    <s v="NC2000 AURORA"/>
    <s v="N120"/>
    <s v="AS-STANDARD ORDER MIXED"/>
    <s v="A-SURFACE"/>
    <s v="OP"/>
    <n v="1242237"/>
    <s v="A-SURFACE"/>
    <m/>
    <m/>
    <m/>
    <s v="A-SURFACE"/>
    <s v="LTL"/>
    <s v="EXW"/>
    <s v="Prepay &amp; Add"/>
    <m/>
    <m/>
    <s v="Delivery Instructions-RECEIVING HOURS 7a-3:30p M-F"/>
    <m/>
    <m/>
    <m/>
    <m/>
    <s v="0"/>
    <s v="0"/>
  </r>
  <r>
    <s v="SJ2"/>
    <s v="5017196"/>
    <s v="CHARTER"/>
    <s v="PORTAGE001"/>
    <s v="R015P68L1"/>
    <s v="SJ2_STAG"/>
    <s v="CHARTER COMMUNICATIONS"/>
    <s v="4176 Commercial Ave"/>
    <s v="MI"/>
    <s v="Portage"/>
    <s v="49002-9700"/>
    <s v="CH3000U-FM-00"/>
    <s v="ADAPTER FIBER MGT FOR CH3000 C"/>
    <s v="20116613"/>
    <s v="2.1"/>
    <x v="68"/>
    <n v="1949958"/>
    <d v="2016-10-13T00:00:00"/>
    <m/>
    <d v="2016-10-13T11:06:27"/>
    <d v="2016-10-13T00:00:00"/>
    <d v="2016-10-13T23:59:00"/>
    <m/>
    <n v="1"/>
    <m/>
    <n v="55"/>
    <m/>
    <s v="N199"/>
    <s v="NWK ACCESS TECH"/>
    <s v="HEO"/>
    <s v="HEO MISC AURORA"/>
    <s v="N199"/>
    <s v="AS-STANDARD ORDER MIXED"/>
    <s v="A-SURFACE"/>
    <s v="OP"/>
    <n v="1242237"/>
    <s v="A-SURFACE"/>
    <m/>
    <m/>
    <m/>
    <s v="A-SURFACE"/>
    <s v="LTL"/>
    <s v="EXW"/>
    <s v="Prepay &amp; Add"/>
    <m/>
    <m/>
    <s v="Delivery Instructions-RECEIVING HOURS 7a-3:30p M-F"/>
    <m/>
    <m/>
    <m/>
    <m/>
    <s v="0"/>
    <s v="0"/>
  </r>
  <r>
    <s v="SJ2"/>
    <s v="5017196"/>
    <s v="CHARTER"/>
    <s v="PORTAGE001"/>
    <s v="R015P22L3"/>
    <s v="SJ2_STAG"/>
    <s v="CHARTER COMMUNICATIONS"/>
    <s v="4176 Commercial Ave"/>
    <s v="MI"/>
    <s v="Portage"/>
    <s v="49002-9700"/>
    <s v="PS3005D"/>
    <s v="POWER SUPPLY 250W CE TUV W/DIS"/>
    <s v="20116613"/>
    <s v="3.1"/>
    <x v="68"/>
    <n v="1949958"/>
    <d v="2016-10-13T00:00:00"/>
    <m/>
    <d v="2016-10-13T11:06:27"/>
    <d v="2016-10-13T00:00:00"/>
    <d v="2016-10-13T23:59:00"/>
    <m/>
    <n v="1"/>
    <m/>
    <n v="550"/>
    <m/>
    <s v="N204"/>
    <s v="NWK ACCESS TECH"/>
    <s v="ACCESS OTHER"/>
    <s v="OTHER AURORA"/>
    <s v="N204"/>
    <s v="AS-STANDARD ORDER MIXED"/>
    <s v="A-SURFACE"/>
    <s v="OP"/>
    <n v="1242237"/>
    <s v="A-SURFACE"/>
    <m/>
    <m/>
    <m/>
    <s v="A-SURFACE"/>
    <s v="LTL"/>
    <s v="EXW"/>
    <s v="Prepay &amp; Add"/>
    <m/>
    <m/>
    <s v="Delivery Instructions-RECEIVING HOURS 7a-3:30p M-F"/>
    <m/>
    <m/>
    <m/>
    <m/>
    <s v="0"/>
    <s v="0"/>
  </r>
  <r>
    <s v="SJ2"/>
    <s v="5017196"/>
    <s v="CHARTER"/>
    <s v="PORTAGE001"/>
    <s v="R015P64L2"/>
    <s v="SJ2_STAG"/>
    <s v="CHARTER COMMUNICATIONS"/>
    <s v="4176 Commercial Ave"/>
    <s v="MI"/>
    <s v="Portage"/>
    <s v="49002-9700"/>
    <s v="PS3005N"/>
    <s v="POWER SUPPLY 250W CE TUV W/O D"/>
    <s v="20116613"/>
    <s v="4.1"/>
    <x v="68"/>
    <n v="1949958"/>
    <d v="2016-10-13T00:00:00"/>
    <m/>
    <d v="2016-10-13T11:06:27"/>
    <d v="2016-10-13T00:00:00"/>
    <d v="2016-10-13T23:59:00"/>
    <m/>
    <n v="1"/>
    <m/>
    <n v="462"/>
    <m/>
    <s v="N204"/>
    <s v="NWK ACCESS TECH"/>
    <s v="ACCESS OTHER"/>
    <s v="OTHER AURORA"/>
    <s v="N204"/>
    <s v="AS-STANDARD ORDER MIXED"/>
    <s v="A-SURFACE"/>
    <s v="OP"/>
    <n v="1242237"/>
    <s v="A-SURFACE"/>
    <m/>
    <m/>
    <m/>
    <s v="A-SURFACE"/>
    <s v="LTL"/>
    <s v="EXW"/>
    <s v="Prepay &amp; Add"/>
    <m/>
    <m/>
    <s v="Delivery Instructions-RECEIVING HOURS 7a-3:30p M-F"/>
    <m/>
    <m/>
    <m/>
    <m/>
    <s v="0"/>
    <s v="0"/>
  </r>
  <r>
    <s v="SJ2"/>
    <s v="5017196"/>
    <s v="CHARTER"/>
    <s v="PORTAGE001"/>
    <s v="REC1"/>
    <s v="SJ2_STAG"/>
    <s v="CHARTER COMMUNICATIONS"/>
    <s v="4176 Commercial Ave"/>
    <s v="MI"/>
    <s v="Portage"/>
    <s v="49002-9700"/>
    <s v="CX3002"/>
    <s v="COMMUNICATIONS MODULE"/>
    <s v="20116613"/>
    <s v="5.1"/>
    <x v="68"/>
    <n v="1949958"/>
    <d v="2016-10-13T00:00:00"/>
    <m/>
    <d v="2016-10-13T11:06:27"/>
    <d v="2016-10-13T00:00:00"/>
    <d v="2016-10-13T23:59:00"/>
    <m/>
    <n v="2"/>
    <m/>
    <n v="612"/>
    <m/>
    <s v="N080"/>
    <s v="NWK ACCESS TECH"/>
    <s v="HEO"/>
    <s v="HEO MISC AURORA"/>
    <s v="N080"/>
    <s v="AS-STANDARD ORDER MIXED"/>
    <s v="A-SURFACE"/>
    <s v="OP"/>
    <n v="1242237"/>
    <s v="A-SURFACE"/>
    <m/>
    <m/>
    <m/>
    <s v="A-SURFACE"/>
    <s v="LTL"/>
    <s v="EXW"/>
    <s v="Prepay &amp; Add"/>
    <m/>
    <m/>
    <s v="Delivery Instructions-RECEIVING HOURS 7a-3:30p M-F"/>
    <m/>
    <m/>
    <m/>
    <m/>
    <s v="0"/>
    <s v="0"/>
  </r>
  <r>
    <s v="SJ2"/>
    <s v="5017196"/>
    <s v="CHARTER"/>
    <s v="PORTAGE001"/>
    <s v="R023P11L4"/>
    <s v="SJ2_STAG"/>
    <s v="CHARTER COMMUNICATIONS"/>
    <s v="4176 Commercial Ave"/>
    <s v="MI"/>
    <s v="Portage"/>
    <s v="49002-9700"/>
    <s v="HT3541H-D-A290-2-AS"/>
    <s v="XMTR DD 1.2GHZ FULL SPECTRUM 3"/>
    <s v="20116613"/>
    <s v="6.1"/>
    <x v="68"/>
    <n v="1949958"/>
    <d v="2016-10-13T00:00:00"/>
    <m/>
    <d v="2016-10-13T11:06:27"/>
    <d v="2016-10-13T00:00:00"/>
    <d v="2016-10-13T23:59:00"/>
    <m/>
    <n v="1"/>
    <m/>
    <n v="1440"/>
    <m/>
    <s v="HE64"/>
    <s v="NWK ACCESS TECH"/>
    <s v="HEO"/>
    <s v="TRANSMITTER"/>
    <s v="HT"/>
    <s v="AS-STANDARD ORDER MIXED"/>
    <s v="A-SURFACE"/>
    <s v="OP"/>
    <n v="1242237"/>
    <s v="A-SURFACE"/>
    <m/>
    <m/>
    <m/>
    <s v="A-SURFACE"/>
    <s v="LTL"/>
    <s v="EXW"/>
    <s v="Prepay &amp; Add"/>
    <m/>
    <m/>
    <s v="Delivery Instructions-RECEIVING HOURS 7a-3:30p M-F"/>
    <m/>
    <m/>
    <m/>
    <m/>
    <s v="0"/>
    <s v="0"/>
  </r>
  <r>
    <s v="SJ2"/>
    <s v="5017196"/>
    <s v="CHARTER"/>
    <s v="163063"/>
    <s v="R016P02L3B01"/>
    <s v="SJ2_STAG"/>
    <s v="CHARTER COMMUNICATIONS"/>
    <s v="1031 E Glendale Ave"/>
    <s v="NV"/>
    <s v="Sparks"/>
    <s v="89431-6460"/>
    <s v="DR3450N-50-00"/>
    <s v="DIGITAL RECEIVER Q-RX 2.125GBP"/>
    <s v="6900739"/>
    <s v="12.1"/>
    <x v="69"/>
    <n v="1949558"/>
    <d v="2016-07-26T00:00:00"/>
    <m/>
    <d v="2016-10-13T01:05:12"/>
    <d v="2016-10-17T00:00:00"/>
    <d v="2016-10-17T23:59:00"/>
    <m/>
    <n v="3"/>
    <m/>
    <n v="3600"/>
    <m/>
    <s v="N275"/>
    <s v="NWK ACCESS TECH"/>
    <s v="HEO"/>
    <s v="RECEIVERS AURORA"/>
    <s v="N275"/>
    <s v="AUR-STANDARD ORDER MIXED"/>
    <s v="A-SURFACE"/>
    <s v="OP"/>
    <n v="1241987"/>
    <s v="A-SURFACE"/>
    <m/>
    <m/>
    <m/>
    <s v="A-SURFACE"/>
    <s v="LTL"/>
    <s v="EXW"/>
    <s v="Prepay &amp; Add"/>
    <m/>
    <m/>
    <m/>
    <m/>
    <m/>
    <m/>
    <m/>
    <s v="0"/>
    <s v="0"/>
  </r>
  <r>
    <s v="SJ2"/>
    <s v="5017196"/>
    <s v="CHARTER"/>
    <s v="163063"/>
    <s v="R016P02L3B01"/>
    <s v="SJ2_STAG"/>
    <s v="CHARTER COMMUNICATIONS"/>
    <s v="1031 E Glendale Ave"/>
    <s v="NV"/>
    <s v="Sparks"/>
    <m/>
    <s v="DR3450N-50-00"/>
    <s v="DIGITAL RECEIVER Q-RX 2.125GBP"/>
    <s v="6900799"/>
    <s v="16.1"/>
    <x v="70"/>
    <n v="1949558"/>
    <d v="2016-07-26T00:00:00"/>
    <m/>
    <d v="2016-10-13T01:05:12"/>
    <d v="2016-10-17T00:00:00"/>
    <d v="2016-10-17T23:59:00"/>
    <m/>
    <n v="8"/>
    <m/>
    <n v="9600"/>
    <m/>
    <s v="N275"/>
    <s v="NWK ACCESS TECH"/>
    <s v="HEO"/>
    <s v="RECEIVERS AURORA"/>
    <s v="N275"/>
    <s v="AUR-STANDARD ORDER MIXED"/>
    <s v="A-SURFACE"/>
    <s v="OP"/>
    <n v="1241987"/>
    <s v="A-SURFACE"/>
    <m/>
    <m/>
    <m/>
    <s v="A-SURFACE"/>
    <s v="LTL"/>
    <s v="EXW"/>
    <s v="Prepay &amp; Add"/>
    <m/>
    <m/>
    <m/>
    <m/>
    <m/>
    <m/>
    <m/>
    <s v="0"/>
    <s v="0"/>
  </r>
  <r>
    <s v="SJ2"/>
    <s v="5017196"/>
    <s v="CHARTER"/>
    <s v="163063"/>
    <s v="R023P14L4"/>
    <s v="SJ2_STAG"/>
    <s v="CHARTER COMMUNICATIONS"/>
    <s v="1031 E Glendale Ave"/>
    <s v="NV"/>
    <s v="Sparks"/>
    <s v="89431-6460"/>
    <s v="HT3541H-D-A210-2-AS"/>
    <s v="XMTR DD 1.2GHZ FULL SPECTRUM 3"/>
    <s v="6900799"/>
    <s v="23.1"/>
    <x v="70"/>
    <n v="1949534"/>
    <d v="2016-07-26T00:00:00"/>
    <m/>
    <d v="2016-10-13T01:05:12"/>
    <d v="2016-10-17T00:00:00"/>
    <d v="2016-10-17T23:59:00"/>
    <m/>
    <n v="6"/>
    <m/>
    <n v="9120"/>
    <m/>
    <s v="HE64"/>
    <s v="NWK ACCESS TECH"/>
    <s v="HEO"/>
    <s v="TRANSMITTER"/>
    <s v="HT"/>
    <s v="AUR-STANDARD ORDER MIXED"/>
    <s v="A-SURFACE"/>
    <s v="OP"/>
    <n v="1241987"/>
    <s v="A-SURFACE"/>
    <m/>
    <m/>
    <m/>
    <s v="A-SURFACE"/>
    <s v="LTL"/>
    <s v="EXW"/>
    <s v="Prepay &amp; Add"/>
    <m/>
    <m/>
    <m/>
    <m/>
    <m/>
    <m/>
    <m/>
    <s v="0"/>
    <s v="0"/>
  </r>
  <r>
    <s v="SJ2"/>
    <s v="5017196"/>
    <s v="CHARTER"/>
    <s v="163063"/>
    <s v="R023P13L2"/>
    <s v="SJ2_STAG"/>
    <s v="CHARTER COMMUNICATIONS"/>
    <s v="1031 E Glendale Ave"/>
    <s v="NV"/>
    <s v="Sparks"/>
    <s v="89431-6460"/>
    <s v="HT3541H-D-A210-2-AS"/>
    <s v="XMTR DD 1.2GHZ FULL SPECTRUM 3"/>
    <s v="6900799"/>
    <s v="23.1"/>
    <x v="70"/>
    <n v="1949534"/>
    <d v="2016-07-26T00:00:00"/>
    <m/>
    <d v="2016-10-13T01:05:12"/>
    <d v="2016-10-17T00:00:00"/>
    <d v="2016-10-17T23:59:00"/>
    <m/>
    <n v="1"/>
    <m/>
    <n v="1520"/>
    <m/>
    <s v="HE64"/>
    <s v="NWK ACCESS TECH"/>
    <s v="HEO"/>
    <s v="TRANSMITTER"/>
    <s v="HT"/>
    <s v="AUR-STANDARD ORDER MIXED"/>
    <s v="A-SURFACE"/>
    <s v="OP"/>
    <n v="1241987"/>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800"/>
    <s v="12.1"/>
    <x v="71"/>
    <n v="1949558"/>
    <d v="2016-07-26T00:00:00"/>
    <m/>
    <d v="2016-10-13T01:05:12"/>
    <d v="2016-10-17T00:00:00"/>
    <d v="2016-10-17T23:59:00"/>
    <m/>
    <n v="2"/>
    <m/>
    <n v="2400"/>
    <m/>
    <s v="N275"/>
    <s v="NWK ACCESS TECH"/>
    <s v="HEO"/>
    <s v="RECEIVERS AURORA"/>
    <s v="N275"/>
    <s v="AUR-STANDARD ORDER MIXED"/>
    <s v="A-SURFACE"/>
    <s v="OP"/>
    <n v="1241987"/>
    <s v="A-SURFACE"/>
    <m/>
    <m/>
    <m/>
    <s v="A-SURFACE"/>
    <s v="LTL"/>
    <s v="EXW"/>
    <s v="Prepay &amp; Add"/>
    <m/>
    <m/>
    <m/>
    <m/>
    <m/>
    <m/>
    <m/>
    <s v="0"/>
    <s v="0"/>
  </r>
  <r>
    <s v="SJ2"/>
    <s v="5017196"/>
    <s v="CHARTER"/>
    <s v="163063"/>
    <s v="R016P09L2B01"/>
    <s v="SJ2_STAG"/>
    <s v="CHARTER COMMUNICATIONS"/>
    <s v="1031 E Glendale Ave"/>
    <s v="NV"/>
    <s v="Sparks"/>
    <s v="89431-6460"/>
    <s v="OP95F1S-35-R2-AS"/>
    <s v="FILTER DWDM S-CASE 2MM SC/APC"/>
    <s v="6900800"/>
    <s v="7.1"/>
    <x v="72"/>
    <n v="1931830"/>
    <d v="2016-07-26T00:00:00"/>
    <m/>
    <d v="2016-09-24T03:31:01"/>
    <d v="2016-09-19T00:00:00"/>
    <d v="2016-09-26T23:59:00"/>
    <m/>
    <n v="1"/>
    <m/>
    <n v="156"/>
    <m/>
    <s v="N156"/>
    <s v="NWK ACCESS TECH"/>
    <s v="ACCESS OTHER"/>
    <s v="OTHER AURORA"/>
    <s v="N156"/>
    <s v="AUR-STANDARD ORDER MIXED"/>
    <s v="A-SURFACE"/>
    <s v="OP"/>
    <n v="1230490"/>
    <s v="A-SURFACE"/>
    <m/>
    <m/>
    <m/>
    <s v="A-SURFACE"/>
    <s v="LTL"/>
    <s v="EXW"/>
    <s v="Prepay &amp; Add"/>
    <m/>
    <m/>
    <m/>
    <m/>
    <m/>
    <m/>
    <m/>
    <s v="0"/>
    <s v="0"/>
  </r>
  <r>
    <s v="SJ2"/>
    <s v="5017196"/>
    <s v="CHARTER"/>
    <s v="163063"/>
    <s v="R016P41L1B01"/>
    <s v="SJ2_STAG"/>
    <s v="CHARTER COMMUNICATIONS"/>
    <s v="1031 E Glendale Ave"/>
    <s v="NV"/>
    <s v="Sparks"/>
    <s v="89431-6460"/>
    <s v="NCM3800-1L"/>
    <s v="FW JUMPER NCM3800 NODE"/>
    <s v="6900800"/>
    <s v="9.1"/>
    <x v="71"/>
    <n v="1949534"/>
    <d v="2016-07-26T00:00:00"/>
    <m/>
    <d v="2016-10-13T01:05:12"/>
    <d v="2016-10-17T00:00:00"/>
    <d v="2016-10-17T23:59:00"/>
    <m/>
    <n v="115"/>
    <m/>
    <n v="1610"/>
    <m/>
    <s v="N050"/>
    <s v="NWK ACCESS TECH"/>
    <s v="NODE"/>
    <s v="HL NODE MISC AURORA"/>
    <s v="N050"/>
    <s v="AUR-STANDARD ORDER MIXED"/>
    <s v="A-SURFACE"/>
    <s v="OP"/>
    <n v="1241987"/>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865"/>
    <s v="8.1"/>
    <x v="73"/>
    <n v="1949558"/>
    <d v="2016-07-26T00:00:00"/>
    <m/>
    <d v="2016-10-13T01:05:12"/>
    <d v="2016-10-17T00:00:00"/>
    <d v="2016-10-17T23:59:00"/>
    <m/>
    <n v="3"/>
    <m/>
    <n v="3600"/>
    <m/>
    <s v="N275"/>
    <s v="NWK ACCESS TECH"/>
    <s v="HEO"/>
    <s v="RECEIVERS AURORA"/>
    <s v="N275"/>
    <s v="AUR-STANDARD ORDER MIXED"/>
    <s v="A-SURFACE"/>
    <s v="OP"/>
    <n v="1241987"/>
    <s v="A-SURFACE"/>
    <m/>
    <m/>
    <m/>
    <s v="A-SURFACE"/>
    <s v="LTL"/>
    <s v="EXW"/>
    <s v="Prepay &amp; Add"/>
    <m/>
    <m/>
    <m/>
    <m/>
    <m/>
    <m/>
    <m/>
    <s v="0"/>
    <s v="0"/>
  </r>
  <r>
    <s v="SJ2"/>
    <s v="5017196"/>
    <s v="CHARTER"/>
    <s v="163062"/>
    <s v="REC1"/>
    <s v="SJ2_STAG"/>
    <s v="CHARTER COMMUNICATIONS"/>
    <s v="1757 N Pointe Rd"/>
    <s v="TN"/>
    <s v="Columbia"/>
    <s v="38401-0214"/>
    <s v="OP95F1S-45-N0-00"/>
    <s v="FILTER DWDM N-CASE 0.25MM CH 4"/>
    <s v="6900900"/>
    <s v="2.1"/>
    <x v="74"/>
    <n v="1929321"/>
    <d v="2016-07-20T00:00:00"/>
    <m/>
    <d v="2016-09-22T13:41:45"/>
    <d v="2016-09-26T00:00:00"/>
    <d v="2016-09-26T23:59:00"/>
    <m/>
    <n v="2"/>
    <m/>
    <n v="216"/>
    <m/>
    <s v="N156"/>
    <s v="NWK ACCESS TECH"/>
    <s v="ACCESS OTHER"/>
    <s v="OTHER AURORA"/>
    <s v="N156"/>
    <s v="AUR-STANDARD ORDER MIXED"/>
    <s v="A-SURFACE"/>
    <s v="OP"/>
    <n v="1229539"/>
    <s v="A-SURFACE"/>
    <m/>
    <m/>
    <m/>
    <s v="A-SURFACE"/>
    <s v="LTL"/>
    <s v="EXW"/>
    <s v="Prepay &amp; Add"/>
    <m/>
    <m/>
    <m/>
    <m/>
    <m/>
    <m/>
    <m/>
    <s v="0"/>
    <s v="0"/>
  </r>
  <r>
    <s v="SJ2"/>
    <s v="5017196"/>
    <s v="CHARTER"/>
    <s v="163062"/>
    <s v="REC1"/>
    <s v="SJ2_STAG"/>
    <s v="CHARTER COMMUNICATIONS"/>
    <s v="1757 N Pointe Rd"/>
    <s v="TN"/>
    <s v="Columbia"/>
    <m/>
    <s v="OP95F1S-36-N0-00"/>
    <s v="FILTER DWDM N-CASE 0.25MM CH 3"/>
    <s v="6900902"/>
    <s v="1.1"/>
    <x v="75"/>
    <n v="1944015"/>
    <d v="2016-08-03T00:00:00"/>
    <m/>
    <d v="2016-10-06T01:04:01"/>
    <d v="2016-10-10T00:00:00"/>
    <d v="2016-10-10T23:59:00"/>
    <m/>
    <n v="1"/>
    <m/>
    <n v="108"/>
    <m/>
    <s v="N156"/>
    <s v="NWK ACCESS TECH"/>
    <s v="ACCESS OTHER"/>
    <s v="OTHER AURORA"/>
    <s v="N156"/>
    <s v="AUR-STANDARD ORDER MIXED"/>
    <s v="A-SURFACE"/>
    <s v="OP"/>
    <n v="1237749"/>
    <s v="A-SURFACE"/>
    <m/>
    <m/>
    <m/>
    <s v="A-SURFACE"/>
    <s v="LTL"/>
    <s v="EXW"/>
    <s v="Prepay &amp; Add"/>
    <m/>
    <m/>
    <m/>
    <m/>
    <m/>
    <m/>
    <m/>
    <s v="0"/>
    <s v="0"/>
  </r>
  <r>
    <s v="SJ2"/>
    <s v="5017196"/>
    <s v="CHARTER"/>
    <s v="163062"/>
    <s v="R015P07L3"/>
    <s v="SJ2_STAG"/>
    <s v="CHARTER COMMUNICATIONS"/>
    <s v="1757 N Pointe Rd"/>
    <s v="TN"/>
    <s v="Columbia"/>
    <s v="38401-0214"/>
    <s v="OP95D4-CF3-100-R2-AS"/>
    <s v="DEMUX DWDM 100GHZ 4 CH F-CASE"/>
    <s v="6900902"/>
    <s v="3.1"/>
    <x v="76"/>
    <n v="1929330"/>
    <d v="2016-08-03T00:00:00"/>
    <m/>
    <d v="2016-09-22T13:41:45"/>
    <d v="2016-09-26T00:00:00"/>
    <d v="2016-09-26T23:59:00"/>
    <m/>
    <n v="1"/>
    <m/>
    <n v="780"/>
    <m/>
    <s v="N160"/>
    <s v="NWK ACCESS TECH"/>
    <s v="OPTICAL PASSIVES"/>
    <s v="OUTDOOR PASSIVES AURORA"/>
    <s v="N160"/>
    <s v="AUR-STANDARD ORDER MIXED"/>
    <s v="A-SURFACE"/>
    <s v="OP"/>
    <n v="1229539"/>
    <s v="A-SURFACE"/>
    <m/>
    <m/>
    <m/>
    <s v="A-SURFACE"/>
    <s v="LTL"/>
    <s v="EXW"/>
    <s v="Prepay &amp; Add"/>
    <m/>
    <m/>
    <m/>
    <m/>
    <m/>
    <m/>
    <m/>
    <s v="0"/>
    <s v="0"/>
  </r>
  <r>
    <s v="SJ2"/>
    <s v="5017196"/>
    <s v="CHARTER"/>
    <s v="163046"/>
    <s v="R016P41L1B01"/>
    <s v="SJ2_STAG"/>
    <s v="CHARTER COMMUNICATIONS"/>
    <s v="4815 Longley Lane"/>
    <s v="NV"/>
    <s v="Reno"/>
    <s v="89502"/>
    <s v="NCM3800-1L"/>
    <s v="FW JUMPER NCM3800 NODE"/>
    <s v="6900931"/>
    <s v="1.1"/>
    <x v="77"/>
    <n v="1949546"/>
    <d v="2016-07-26T00:00:00"/>
    <m/>
    <d v="2016-10-13T01:05:11"/>
    <d v="2016-10-17T00:00:00"/>
    <d v="2016-10-17T23:59:00"/>
    <m/>
    <n v="99"/>
    <m/>
    <n v="1386"/>
    <m/>
    <s v="N050"/>
    <s v="NWK ACCESS TECH"/>
    <s v="NODE"/>
    <s v="HL NODE MISC AURORA"/>
    <s v="N050"/>
    <s v="AUR-STANDARD ORDER MIXED"/>
    <s v="A-SURFACE"/>
    <s v="OP"/>
    <n v="1241987"/>
    <s v="A-SURFACE"/>
    <m/>
    <m/>
    <m/>
    <s v="A-SURFACE"/>
    <s v="LTL"/>
    <s v="EXW"/>
    <s v="Prepay &amp; Add"/>
    <m/>
    <m/>
    <m/>
    <m/>
    <m/>
    <m/>
    <m/>
    <s v="0"/>
    <s v="0"/>
  </r>
  <r>
    <s v="SJ2"/>
    <s v="5017196"/>
    <s v="CHARTER"/>
    <s v="163012"/>
    <s v="REC1"/>
    <s v="SJ2_STAG"/>
    <s v="CHARTER COMMUNICATIONS"/>
    <s v="110 Commercial Rd"/>
    <s v="SC"/>
    <s v="Spartanburg"/>
    <s v="29303-6349"/>
    <s v="OP95F1S-45-N0-00"/>
    <s v="FILTER DWDM N-CASE 0.25MM CH 4"/>
    <s v="6900936"/>
    <s v="6.1"/>
    <x v="78"/>
    <n v="1938438"/>
    <d v="2016-07-28T00:00:00"/>
    <m/>
    <d v="2016-09-30T01:04:07"/>
    <d v="2016-10-04T00:00:00"/>
    <d v="2016-10-04T23:59:00"/>
    <m/>
    <n v="2"/>
    <m/>
    <n v="216"/>
    <m/>
    <s v="N156"/>
    <s v="NWK ACCESS TECH"/>
    <s v="ACCESS OTHER"/>
    <s v="OTHER AURORA"/>
    <s v="N156"/>
    <s v="AUR-STANDARD ORDER MIXED"/>
    <s v="A-SURFACE"/>
    <s v="OP"/>
    <n v="1234185"/>
    <s v="A-SURFACE"/>
    <m/>
    <m/>
    <m/>
    <s v="A-SURFACE"/>
    <s v="LTL"/>
    <s v="EXW"/>
    <s v="Prepay &amp; Add"/>
    <m/>
    <m/>
    <m/>
    <m/>
    <m/>
    <m/>
    <m/>
    <s v="0"/>
    <s v="0"/>
  </r>
  <r>
    <s v="SJ2"/>
    <s v="5017196"/>
    <s v="CHARTER"/>
    <s v="163062"/>
    <s v="R016P30L1B01"/>
    <s v="SJ2_STAG"/>
    <s v="CHARTER COMMUNICATIONS"/>
    <s v="1757 N Pointe Rd"/>
    <s v="TN"/>
    <s v="Columbia"/>
    <s v="38401-0214"/>
    <s v="DP95D10S05A0S-1MC-UL"/>
    <s v="DEMUX 100G M-CASE 10CH 50-59 U"/>
    <s v="6901055"/>
    <s v="2.1"/>
    <x v="79"/>
    <n v="1949537"/>
    <d v="2016-07-27T00:00:00"/>
    <m/>
    <d v="2016-10-13T01:05:11"/>
    <d v="2016-10-17T00:00:00"/>
    <d v="2016-10-17T23:59:00"/>
    <m/>
    <n v="2"/>
    <m/>
    <n v="2040"/>
    <m/>
    <s v="N137"/>
    <s v="NWK ACCESS TECH"/>
    <s v="OPTICAL PASSIVES"/>
    <s v="DATA PASSIVES AURORA"/>
    <s v="N137"/>
    <s v="AUR-STANDARD ORDER MIXED"/>
    <s v="A-SURFACE"/>
    <s v="OP"/>
    <n v="1241987"/>
    <s v="A-SURFACE"/>
    <m/>
    <m/>
    <m/>
    <s v="A-SURFACE"/>
    <s v="LTL"/>
    <s v="EXW"/>
    <s v="Prepay &amp; Add"/>
    <m/>
    <m/>
    <m/>
    <m/>
    <m/>
    <m/>
    <m/>
    <s v="0"/>
    <s v="0"/>
  </r>
  <r>
    <s v="SJ2"/>
    <s v="5017196"/>
    <s v="CHARTER"/>
    <s v="163062"/>
    <s v="REC1"/>
    <s v="SJ2_STAG"/>
    <s v="CHARTER COMMUNICATIONS"/>
    <s v="1757 N Pointe Rd"/>
    <s v="TN"/>
    <s v="Columbia"/>
    <s v="38401-0214"/>
    <s v="OP94F1S-1490-R2-AS"/>
    <s v="FILTER CWDM S-CASE 2MM SC/APC"/>
    <s v="6901169"/>
    <s v="2.1"/>
    <x v="80"/>
    <n v="1949537"/>
    <d v="2016-08-10T00:00:00"/>
    <m/>
    <d v="2016-10-13T01:05:11"/>
    <d v="2016-10-17T00:00:00"/>
    <d v="2016-10-17T23:59:00"/>
    <m/>
    <n v="1"/>
    <m/>
    <n v="144"/>
    <m/>
    <s v="N156"/>
    <s v="NWK ACCESS TECH"/>
    <s v="ACCESS OTHER"/>
    <s v="OTHER AURORA"/>
    <s v="N156"/>
    <s v="AUR-STANDARD ORDER MIXED"/>
    <s v="A-SURFACE"/>
    <s v="OP"/>
    <n v="1241987"/>
    <s v="A-SURFACE"/>
    <m/>
    <m/>
    <m/>
    <s v="A-SURFACE"/>
    <s v="LTL"/>
    <s v="EXW"/>
    <s v="Prepay &amp; Add"/>
    <m/>
    <m/>
    <m/>
    <m/>
    <m/>
    <m/>
    <m/>
    <s v="0"/>
    <s v="0"/>
  </r>
  <r>
    <s v="SJ2"/>
    <s v="5017196"/>
    <s v="CHARTER"/>
    <s v="163062"/>
    <s v="R016P41L3B01"/>
    <s v="SJ2_STAG"/>
    <s v="CHARTER COMMUNICATIONS"/>
    <s v="1757 N Pointe Rd"/>
    <s v="TN"/>
    <s v="Columbia"/>
    <s v="38401-0214"/>
    <s v="NC4121S255-U0000000"/>
    <s v="NODE 5-42/51-870MHz JXP 1x2SEG"/>
    <s v="6901169"/>
    <s v="6.1"/>
    <x v="80"/>
    <n v="1949539"/>
    <d v="2016-08-10T00:00:00"/>
    <m/>
    <d v="2016-10-13T01:05:11"/>
    <d v="2016-10-17T00:00:00"/>
    <d v="2016-10-17T23:59:00"/>
    <m/>
    <n v="3"/>
    <m/>
    <n v="5679"/>
    <m/>
    <s v="N034"/>
    <s v="NWK ACCESS TECH"/>
    <s v="NODE"/>
    <s v="NC4000 AURORA"/>
    <s v="N034"/>
    <s v="AUR-STANDARD ORDER MIXED"/>
    <s v="A-SURFACE"/>
    <s v="OP"/>
    <n v="1241987"/>
    <s v="A-SURFACE"/>
    <m/>
    <m/>
    <m/>
    <s v="A-SURFACE"/>
    <s v="LTL"/>
    <s v="EXW"/>
    <s v="Prepay &amp; Add"/>
    <m/>
    <m/>
    <m/>
    <m/>
    <m/>
    <m/>
    <m/>
    <s v="0"/>
    <s v="0"/>
  </r>
  <r>
    <s v="SJ2"/>
    <s v="5017196"/>
    <s v="CHARTER"/>
    <s v="163012"/>
    <s v="R023P13L3"/>
    <s v="SJ2_STAG"/>
    <s v="CHARTER COMMUNICATIONS"/>
    <s v="110 Commercial Rd"/>
    <s v="SC"/>
    <s v="Spartanburg"/>
    <s v="29303-6349"/>
    <s v="DP35M04D0NB2S-0LB-UL"/>
    <s v="MUX 100GHZ 1W 4CH 36-39 UPG EX"/>
    <s v="6901385"/>
    <s v="1.1"/>
    <x v="81"/>
    <n v="1945895"/>
    <d v="2016-07-12T00:00:00"/>
    <m/>
    <d v="2016-10-08T03:52:11"/>
    <d v="2016-08-04T00:00:00"/>
    <d v="2016-10-10T23:59:00"/>
    <m/>
    <n v="1"/>
    <m/>
    <n v="920"/>
    <m/>
    <s v="N135"/>
    <s v="NWK ACCESS TECH"/>
    <s v="OPTICAL PASSIVES"/>
    <s v="DATA PASSIVES AURORA"/>
    <s v="N135"/>
    <s v="AUR-STANDARD ORDER MIXED"/>
    <s v="A-SURFACE"/>
    <s v="OP"/>
    <n v="1239007"/>
    <s v="A-SURFACE"/>
    <m/>
    <m/>
    <m/>
    <s v="A-SURFACE"/>
    <s v="LTL"/>
    <s v="EXW"/>
    <s v="Prepay &amp; Add"/>
    <m/>
    <m/>
    <m/>
    <m/>
    <m/>
    <m/>
    <m/>
    <s v="0"/>
    <s v="0"/>
  </r>
  <r>
    <s v="SJ2"/>
    <s v="5018679"/>
    <s v="ARRIS SOLUTIONS, INC."/>
    <s v="CAR - CARY, NC -DISTRIBUTION"/>
    <s v="R023P10L2"/>
    <s v="SJ2_STAG"/>
    <s v="ARRIS SOLUTIONS, INC."/>
    <s v="101 Stamford Dr"/>
    <s v="NC"/>
    <s v="Cary"/>
    <s v="27513-9503"/>
    <s v="BD31A4-100-H12F-0-AS"/>
    <s v="OPT PASSTHRU BD 4 XMTR 4 BC 4"/>
    <s v="90710912"/>
    <s v="1.1"/>
    <x v="82"/>
    <n v="1948184"/>
    <d v="2016-10-11T17:57:11"/>
    <m/>
    <d v="2016-10-11T19:04:43"/>
    <d v="2016-10-14T00:00:00"/>
    <d v="2016-10-11T23:59:00"/>
    <m/>
    <n v="41"/>
    <n v="41"/>
    <n v="12541.08"/>
    <n v="12541.08"/>
    <s v="N258"/>
    <s v="NWK ACCESS TECH"/>
    <s v="HEO"/>
    <s v="TRANSMITTERS AURORA"/>
    <s v="HDTX"/>
    <s v="OM-INTERNAL ORDER"/>
    <s v="A-SURFACE"/>
    <s v="OP"/>
    <n v="1241217"/>
    <s v="A-SURFACE"/>
    <m/>
    <m/>
    <m/>
    <s v="A-SURFACE"/>
    <s v="LTL"/>
    <s v="EXW"/>
    <s v="Prepaid"/>
    <m/>
    <m/>
    <s v="**Less than 10 pallets Use UPS freight line, on Consolidate shipment over than 10 pallets use KSC freight FTL truckload**"/>
    <m/>
    <m/>
    <m/>
    <m/>
    <s v="0"/>
    <s v="0"/>
  </r>
  <r>
    <s v="SJ2"/>
    <s v="5018679"/>
    <s v="ARRIS SOLUTIONS, INC."/>
    <s v="CAR - CARY, NC -DISTRIBUTION"/>
    <s v="R023P07L2"/>
    <s v="SJ2_STAG"/>
    <s v="ARRIS SOLUTIONS, INC."/>
    <s v="101 Stamford Dr"/>
    <s v="NC"/>
    <s v="Cary"/>
    <s v="27513-9503"/>
    <s v="BD31A4-100-H12F-0-AS"/>
    <s v="OPT PASSTHRU BD 4 XMTR 4 BC 4"/>
    <s v="90710912"/>
    <s v="1.1"/>
    <x v="82"/>
    <n v="1948183"/>
    <d v="2016-10-11T17:57:11"/>
    <m/>
    <d v="2016-10-11T19:04:43"/>
    <d v="2016-10-14T00:00:00"/>
    <d v="2016-10-11T23:59:00"/>
    <m/>
    <n v="2"/>
    <n v="2"/>
    <n v="611.76"/>
    <n v="611.76"/>
    <s v="N258"/>
    <s v="NWK ACCESS TECH"/>
    <s v="HEO"/>
    <s v="TRANSMITTERS AURORA"/>
    <s v="HDTX"/>
    <s v="OM-INTERNAL ORDER"/>
    <s v="A-SURFACE"/>
    <s v="OP"/>
    <n v="1241217"/>
    <s v="A-SURFACE"/>
    <m/>
    <m/>
    <m/>
    <s v="A-SURFACE"/>
    <s v="LTL"/>
    <s v="EXW"/>
    <s v="Prepaid"/>
    <m/>
    <m/>
    <s v="**Less than 10 pallets Use UPS freight line, on Consolidate shipment over than 10 pallets use KSC freight FTL truckload**"/>
    <m/>
    <m/>
    <m/>
    <m/>
    <s v="0"/>
    <s v="0"/>
  </r>
  <r>
    <s v="SJ2"/>
    <s v="5018679"/>
    <s v="ARRIS SOLUTIONS, INC."/>
    <s v="CAR - CARY, NC -DISTRIBUTION"/>
    <s v="R024P03L1B01"/>
    <s v="SJ2_STAG"/>
    <s v="ARRIS SOLUTIONS, INC."/>
    <s v="101 Stamford Dr"/>
    <s v="NC"/>
    <s v="Cary"/>
    <s v="27513-9503"/>
    <s v="BD31A4-100-H12F-0-AS"/>
    <s v="OPT PASSTHRU BD 4 XMTR 4 BC 4"/>
    <s v="90710912"/>
    <s v="1.1"/>
    <x v="82"/>
    <n v="1948184"/>
    <d v="2016-10-11T17:57:11"/>
    <m/>
    <d v="2016-10-11T19:04:43"/>
    <d v="2016-10-14T00:00:00"/>
    <d v="2016-10-11T23:59:00"/>
    <m/>
    <n v="53"/>
    <n v="53"/>
    <n v="16211.64"/>
    <n v="16211.64"/>
    <s v="N258"/>
    <s v="NWK ACCESS TECH"/>
    <s v="HEO"/>
    <s v="TRANSMITTERS AURORA"/>
    <s v="HDTX"/>
    <s v="OM-INTERNAL ORDER"/>
    <s v="A-SURFACE"/>
    <s v="OP"/>
    <n v="1241217"/>
    <s v="A-SURFACE"/>
    <m/>
    <m/>
    <m/>
    <s v="A-SURFACE"/>
    <s v="LTL"/>
    <s v="EXW"/>
    <s v="Prepaid"/>
    <m/>
    <m/>
    <s v="**Less than 10 pallets Use UPS freight line, on Consolidate shipment over than 10 pallets use KSC freight FTL truckload**"/>
    <m/>
    <m/>
    <m/>
    <m/>
    <s v="0"/>
    <s v="0"/>
  </r>
  <r>
    <s v="SJ2"/>
    <s v="5033308"/>
    <s v="NSG TECHNOLOGY INC"/>
    <s v="161827"/>
    <s v="R015P44L4"/>
    <s v="SJ2_STAG"/>
    <s v="NSG Technology, Inc."/>
    <s v="1705 Junction Ct Ste 200"/>
    <s v="CA"/>
    <s v="San Jose"/>
    <s v="95112-1023"/>
    <s v="DT4250N-50-00"/>
    <s v="DGTL XCVR ENH MULTI-MODES OF O"/>
    <s v="6900377"/>
    <s v="7.1"/>
    <x v="83"/>
    <n v="1945183"/>
    <d v="2016-05-26T00:00:00"/>
    <m/>
    <d v="2016-10-07T01:04:01"/>
    <d v="2016-10-11T00:00:00"/>
    <d v="2016-10-11T23:59:00"/>
    <m/>
    <n v="30"/>
    <n v="30"/>
    <n v="4650"/>
    <n v="4650"/>
    <s v="N065"/>
    <s v="NWK ACCESS TECH"/>
    <s v="NODE"/>
    <s v="NODE MISC AURORA"/>
    <s v="N065"/>
    <s v="AUR-RAW MATERIAL ORDER"/>
    <s v="A-SURFACE"/>
    <s v="OP"/>
    <n v="1238361"/>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s v="6900575"/>
    <s v="17.1"/>
    <x v="84"/>
    <n v="1945184"/>
    <d v="2016-04-14T00:00:00"/>
    <m/>
    <d v="2016-10-07T01:04:01"/>
    <d v="2016-10-11T00:00:00"/>
    <d v="2016-10-11T23:59:00"/>
    <m/>
    <n v="2"/>
    <n v="2"/>
    <n v="260"/>
    <n v="260"/>
    <s v="N222"/>
    <s v="NWK ACCESS TECH"/>
    <s v="HPON"/>
    <s v="VHUB AURORA"/>
    <s v="N222"/>
    <s v="AUR-RAW MATERIAL ORDER"/>
    <s v="A-SURFACE"/>
    <s v="OP"/>
    <n v="1238361"/>
    <s v="A-SURFACE"/>
    <m/>
    <m/>
    <m/>
    <s v="A-SURFACE"/>
    <s v="LTL"/>
    <s v="EXW"/>
    <s v="Collect"/>
    <m/>
    <m/>
    <s v="Arris provides transportation to NSG"/>
    <m/>
    <m/>
    <m/>
    <m/>
    <s v="0"/>
    <s v="0"/>
  </r>
  <r>
    <s v="SJ2"/>
    <s v="5033308"/>
    <s v="NSG TECHNOLOGY INC"/>
    <s v="161827"/>
    <s v="R015P53L2"/>
    <s v="SJ2_STAG"/>
    <s v="NSG Technology, Inc."/>
    <s v="1705 Junction Ct Ste 200"/>
    <s v="CA"/>
    <s v="San Jose"/>
    <s v="95112-1023"/>
    <s v="10-10324-1+"/>
    <s v="ASSY HOUSING 1W AN DX4 RoHS"/>
    <s v="6901039"/>
    <s v="43.1"/>
    <x v="85"/>
    <n v="1949536"/>
    <d v="2016-08-03T00:00:00"/>
    <m/>
    <d v="2016-10-13T01:05:12"/>
    <d v="2016-10-17T00:00:00"/>
    <d v="2016-10-17T23:59:00"/>
    <m/>
    <n v="41"/>
    <m/>
    <n v="246"/>
    <m/>
    <s v="CT30"/>
    <s v="NWK ACCESS TECH"/>
    <s v="ACCESS OTHER"/>
    <s v="OTHER AURORA"/>
    <s v="CT30"/>
    <s v="AUR-RAW MATERIAL ORDER"/>
    <s v="A-SURFACE"/>
    <s v="OP"/>
    <n v="1241987"/>
    <s v="A-SURFACE"/>
    <m/>
    <m/>
    <m/>
    <s v="A-SURFACE"/>
    <s v="LTL"/>
    <s v="EXW"/>
    <s v="Collect"/>
    <m/>
    <m/>
    <s v="Arris provides transportation to NSG"/>
    <m/>
    <m/>
    <m/>
    <m/>
    <s v="0"/>
    <s v="0"/>
  </r>
  <r>
    <s v="SJ2"/>
    <s v="5033308"/>
    <s v="NSG TECHNOLOGY INC"/>
    <s v="161827"/>
    <s v="R016P10L1B01"/>
    <s v="SJ2_STAG"/>
    <s v="NSG Technology, Inc."/>
    <s v="1705 Junction Ct Ste 200"/>
    <s v="CA"/>
    <s v="San Jose"/>
    <s v="95112-1023"/>
    <s v="NCM3201-1L"/>
    <s v="RET COMBINER NCM3201 NODE"/>
    <s v="6901384"/>
    <s v="3.1"/>
    <x v="86"/>
    <n v="1945183"/>
    <d v="2016-07-27T00:00:00"/>
    <m/>
    <d v="2016-10-07T01:04:01"/>
    <d v="2016-10-11T00:00:00"/>
    <d v="2016-10-11T23:59:00"/>
    <m/>
    <n v="8"/>
    <n v="8"/>
    <n v="79.680000000000007"/>
    <n v="79.680000000000007"/>
    <s v="N224"/>
    <s v="NWK ACCESS TECH"/>
    <s v="ACCESS OTHER"/>
    <s v="OTHER AURORA"/>
    <s v="N224"/>
    <s v="AUR-RAW MATERIAL ORDER"/>
    <s v="A-SURFACE"/>
    <s v="OP"/>
    <n v="1238361"/>
    <s v="A-SURFACE"/>
    <m/>
    <m/>
    <m/>
    <s v="A-SURFACE"/>
    <s v="LTL"/>
    <s v="EXW"/>
    <s v="Collect"/>
    <m/>
    <m/>
    <s v="Arris provides transportation to NSG"/>
    <m/>
    <m/>
    <m/>
    <m/>
    <s v="0"/>
    <s v="0"/>
  </r>
  <r>
    <s v="SJ2"/>
    <s v="5033308"/>
    <s v="NSG TECHNOLOGY INC"/>
    <s v="161827"/>
    <s v="R015P19L1"/>
    <s v="SJ2_STAG"/>
    <s v="NSG Technology, Inc."/>
    <s v="1705 Junction Ct Ste 200"/>
    <s v="CA"/>
    <s v="San Jose"/>
    <s v="95112-1023"/>
    <s v="AR4414G-AS"/>
    <s v="OPT RX 85-1002MHZ FWD HIGH-GAI"/>
    <s v="6901384"/>
    <s v="36.1"/>
    <x v="87"/>
    <n v="1949536"/>
    <d v="2016-07-27T00:00:00"/>
    <m/>
    <d v="2016-10-13T01:05:12"/>
    <d v="2016-10-17T00:00:00"/>
    <d v="2016-10-17T23:59:00"/>
    <m/>
    <n v="57"/>
    <m/>
    <n v="9806.2800000000007"/>
    <m/>
    <s v="HE64"/>
    <s v="NWK ACCESS TECH"/>
    <s v="HEO"/>
    <s v="TRANSMITTER"/>
    <s v="HT"/>
    <s v="AUR-RAW MATERIAL ORDER"/>
    <s v="A-SURFACE"/>
    <s v="OP"/>
    <n v="1241987"/>
    <s v="A-SURFACE"/>
    <m/>
    <m/>
    <m/>
    <s v="A-SURFACE"/>
    <s v="LTL"/>
    <s v="EXW"/>
    <s v="Collect"/>
    <m/>
    <m/>
    <s v="Arris provides transportation to NSG"/>
    <m/>
    <m/>
    <m/>
    <m/>
    <s v="0"/>
    <s v="0"/>
  </r>
  <r>
    <s v="SJ2"/>
    <s v="5033308"/>
    <s v="NSG TECHNOLOGY INC"/>
    <s v="161827"/>
    <s v="R016P41L1B01"/>
    <s v="SJ2_STAG"/>
    <s v="NSG Technology, Inc."/>
    <s v="1705 Junction Ct Ste 200"/>
    <s v="CA"/>
    <s v="San Jose"/>
    <s v="95112-1023"/>
    <s v="NCM3800-1L"/>
    <s v="FW JUMPER NCM3800 NODE"/>
    <s v="6901384"/>
    <s v="4.1"/>
    <x v="86"/>
    <n v="1945183"/>
    <d v="2016-07-27T00:00:00"/>
    <m/>
    <d v="2016-10-07T01:04:01"/>
    <d v="2016-10-11T00:00:00"/>
    <d v="2016-10-11T23:59:00"/>
    <m/>
    <n v="8"/>
    <n v="8"/>
    <n v="32.32"/>
    <n v="32.32"/>
    <s v="N050"/>
    <s v="NWK ACCESS TECH"/>
    <s v="NODE"/>
    <s v="HL NODE MISC AURORA"/>
    <s v="N050"/>
    <s v="AUR-RAW MATERIAL ORDER"/>
    <s v="A-SURFACE"/>
    <s v="OP"/>
    <n v="1238361"/>
    <s v="A-SURFACE"/>
    <m/>
    <m/>
    <m/>
    <s v="A-SURFACE"/>
    <s v="LTL"/>
    <s v="EXW"/>
    <s v="Collect"/>
    <m/>
    <m/>
    <s v="Arris provides transportation to NSG"/>
    <m/>
    <m/>
    <m/>
    <m/>
    <s v="0"/>
    <s v="0"/>
  </r>
  <r>
    <s v="SJ2"/>
    <s v="5033308"/>
    <s v="NSG TECHNOLOGY INC"/>
    <s v="161827"/>
    <s v="R015P53L2"/>
    <s v="SJ2_STAG"/>
    <s v="NSG Technology, Inc."/>
    <s v="1705 Junction Ct Ste 200"/>
    <s v="CA"/>
    <s v="San Jose"/>
    <s v="95112-1023"/>
    <s v="10-10324-1+"/>
    <s v="ASSY HOUSING 1W AN DX4 RoHS"/>
    <s v="6901384"/>
    <s v="48.1"/>
    <x v="87"/>
    <n v="1949536"/>
    <d v="2016-07-27T00:00:00"/>
    <m/>
    <d v="2016-10-13T01:05:12"/>
    <d v="2016-10-17T00:00:00"/>
    <d v="2016-10-17T23:59:00"/>
    <m/>
    <n v="41"/>
    <m/>
    <n v="246"/>
    <m/>
    <s v="CT30"/>
    <s v="NWK ACCESS TECH"/>
    <s v="ACCESS OTHER"/>
    <s v="OTHER AURORA"/>
    <s v="CT30"/>
    <s v="AUR-RAW MATERIAL ORDER"/>
    <s v="A-SURFACE"/>
    <s v="OP"/>
    <n v="1241987"/>
    <s v="A-SURFACE"/>
    <m/>
    <m/>
    <m/>
    <s v="A-SURFACE"/>
    <s v="LTL"/>
    <s v="EXW"/>
    <s v="Collect"/>
    <m/>
    <m/>
    <s v="Arris provides transportation to NSG"/>
    <m/>
    <m/>
    <m/>
    <m/>
    <s v="0"/>
    <s v="0"/>
  </r>
  <r>
    <s v="SJ2"/>
    <s v="5033308"/>
    <s v="NSG TECHNOLOGY INC"/>
    <s v="161827"/>
    <s v="R016P19L1B01"/>
    <s v="SJ2_STAG"/>
    <s v="NSG Technology, Inc."/>
    <s v="1705 Junction Ct Ste 200"/>
    <s v="CA"/>
    <s v="San Jose"/>
    <s v="95112-1023"/>
    <s v="NJC3800-3L"/>
    <s v="CABLE KIT 12.5&quot; NODE"/>
    <s v="6901384"/>
    <s v="5.1"/>
    <x v="86"/>
    <n v="1945183"/>
    <d v="2016-07-27T00:00:00"/>
    <m/>
    <d v="2016-10-07T01:04:01"/>
    <d v="2016-10-11T00:00:00"/>
    <d v="2016-10-11T23:59:00"/>
    <m/>
    <n v="24"/>
    <n v="24"/>
    <n v="87.84"/>
    <n v="87.84"/>
    <s v="N224"/>
    <s v="NWK ACCESS TECH"/>
    <s v="ACCESS OTHER"/>
    <s v="OTHER AURORA"/>
    <s v="N224"/>
    <s v="AUR-RAW MATERIAL ORDER"/>
    <s v="A-SURFACE"/>
    <s v="OP"/>
    <n v="1238361"/>
    <s v="A-SURFACE"/>
    <m/>
    <m/>
    <m/>
    <s v="A-SURFACE"/>
    <s v="LTL"/>
    <s v="EXW"/>
    <s v="Collect"/>
    <m/>
    <m/>
    <s v="Arris provides transportation to NSG"/>
    <m/>
    <m/>
    <m/>
    <m/>
    <s v="0"/>
    <s v="0"/>
  </r>
  <r>
    <s v="SJ2"/>
    <s v="5033308"/>
    <s v="NSG TECHNOLOGY INC"/>
    <s v="161827"/>
    <s v="R015P22L2"/>
    <s v="SJ2_STAG"/>
    <s v="NSG Technology, Inc."/>
    <s v="1705 Junction Ct Ste 200"/>
    <s v="CA"/>
    <s v="San Jose"/>
    <s v="95112-1023"/>
    <s v="NFT3000-1L"/>
    <s v="NODE FIBER TRAY HFC"/>
    <s v="6901393"/>
    <s v="5.1"/>
    <x v="88"/>
    <n v="1945183"/>
    <d v="2016-08-11T00:00:00"/>
    <m/>
    <d v="2016-10-07T01:04:01"/>
    <d v="2016-10-11T00:00:00"/>
    <d v="2016-10-11T23:59:00"/>
    <m/>
    <n v="2"/>
    <n v="2"/>
    <n v="9.86"/>
    <n v="9.86"/>
    <s v="N224"/>
    <s v="NWK ACCESS TECH"/>
    <s v="ACCESS OTHER"/>
    <s v="OTHER AURORA"/>
    <s v="N224"/>
    <s v="AUR-RAW MATERIAL ORDER"/>
    <s v="A-SURFACE"/>
    <s v="OP"/>
    <n v="1238361"/>
    <s v="A-SURFACE"/>
    <m/>
    <m/>
    <m/>
    <s v="A-SURFACE"/>
    <s v="LTL"/>
    <s v="EXW"/>
    <s v="Collect"/>
    <m/>
    <m/>
    <s v="Arris provides transportation to NSG"/>
    <m/>
    <m/>
    <m/>
    <m/>
    <s v="0"/>
    <s v="0"/>
  </r>
  <r>
    <s v="SJ2"/>
    <s v="5033537"/>
    <s v="DERY TELECOM"/>
    <s v="LA BAIE"/>
    <m/>
    <s v="SJ2_STAG"/>
    <s v="DERYTELECOM"/>
    <s v="531 RUE ALBERT"/>
    <s v="QC"/>
    <s v="LA BAIE"/>
    <s v="G7B 3L5"/>
    <s v="OP9401-0-R2-AS"/>
    <s v="FILTER CWDM/1310 S-CASE 2.0MM"/>
    <s v="92001322"/>
    <s v="9.1"/>
    <x v="89"/>
    <n v="1945921"/>
    <d v="2016-08-25T10:38:34"/>
    <m/>
    <d v="2016-10-08T03:52:12"/>
    <d v="2016-08-25T00:00:00"/>
    <d v="2016-10-10T23:59:00"/>
    <m/>
    <n v="1"/>
    <m/>
    <n v="252"/>
    <m/>
    <s v="N156"/>
    <s v="NWK ACCESS TECH"/>
    <s v="ACCESS OTHER"/>
    <s v="OTHER AURORA"/>
    <s v="N156"/>
    <s v="UK-STANDARD ORDER MIXED"/>
    <s v="A-SURFACE"/>
    <s v="OP"/>
    <n v="1239007"/>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m/>
    <s v="SJ2_STAG"/>
    <s v="DERYTELECOM"/>
    <s v="531 RUE ALBERT"/>
    <s v="QC"/>
    <s v="LA BAIE"/>
    <m/>
    <s v="OP9401-0-R2-AS"/>
    <s v="FILTER CWDM/1310 S-CASE 2.0MM"/>
    <s v="92001326"/>
    <s v="9.1"/>
    <x v="90"/>
    <n v="1945921"/>
    <d v="2016-08-25T12:10:36"/>
    <m/>
    <d v="2016-10-08T03:52:12"/>
    <d v="2016-08-25T00:00:00"/>
    <d v="2016-10-10T23:59:00"/>
    <m/>
    <n v="1"/>
    <m/>
    <n v="252"/>
    <m/>
    <s v="N156"/>
    <s v="NWK ACCESS TECH"/>
    <s v="ACCESS OTHER"/>
    <s v="OTHER AURORA"/>
    <s v="N156"/>
    <s v="UK-STANDARD ORDER MIXED"/>
    <s v="A-SURFACE"/>
    <s v="OP"/>
    <n v="1239007"/>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7777"/>
    <s v="SCSK CORPORATION"/>
    <s v="SCSK C/O NEC NETWORK"/>
    <s v="STAGE"/>
    <s v="SJ2_FOB"/>
    <s v="SCSK CORPORATION"/>
    <s v="NEC NETWORKS &amp; SYSTEM INTECGRATION CORPORATION"/>
    <s v="TOKYO"/>
    <s v="KOTO-KU"/>
    <s v="135-0053"/>
    <s v="OA4324HG-60"/>
    <s v="RF MODULE GaN FD 2x2 5-60MHz R"/>
    <s v="20116211"/>
    <s v="2.1"/>
    <x v="91"/>
    <n v="1948343"/>
    <d v="2016-10-11T04:25:53"/>
    <m/>
    <d v="2016-10-11T23:04:44"/>
    <d v="2016-10-11T00:00:00"/>
    <d v="2016-10-11T23:59:00"/>
    <m/>
    <n v="2"/>
    <m/>
    <n v="3000"/>
    <m/>
    <s v="CT30"/>
    <s v="NWK ACCESS TECH"/>
    <s v="ACCESS OTHER"/>
    <s v="OTHER AURORA"/>
    <s v="CT30"/>
    <s v="AS-DEFECTIVE MIXED"/>
    <s v="FEDEX ECONOMY"/>
    <s v="OP"/>
    <n v="1241316"/>
    <s v="FEDEX"/>
    <m/>
    <m/>
    <m/>
    <s v="FEDERAL EXPRESS"/>
    <s v="ECO"/>
    <s v="DDP"/>
    <s v="Prepaid"/>
    <m/>
    <m/>
    <s v="This is DOA replacement order. Please ship the order via FEDEX Economy Service using ARRIS Account#."/>
    <m/>
    <m/>
    <m/>
    <m/>
    <s v="0"/>
    <s v="0"/>
  </r>
  <r>
    <s v="SJ2"/>
    <s v="5037777"/>
    <s v="SCSK CORPORATION"/>
    <s v="SCSK C/O NEC NETWORK"/>
    <s v="R016P10L2B01"/>
    <s v="SJ2_FOB"/>
    <s v="SCSK CORPORATION"/>
    <s v="NEC NETWORKS &amp; SYSTEM INTECGRATION CORPORATION"/>
    <s v="TOKYO"/>
    <s v="KOTO-KU"/>
    <s v="135-0053"/>
    <s v="OS32M2S-00-AS"/>
    <s v="OPT SWITCH 2X1 MASTER/SLAVE SC"/>
    <s v="20116217"/>
    <s v="2.1"/>
    <x v="92"/>
    <n v="1948343"/>
    <d v="2016-10-11T05:40:54"/>
    <m/>
    <d v="2016-10-11T23:04:44"/>
    <d v="2016-10-11T00:00:00"/>
    <d v="2016-10-11T23:59:00"/>
    <m/>
    <n v="1"/>
    <n v="1"/>
    <n v="1197"/>
    <n v="1197"/>
    <s v="N171"/>
    <s v="NWK ACCESS TECH"/>
    <s v="HEO"/>
    <s v="HEO MISC AURORA"/>
    <s v="N171"/>
    <s v="AS-DEFECTIVE MIXED"/>
    <s v="FEDEX ECONOMY"/>
    <s v="OP"/>
    <n v="1241316"/>
    <s v="FEDEX"/>
    <m/>
    <m/>
    <m/>
    <s v="FEDERAL EXPRESS"/>
    <s v="ECO"/>
    <s v="DDP"/>
    <s v="Prepaid"/>
    <m/>
    <m/>
    <s v="This is DOA replacement order. Pleaser ship via FEDEX Economy usin ARRIS Account#"/>
    <m/>
    <m/>
    <m/>
    <m/>
    <s v="0"/>
    <s v="0"/>
  </r>
  <r>
    <s v="SJ2"/>
    <s v="5037777"/>
    <s v="SCSK CORPORATION"/>
    <s v="167891"/>
    <s v="R015P39L3"/>
    <s v="SJ2_STAG"/>
    <s v="SCSK USA Inc."/>
    <s v="SCSK Corporation C/O NEC Networks &amp; System Integration"/>
    <m/>
    <s v="TOKYO"/>
    <s v="3-8-10"/>
    <s v="DT4250N-50-00"/>
    <s v="DGTL XCVR ENH MULTI-MODES OF O"/>
    <s v="6900882"/>
    <s v="2.1"/>
    <x v="93"/>
    <n v="1920709"/>
    <d v="2016-07-15T00:00:00"/>
    <m/>
    <d v="2016-09-13T11:03:21"/>
    <d v="2016-09-15T00:00:00"/>
    <d v="2016-09-15T23:59:00"/>
    <m/>
    <n v="5"/>
    <n v="5"/>
    <n v="1360"/>
    <n v="1360"/>
    <s v="N065"/>
    <s v="NWK ACCESS TECH"/>
    <s v="NODE"/>
    <s v="NODE MISC AURORA"/>
    <s v="N065"/>
    <s v="AUR-STANDARD ORDER MIXED"/>
    <s v="HNSH-Air"/>
    <s v="OP"/>
    <n v="1224483"/>
    <s v="HNSH"/>
    <m/>
    <m/>
    <m/>
    <s v="HNSH"/>
    <s v="TW1"/>
    <s v="EXW"/>
    <s v="Third Party Billing"/>
    <m/>
    <m/>
    <s v="Ship Hankyu, if critical shipment and missed pick up time, email orders@scsusa.com for approval to ship FedEx"/>
    <m/>
    <m/>
    <m/>
    <m/>
    <s v="0"/>
    <s v="0"/>
  </r>
  <r>
    <s v="SJ2"/>
    <s v="5037777"/>
    <s v="SCSK CORPORATION"/>
    <s v="167891"/>
    <s v="R016P40L4B01"/>
    <s v="SJ2_STAG"/>
    <s v="SCSK USA Inc."/>
    <s v="SCSK Corporation C/O NEC Networks &amp; System Integration"/>
    <m/>
    <s v="TOKYO"/>
    <s v="3-8-10"/>
    <s v="CH3000N"/>
    <s v="CHASSIS NO COVERS 3RU"/>
    <s v="6901227"/>
    <s v="13.1"/>
    <x v="94"/>
    <n v="1944026"/>
    <d v="2016-08-11T00:00:00"/>
    <m/>
    <d v="2016-10-06T01:04:01"/>
    <d v="2016-10-10T00:00:00"/>
    <d v="2016-10-10T23:59:00"/>
    <m/>
    <n v="3"/>
    <n v="3"/>
    <n v="672"/>
    <n v="672"/>
    <s v="N199"/>
    <s v="NWK ACCESS TECH"/>
    <s v="HEO"/>
    <s v="HEO MISC AURORA"/>
    <s v="N199"/>
    <s v="AUR-STANDARD ORDER MIXED"/>
    <s v="HNSH-Air"/>
    <s v="OP"/>
    <n v="1237749"/>
    <s v="HNSH"/>
    <m/>
    <m/>
    <m/>
    <s v="HNSH"/>
    <s v="TW1"/>
    <s v="EXW"/>
    <s v="Third Party Billing"/>
    <m/>
    <m/>
    <s v="Ship Hankyu, if critical shipment and missed pick up time, email orders@scsusa.com for approval to ship FedEx"/>
    <m/>
    <m/>
    <m/>
    <m/>
    <s v="0"/>
    <s v="0"/>
  </r>
  <r>
    <s v="SJ2"/>
    <s v="5037777"/>
    <s v="SCSK CORPORATION"/>
    <s v="167891"/>
    <s v="R016P37L1B01"/>
    <s v="SJ2_STAG"/>
    <s v="SCSK USA Inc."/>
    <s v="SCSK Corporation C/O NEC Networks &amp; System Integration"/>
    <m/>
    <s v="TOKYO"/>
    <s v="3-8-10"/>
    <s v="CH3000N"/>
    <s v="CHASSIS NO COVERS 3RU"/>
    <s v="6901227"/>
    <s v="13.1"/>
    <x v="94"/>
    <n v="1944026"/>
    <d v="2016-08-11T00:00:00"/>
    <m/>
    <d v="2016-10-06T01:04:01"/>
    <d v="2016-10-10T00:00:00"/>
    <d v="2016-10-10T23:59:00"/>
    <m/>
    <n v="6"/>
    <n v="6"/>
    <n v="1344"/>
    <n v="1344"/>
    <s v="N199"/>
    <s v="NWK ACCESS TECH"/>
    <s v="HEO"/>
    <s v="HEO MISC AURORA"/>
    <s v="N199"/>
    <s v="AUR-STANDARD ORDER MIXED"/>
    <s v="HNSH-Air"/>
    <s v="OP"/>
    <n v="1237749"/>
    <s v="HNSH"/>
    <m/>
    <m/>
    <m/>
    <s v="HNSH"/>
    <s v="TW1"/>
    <s v="EXW"/>
    <s v="Third Party Billing"/>
    <m/>
    <m/>
    <s v="Ship Hankyu, if critical shipment and missed pick up time, email orders@scsusa.com for approval to ship FedEx"/>
    <m/>
    <m/>
    <m/>
    <m/>
    <s v="0"/>
    <s v="0"/>
  </r>
  <r>
    <s v="SJ2"/>
    <s v="5037777"/>
    <s v="SCSK CORPORATION"/>
    <s v="167891"/>
    <s v="R015P07L1"/>
    <s v="SJ2_STAG"/>
    <s v="SCSK USA Inc."/>
    <s v="SCSK Corporation C/O NEC Networks &amp; System Integration"/>
    <m/>
    <s v="TOKYO"/>
    <s v="3-8-10"/>
    <s v="CH3000U-FM-01"/>
    <s v="SHELF FIBER ROUTING CH3000 1RU"/>
    <s v="6901227"/>
    <s v="14.1"/>
    <x v="94"/>
    <n v="1944026"/>
    <d v="2016-08-11T00:00:00"/>
    <m/>
    <d v="2016-10-06T01:04:01"/>
    <d v="2016-10-10T00:00:00"/>
    <d v="2016-10-10T23:59:00"/>
    <m/>
    <n v="9"/>
    <n v="9"/>
    <n v="342"/>
    <n v="342"/>
    <s v="N199"/>
    <s v="NWK ACCESS TECH"/>
    <s v="HEO"/>
    <s v="HEO MISC AURORA"/>
    <s v="N199"/>
    <s v="AUR-STANDARD ORDER MIXED"/>
    <s v="HNSH-Air"/>
    <s v="OP"/>
    <n v="1237749"/>
    <s v="HNSH"/>
    <m/>
    <m/>
    <m/>
    <s v="HNSH"/>
    <s v="TW1"/>
    <s v="EXW"/>
    <s v="Third Party Billing"/>
    <m/>
    <m/>
    <s v="Ship Hankyu, if critical shipment and missed pick up time, email orders@scsusa.com for approval to ship FedEx"/>
    <m/>
    <m/>
    <m/>
    <m/>
    <s v="0"/>
    <s v="0"/>
  </r>
  <r>
    <s v="SJ2"/>
    <s v="5037777"/>
    <s v="SCSK CORPORATION"/>
    <s v="167891"/>
    <s v="R015P18L2"/>
    <s v="SJ2_STAG"/>
    <s v="SCSK USA Inc."/>
    <s v="SCSK Corporation C/O NEC Networks &amp; System Integration"/>
    <m/>
    <s v="TOKYO"/>
    <s v="3-8-10"/>
    <s v="PS3005D"/>
    <s v="POWER SUPPLY 250W CE TUV W/DIS"/>
    <s v="6901227"/>
    <s v="16.1"/>
    <x v="94"/>
    <n v="1944025"/>
    <d v="2016-08-11T00:00:00"/>
    <m/>
    <d v="2016-10-06T01:04:01"/>
    <d v="2016-10-10T00:00:00"/>
    <d v="2016-10-10T23:59:00"/>
    <m/>
    <n v="8"/>
    <n v="8"/>
    <n v="4488"/>
    <n v="4488"/>
    <s v="N204"/>
    <s v="NWK ACCESS TECH"/>
    <s v="ACCESS OTHER"/>
    <s v="OTHER AURORA"/>
    <s v="N204"/>
    <s v="AUR-STANDARD ORDER MIXED"/>
    <s v="HNSH-Air"/>
    <s v="OP"/>
    <n v="1237749"/>
    <s v="HNSH"/>
    <m/>
    <m/>
    <m/>
    <s v="HNSH"/>
    <s v="TW1"/>
    <s v="EXW"/>
    <s v="Third Party Billing"/>
    <m/>
    <m/>
    <s v="Ship Hankyu, if critical shipment and missed pick up time, email orders@scsusa.com for approval to ship FedEx"/>
    <m/>
    <m/>
    <m/>
    <m/>
    <s v="0"/>
    <s v="0"/>
  </r>
  <r>
    <s v="SJ2"/>
    <s v="5037777"/>
    <s v="SCSK CORPORATION"/>
    <s v="167891"/>
    <s v="R016P39L4B02"/>
    <s v="SJ2_STAG"/>
    <s v="SCSK USA Inc."/>
    <s v="SCSK Corporation C/O NEC Networks &amp; System Integration"/>
    <m/>
    <s v="TOKYO"/>
    <s v="3-8-10"/>
    <s v="PS3005N"/>
    <s v="POWER SUPPLY 250W CE TUV W/O D"/>
    <s v="6901227"/>
    <s v="17.1"/>
    <x v="94"/>
    <n v="1944026"/>
    <d v="2016-08-11T00:00:00"/>
    <m/>
    <d v="2016-10-06T01:04:01"/>
    <d v="2016-10-10T00:00:00"/>
    <d v="2016-10-10T23:59:00"/>
    <m/>
    <n v="8"/>
    <n v="8"/>
    <n v="3768"/>
    <n v="3768"/>
    <s v="N204"/>
    <s v="NWK ACCESS TECH"/>
    <s v="ACCESS OTHER"/>
    <s v="OTHER AURORA"/>
    <s v="N204"/>
    <s v="AUR-STANDARD ORDER MIXED"/>
    <s v="HNSH-Air"/>
    <s v="OP"/>
    <n v="1237749"/>
    <s v="HNSH"/>
    <m/>
    <m/>
    <m/>
    <s v="HNSH"/>
    <s v="TW1"/>
    <s v="EXW"/>
    <s v="Third Party Billing"/>
    <m/>
    <m/>
    <s v="Ship Hankyu, if critical shipment and missed pick up time, email orders@scsusa.com for approval to ship FedEx"/>
    <m/>
    <m/>
    <m/>
    <m/>
    <s v="0"/>
    <s v="0"/>
  </r>
  <r>
    <s v="SJ2"/>
    <s v="5037777"/>
    <s v="SCSK CORPORATION"/>
    <s v="167891"/>
    <s v="REC1"/>
    <s v="SJ2_STAG"/>
    <s v="SCSK USA Inc."/>
    <s v="SCSK Corporation C/O NEC Networks &amp; System Integration"/>
    <m/>
    <s v="TOKYO"/>
    <s v="3-8-10"/>
    <s v="CX3002"/>
    <s v="COMMUNICATIONS MODULE"/>
    <s v="6901227"/>
    <s v="18.1"/>
    <x v="94"/>
    <n v="1944025"/>
    <d v="2016-08-11T00:00:00"/>
    <m/>
    <d v="2016-10-06T01:04:01"/>
    <d v="2016-10-10T00:00:00"/>
    <d v="2016-10-10T23:59:00"/>
    <m/>
    <n v="8"/>
    <n v="8"/>
    <n v="2960"/>
    <n v="2960"/>
    <s v="N080"/>
    <s v="NWK ACCESS TECH"/>
    <s v="HEO"/>
    <s v="HEO MISC AURORA"/>
    <s v="N080"/>
    <s v="AUR-STANDARD ORDER MIXED"/>
    <s v="HNSH-Air"/>
    <s v="OP"/>
    <n v="1237749"/>
    <s v="HNSH"/>
    <m/>
    <m/>
    <m/>
    <s v="HNSH"/>
    <s v="TW1"/>
    <s v="EXW"/>
    <s v="Third Party Billing"/>
    <m/>
    <m/>
    <s v="Ship Hankyu, if critical shipment and missed pick up time, email orders@scsusa.com for approval to ship FedEx"/>
    <m/>
    <m/>
    <m/>
    <m/>
    <s v="0"/>
    <s v="0"/>
  </r>
  <r>
    <s v="SJ2"/>
    <s v="5037777"/>
    <s v="SCSK CORPORATION"/>
    <s v="167891"/>
    <s v="R017P65L4"/>
    <s v="SJ2_STAG"/>
    <s v="SCSK USA Inc."/>
    <s v="SCSK Corporation C/O NEC Networks &amp; System Integration"/>
    <m/>
    <s v="TOKYO"/>
    <s v="3-8-10"/>
    <s v="DR3450N-50-00"/>
    <s v="DIGITAL RECEIVER Q-RX 2.125GBP"/>
    <s v="6901227"/>
    <s v="5.1"/>
    <x v="94"/>
    <n v="1944026"/>
    <d v="2016-08-11T00:00:00"/>
    <m/>
    <d v="2016-10-06T01:04:01"/>
    <d v="2016-10-10T00:00:00"/>
    <d v="2016-10-10T23:59:00"/>
    <m/>
    <n v="7"/>
    <n v="7"/>
    <n v="7616"/>
    <n v="7616"/>
    <s v="N275"/>
    <s v="NWK ACCESS TECH"/>
    <s v="HEO"/>
    <s v="RECEIVERS AURORA"/>
    <s v="N275"/>
    <s v="AUR-STANDARD ORDER MIXED"/>
    <s v="HNSH-Air"/>
    <s v="OP"/>
    <n v="1237749"/>
    <s v="HNSH"/>
    <m/>
    <m/>
    <m/>
    <s v="HNSH"/>
    <s v="TW1"/>
    <s v="EXW"/>
    <s v="Third Party Billing"/>
    <m/>
    <m/>
    <s v="Ship Hankyu, if critical shipment and missed pick up time, email orders@scsusa.com for approval to ship FedEx"/>
    <m/>
    <m/>
    <m/>
    <m/>
    <s v="0"/>
    <s v="0"/>
  </r>
  <r>
    <s v="SJ2"/>
    <s v="5037777"/>
    <s v="SCSK CORPORATION"/>
    <s v="167891"/>
    <s v="R017P57L2"/>
    <s v="SJ2_STAG"/>
    <s v="SCSK USA Inc."/>
    <s v="SCSK Corporation C/O NEC Networks &amp; System Integration"/>
    <m/>
    <s v="TOKYO"/>
    <s v="3-8-10"/>
    <s v="DR3450N-50-00"/>
    <s v="DIGITAL RECEIVER Q-RX 2.125GBP"/>
    <s v="6901227"/>
    <s v="5.1"/>
    <x v="94"/>
    <n v="1944026"/>
    <d v="2016-08-11T00:00:00"/>
    <m/>
    <d v="2016-10-06T01:04:01"/>
    <d v="2016-10-10T00:00:00"/>
    <d v="2016-10-10T23:59:00"/>
    <m/>
    <n v="6"/>
    <n v="6"/>
    <n v="6528"/>
    <n v="6528"/>
    <s v="N275"/>
    <s v="NWK ACCESS TECH"/>
    <s v="HEO"/>
    <s v="RECEIVERS AURORA"/>
    <s v="N275"/>
    <s v="AUR-STANDARD ORDER MIXED"/>
    <s v="HNSH-Air"/>
    <s v="OP"/>
    <n v="1237749"/>
    <s v="HNSH"/>
    <m/>
    <m/>
    <m/>
    <s v="HNSH"/>
    <s v="TW1"/>
    <s v="EXW"/>
    <s v="Third Party Billing"/>
    <m/>
    <m/>
    <s v="Ship Hankyu, if critical shipment and missed pick up time, email orders@scsusa.com for approval to ship FedEx"/>
    <m/>
    <m/>
    <m/>
    <m/>
    <s v="0"/>
    <s v="0"/>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r>
    <m/>
    <m/>
    <m/>
    <m/>
    <m/>
    <m/>
    <m/>
    <m/>
    <m/>
    <m/>
    <m/>
    <m/>
    <m/>
    <m/>
    <m/>
    <x v="95"/>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F7:G60" firstHeaderRow="1" firstDataRow="1" firstDataCol="1"/>
  <pivotFields count="49">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Row" showAll="0" defaultSubtotal="0">
      <items count="218">
        <item m="1" x="179"/>
        <item m="1" x="214"/>
        <item m="1" x="127"/>
        <item m="1" x="111"/>
        <item x="51"/>
        <item m="1" x="84"/>
        <item m="1" x="93"/>
        <item m="1" x="101"/>
        <item m="1" x="112"/>
        <item m="1" x="134"/>
        <item m="1" x="143"/>
        <item m="1" x="162"/>
        <item m="1" x="102"/>
        <item m="1" x="79"/>
        <item m="1" x="58"/>
        <item m="1" x="87"/>
        <item m="1" x="61"/>
        <item m="1" x="121"/>
        <item m="1" x="152"/>
        <item m="1" x="156"/>
        <item m="1" x="155"/>
        <item m="1" x="149"/>
        <item m="1" x="215"/>
        <item m="1" x="135"/>
        <item m="1" x="193"/>
        <item m="1" x="74"/>
        <item m="1" x="122"/>
        <item m="1" x="106"/>
        <item m="1" x="116"/>
        <item m="1" x="75"/>
        <item m="1" x="154"/>
        <item m="1" x="203"/>
        <item m="1" x="190"/>
        <item m="1" x="129"/>
        <item m="1" x="63"/>
        <item m="1" x="65"/>
        <item m="1" x="164"/>
        <item m="1" x="170"/>
        <item x="39"/>
        <item m="1" x="182"/>
        <item m="1" x="206"/>
        <item m="1" x="216"/>
        <item m="1" x="117"/>
        <item m="1" x="95"/>
        <item m="1" x="174"/>
        <item m="1" x="180"/>
        <item m="1" x="66"/>
        <item m="1" x="96"/>
        <item m="1" x="207"/>
        <item m="1" x="136"/>
        <item m="1" x="168"/>
        <item m="1" x="175"/>
        <item m="1" x="176"/>
        <item m="1" x="172"/>
        <item m="1" x="113"/>
        <item m="1" x="120"/>
        <item m="1" x="140"/>
        <item x="43"/>
        <item m="1" x="181"/>
        <item x="31"/>
        <item m="1" x="173"/>
        <item m="1" x="56"/>
        <item m="1" x="110"/>
        <item m="1" x="52"/>
        <item m="1" x="128"/>
        <item m="1" x="192"/>
        <item m="1" x="103"/>
        <item m="1" x="153"/>
        <item m="1" x="209"/>
        <item m="1" x="123"/>
        <item m="1" x="188"/>
        <item m="1" x="94"/>
        <item m="1" x="167"/>
        <item x="15"/>
        <item m="1" x="141"/>
        <item m="1" x="118"/>
        <item m="1" x="204"/>
        <item m="1" x="210"/>
        <item m="1" x="98"/>
        <item m="1" x="211"/>
        <item m="1" x="114"/>
        <item m="1" x="205"/>
        <item m="1" x="184"/>
        <item m="1" x="177"/>
        <item m="1" x="196"/>
        <item m="1" x="64"/>
        <item m="1" x="212"/>
        <item m="1" x="137"/>
        <item m="1" x="85"/>
        <item m="1" x="86"/>
        <item m="1" x="199"/>
        <item m="1" x="138"/>
        <item m="1" x="183"/>
        <item m="1" x="81"/>
        <item m="1" x="71"/>
        <item x="45"/>
        <item m="1" x="146"/>
        <item m="1" x="194"/>
        <item m="1" x="80"/>
        <item m="1" x="145"/>
        <item m="1" x="100"/>
        <item m="1" x="161"/>
        <item m="1" x="53"/>
        <item m="1" x="171"/>
        <item m="1" x="119"/>
        <item m="1" x="97"/>
        <item m="1" x="217"/>
        <item m="1" x="90"/>
        <item m="1" x="72"/>
        <item m="1" x="108"/>
        <item m="1" x="91"/>
        <item m="1" x="67"/>
        <item m="1" x="59"/>
        <item m="1" x="169"/>
        <item m="1" x="185"/>
        <item m="1" x="124"/>
        <item m="1" x="142"/>
        <item m="1" x="76"/>
        <item x="16"/>
        <item m="1" x="187"/>
        <item m="1" x="62"/>
        <item m="1" x="88"/>
        <item m="1" x="157"/>
        <item x="5"/>
        <item m="1" x="159"/>
        <item m="1" x="144"/>
        <item m="1" x="57"/>
        <item x="26"/>
        <item x="27"/>
        <item m="1" x="151"/>
        <item m="1" x="165"/>
        <item m="1" x="186"/>
        <item m="1" x="107"/>
        <item m="1" x="99"/>
        <item m="1" x="82"/>
        <item m="1" x="158"/>
        <item m="1" x="150"/>
        <item m="1" x="130"/>
        <item m="1" x="147"/>
        <item m="1" x="163"/>
        <item m="1" x="77"/>
        <item x="21"/>
        <item m="1" x="160"/>
        <item m="1" x="68"/>
        <item m="1" x="201"/>
        <item x="6"/>
        <item m="1" x="131"/>
        <item m="1" x="55"/>
        <item x="18"/>
        <item x="20"/>
        <item m="1" x="70"/>
        <item m="1" x="73"/>
        <item m="1" x="60"/>
        <item m="1" x="166"/>
        <item x="34"/>
        <item x="44"/>
        <item m="1" x="148"/>
        <item m="1" x="125"/>
        <item m="1" x="89"/>
        <item x="29"/>
        <item x="32"/>
        <item m="1" x="126"/>
        <item m="1" x="198"/>
        <item m="1" x="104"/>
        <item x="4"/>
        <item x="17"/>
        <item x="0"/>
        <item m="1" x="189"/>
        <item x="30"/>
        <item x="2"/>
        <item m="1" x="202"/>
        <item x="48"/>
        <item x="7"/>
        <item x="33"/>
        <item m="1" x="197"/>
        <item m="1" x="92"/>
        <item m="1" x="200"/>
        <item m="1" x="78"/>
        <item m="1" x="115"/>
        <item x="35"/>
        <item m="1" x="83"/>
        <item x="25"/>
        <item m="1" x="208"/>
        <item x="19"/>
        <item x="46"/>
        <item m="1" x="213"/>
        <item x="28"/>
        <item x="47"/>
        <item m="1" x="178"/>
        <item m="1" x="132"/>
        <item m="1" x="54"/>
        <item m="1" x="105"/>
        <item m="1" x="191"/>
        <item x="49"/>
        <item x="3"/>
        <item x="36"/>
        <item m="1" x="133"/>
        <item x="50"/>
        <item m="1" x="139"/>
        <item m="1" x="109"/>
        <item x="10"/>
        <item x="9"/>
        <item x="37"/>
        <item x="1"/>
        <item x="11"/>
        <item m="1" x="69"/>
        <item m="1" x="195"/>
        <item x="8"/>
        <item x="12"/>
        <item x="22"/>
        <item x="23"/>
        <item x="38"/>
        <item x="41"/>
        <item x="42"/>
        <item x="13"/>
        <item x="14"/>
        <item x="24"/>
        <item x="4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9"/>
  </rowFields>
  <rowItems count="53">
    <i>
      <x v="4"/>
    </i>
    <i>
      <x v="38"/>
    </i>
    <i>
      <x v="57"/>
    </i>
    <i>
      <x v="59"/>
    </i>
    <i>
      <x v="73"/>
    </i>
    <i>
      <x v="95"/>
    </i>
    <i>
      <x v="118"/>
    </i>
    <i>
      <x v="123"/>
    </i>
    <i>
      <x v="127"/>
    </i>
    <i>
      <x v="128"/>
    </i>
    <i>
      <x v="141"/>
    </i>
    <i>
      <x v="145"/>
    </i>
    <i>
      <x v="148"/>
    </i>
    <i>
      <x v="149"/>
    </i>
    <i>
      <x v="154"/>
    </i>
    <i>
      <x v="155"/>
    </i>
    <i>
      <x v="159"/>
    </i>
    <i>
      <x v="160"/>
    </i>
    <i>
      <x v="164"/>
    </i>
    <i>
      <x v="165"/>
    </i>
    <i>
      <x v="166"/>
    </i>
    <i>
      <x v="168"/>
    </i>
    <i>
      <x v="169"/>
    </i>
    <i>
      <x v="171"/>
    </i>
    <i>
      <x v="172"/>
    </i>
    <i>
      <x v="173"/>
    </i>
    <i>
      <x v="179"/>
    </i>
    <i>
      <x v="181"/>
    </i>
    <i>
      <x v="183"/>
    </i>
    <i>
      <x v="184"/>
    </i>
    <i>
      <x v="186"/>
    </i>
    <i>
      <x v="187"/>
    </i>
    <i>
      <x v="193"/>
    </i>
    <i>
      <x v="194"/>
    </i>
    <i>
      <x v="195"/>
    </i>
    <i>
      <x v="197"/>
    </i>
    <i>
      <x v="200"/>
    </i>
    <i>
      <x v="201"/>
    </i>
    <i>
      <x v="202"/>
    </i>
    <i>
      <x v="203"/>
    </i>
    <i>
      <x v="204"/>
    </i>
    <i>
      <x v="207"/>
    </i>
    <i>
      <x v="208"/>
    </i>
    <i>
      <x v="209"/>
    </i>
    <i>
      <x v="210"/>
    </i>
    <i>
      <x v="211"/>
    </i>
    <i>
      <x v="212"/>
    </i>
    <i>
      <x v="213"/>
    </i>
    <i>
      <x v="214"/>
    </i>
    <i>
      <x v="215"/>
    </i>
    <i>
      <x v="216"/>
    </i>
    <i>
      <x v="217"/>
    </i>
    <i t="grand">
      <x/>
    </i>
  </rowItems>
  <colItems count="1">
    <i/>
  </colItems>
  <dataFields count="1">
    <dataField name="Count of DELIVERY_ID" fld="15" subtotal="count" baseField="0" baseItem="0"/>
  </dataFields>
  <formats count="4">
    <format dxfId="285">
      <pivotArea type="all" dataOnly="0" outline="0" fieldPosition="0"/>
    </format>
    <format dxfId="284">
      <pivotArea outline="0" collapsedLevelsAreSubtotals="1" fieldPosition="0"/>
    </format>
    <format dxfId="283">
      <pivotArea dataOnly="0" labelOnly="1" outline="0" axis="axisValues" fieldPosition="0"/>
    </format>
    <format dxfId="28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7:B117" firstHeaderRow="1" firstDataRow="1" firstDataCol="1"/>
  <pivotFields count="11">
    <pivotField axis="axisRow" showAll="0">
      <items count="20">
        <item h="1" x="0"/>
        <item h="1" x="1"/>
        <item h="1" x="2"/>
        <item h="1" x="3"/>
        <item h="1" x="4"/>
        <item h="1" x="5"/>
        <item h="1" x="6"/>
        <item h="1" x="7"/>
        <item h="1" x="8"/>
        <item h="1" x="9"/>
        <item h="1" x="10"/>
        <item h="1" x="11"/>
        <item h="1" x="12"/>
        <item h="1" x="18"/>
        <item h="1" x="13"/>
        <item h="1" x="14"/>
        <item h="1" x="15"/>
        <item x="16"/>
        <item x="17"/>
        <item t="default"/>
      </items>
    </pivotField>
    <pivotField showAll="0"/>
    <pivotField showAll="0"/>
    <pivotField showAll="0"/>
    <pivotField showAll="0"/>
    <pivotField showAll="0"/>
    <pivotField axis="axisRow" showAll="0">
      <items count="217">
        <item x="2"/>
        <item x="1"/>
        <item x="0"/>
        <item x="5"/>
        <item x="4"/>
        <item x="3"/>
        <item x="6"/>
        <item x="9"/>
        <item x="10"/>
        <item x="7"/>
        <item x="8"/>
        <item x="11"/>
        <item x="12"/>
        <item x="13"/>
        <item x="14"/>
        <item x="15"/>
        <item x="16"/>
        <item x="17"/>
        <item x="18"/>
        <item x="19"/>
        <item x="21"/>
        <item x="20"/>
        <item x="22"/>
        <item x="23"/>
        <item x="24"/>
        <item x="25"/>
        <item x="26"/>
        <item x="27"/>
        <item x="28"/>
        <item x="29"/>
        <item x="30"/>
        <item x="31"/>
        <item x="32"/>
        <item x="33"/>
        <item x="34"/>
        <item x="35"/>
        <item x="36"/>
        <item x="38"/>
        <item x="40"/>
        <item x="39"/>
        <item x="37"/>
        <item x="41"/>
        <item x="42"/>
        <item x="51"/>
        <item x="52"/>
        <item x="53"/>
        <item x="54"/>
        <item x="55"/>
        <item x="49"/>
        <item x="50"/>
        <item x="48"/>
        <item x="46"/>
        <item x="43"/>
        <item x="47"/>
        <item x="44"/>
        <item x="45"/>
        <item x="59"/>
        <item x="56"/>
        <item x="57"/>
        <item x="58"/>
        <item x="215"/>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t="default"/>
      </items>
    </pivotField>
    <pivotField showAll="0"/>
    <pivotField showAll="0"/>
    <pivotField showAll="0"/>
    <pivotField showAll="0"/>
  </pivotFields>
  <rowFields count="2">
    <field x="0"/>
    <field x="6"/>
  </rowFields>
  <rowItems count="110">
    <i>
      <x v="17"/>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x v="18"/>
    </i>
    <i r="1">
      <x v="6"/>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t="grand">
      <x/>
    </i>
  </rowItems>
  <colItems count="1">
    <i/>
  </colItems>
  <formats count="5">
    <format dxfId="290">
      <pivotArea type="all" dataOnly="0" outline="0" fieldPosition="0"/>
    </format>
    <format dxfId="289">
      <pivotArea field="0" type="button" dataOnly="0" labelOnly="1" outline="0" axis="axisRow" fieldPosition="0"/>
    </format>
    <format dxfId="288">
      <pivotArea dataOnly="0" labelOnly="1" fieldPosition="0">
        <references count="1">
          <reference field="0" count="0"/>
        </references>
      </pivotArea>
    </format>
    <format dxfId="287">
      <pivotArea dataOnly="0" labelOnly="1" grandRow="1" outline="0" fieldPosition="0"/>
    </format>
    <format dxfId="286">
      <pivotArea dataOnly="0" labelOnly="1" fieldPosition="0">
        <references count="2">
          <reference field="0" count="0" selected="0"/>
          <reference field="6" count="16">
            <x v="19"/>
            <x v="61"/>
            <x v="62"/>
            <x v="63"/>
            <x v="64"/>
            <x v="65"/>
            <x v="66"/>
            <x v="67"/>
            <x v="68"/>
            <x v="69"/>
            <x v="70"/>
            <x v="71"/>
            <x v="72"/>
            <x v="73"/>
            <x v="74"/>
            <x v="7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2" applyNumberFormats="0" applyBorderFormats="0" applyFontFormats="0" applyPatternFormats="0" applyAlignmentFormats="0" applyWidthHeightFormats="1" dataCaption="Values" showError="1" updatedVersion="5" minRefreshableVersion="3" useAutoFormatting="1" itemPrintTitles="1" createdVersion="5" indent="0" compact="0" compactData="0" gridDropZones="1" multipleFieldFilters="0">
  <location ref="A3:G19" firstHeaderRow="1" firstDataRow="2" firstDataCol="1"/>
  <pivotFields count="17">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axis="axisCol" compact="0" outline="0" showAll="0">
      <items count="11">
        <item m="1" x="6"/>
        <item m="1" x="9"/>
        <item x="2"/>
        <item x="3"/>
        <item x="1"/>
        <item x="0"/>
        <item h="1" x="5"/>
        <item m="1" x="7"/>
        <item m="1" x="8"/>
        <item x="4"/>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howAll="0"/>
    <pivotField axis="axisRow" compact="0" outline="0" showAll="0" sortType="ascending">
      <items count="36">
        <item m="1" x="16"/>
        <item x="0"/>
        <item m="1" x="33"/>
        <item m="1" x="32"/>
        <item m="1" x="20"/>
        <item m="1" x="22"/>
        <item x="1"/>
        <item m="1" x="26"/>
        <item m="1" x="34"/>
        <item x="2"/>
        <item m="1" x="15"/>
        <item m="1" x="24"/>
        <item m="1" x="30"/>
        <item m="1" x="17"/>
        <item m="1" x="31"/>
        <item m="1" x="19"/>
        <item m="1" x="21"/>
        <item x="4"/>
        <item m="1" x="29"/>
        <item x="3"/>
        <item m="1" x="23"/>
        <item m="1" x="18"/>
        <item x="5"/>
        <item m="1" x="28"/>
        <item x="8"/>
        <item x="6"/>
        <item m="1" x="25"/>
        <item x="7"/>
        <item x="9"/>
        <item x="10"/>
        <item x="11"/>
        <item x="12"/>
        <item x="13"/>
        <item m="1" x="27"/>
        <item x="14"/>
        <item t="default"/>
      </items>
    </pivotField>
  </pivotFields>
  <rowFields count="1">
    <field x="16"/>
  </rowFields>
  <rowItems count="15">
    <i>
      <x v="1"/>
    </i>
    <i>
      <x v="6"/>
    </i>
    <i>
      <x v="9"/>
    </i>
    <i>
      <x v="17"/>
    </i>
    <i>
      <x v="19"/>
    </i>
    <i>
      <x v="22"/>
    </i>
    <i>
      <x v="24"/>
    </i>
    <i>
      <x v="25"/>
    </i>
    <i>
      <x v="27"/>
    </i>
    <i>
      <x v="28"/>
    </i>
    <i>
      <x v="29"/>
    </i>
    <i>
      <x v="30"/>
    </i>
    <i>
      <x v="31"/>
    </i>
    <i>
      <x v="32"/>
    </i>
    <i t="grand">
      <x/>
    </i>
  </rowItems>
  <colFields count="1">
    <field x="10"/>
  </colFields>
  <colItems count="6">
    <i>
      <x v="2"/>
    </i>
    <i>
      <x v="3"/>
    </i>
    <i>
      <x v="4"/>
    </i>
    <i>
      <x v="5"/>
    </i>
    <i>
      <x v="9"/>
    </i>
    <i t="grand">
      <x/>
    </i>
  </colItems>
  <dataFields count="1">
    <dataField name="Count of Line Ct" fld="1" subtotal="count" baseField="16" baseItem="10"/>
  </dataFields>
  <formats count="282">
    <format dxfId="281">
      <pivotArea outline="0" collapsedLevelsAreSubtotals="1" fieldPosition="0"/>
    </format>
    <format dxfId="280">
      <pivotArea outline="0" collapsedLevelsAreSubtotals="1" fieldPosition="0"/>
    </format>
    <format dxfId="279">
      <pivotArea dataOnly="0" labelOnly="1" fieldPosition="0">
        <references count="1">
          <reference field="16" count="13">
            <x v="0"/>
            <x v="2"/>
            <x v="3"/>
            <x v="5"/>
            <x v="7"/>
            <x v="8"/>
            <x v="10"/>
            <x v="11"/>
            <x v="13"/>
            <x v="14"/>
            <x v="16"/>
            <x v="18"/>
            <x v="21"/>
          </reference>
        </references>
      </pivotArea>
    </format>
    <format dxfId="278">
      <pivotArea grandCol="1" outline="0" collapsedLevelsAreSubtotals="1" fieldPosition="0"/>
    </format>
    <format dxfId="277">
      <pivotArea grandCol="1" outline="0" collapsedLevelsAreSubtotals="1" fieldPosition="0"/>
    </format>
    <format dxfId="276">
      <pivotArea grandCol="1" outline="0" collapsedLevelsAreSubtotals="1" fieldPosition="0"/>
    </format>
    <format dxfId="275">
      <pivotArea grandCol="1" outline="0" collapsedLevelsAreSubtotals="1" fieldPosition="0"/>
    </format>
    <format dxfId="274">
      <pivotArea grandCol="1" outline="0" collapsedLevelsAreSubtotals="1" fieldPosition="0"/>
    </format>
    <format dxfId="273">
      <pivotArea grandCol="1" outline="0" collapsedLevelsAreSubtotals="1" fieldPosition="0"/>
    </format>
    <format dxfId="272">
      <pivotArea grandCol="1" outline="0" collapsedLevelsAreSubtotals="1" fieldPosition="0"/>
    </format>
    <format dxfId="271">
      <pivotArea grandCol="1" outline="0" collapsedLevelsAreSubtotals="1" fieldPosition="0"/>
    </format>
    <format dxfId="270">
      <pivotArea grandCol="1" outline="0" collapsedLevelsAreSubtotals="1" fieldPosition="0"/>
    </format>
    <format dxfId="269">
      <pivotArea grandCol="1" outline="0" collapsedLevelsAreSubtotals="1" fieldPosition="0"/>
    </format>
    <format dxfId="268">
      <pivotArea grandCol="1" outline="0" collapsedLevelsAreSubtotals="1" fieldPosition="0"/>
    </format>
    <format dxfId="267">
      <pivotArea grandCol="1" outline="0" collapsedLevelsAreSubtotals="1" fieldPosition="0"/>
    </format>
    <format dxfId="266">
      <pivotArea grandCol="1" outline="0" collapsedLevelsAreSubtotals="1" fieldPosition="0"/>
    </format>
    <format dxfId="265">
      <pivotArea grandCol="1" outline="0" collapsedLevelsAreSubtotals="1" fieldPosition="0"/>
    </format>
    <format dxfId="264">
      <pivotArea grandCol="1" outline="0" collapsedLevelsAreSubtotals="1" fieldPosition="0"/>
    </format>
    <format dxfId="263">
      <pivotArea grandCol="1" outline="0" collapsedLevelsAreSubtotals="1" fieldPosition="0"/>
    </format>
    <format dxfId="262">
      <pivotArea grandCol="1" outline="0" collapsedLevelsAreSubtotals="1" fieldPosition="0"/>
    </format>
    <format dxfId="261">
      <pivotArea grandCol="1" outline="0" collapsedLevelsAreSubtotals="1" fieldPosition="0"/>
    </format>
    <format dxfId="260">
      <pivotArea grandCol="1" outline="0" collapsedLevelsAreSubtotals="1" fieldPosition="0"/>
    </format>
    <format dxfId="259">
      <pivotArea grandCol="1" outline="0" collapsedLevelsAreSubtotals="1" fieldPosition="0"/>
    </format>
    <format dxfId="258">
      <pivotArea grandCol="1" outline="0" collapsedLevelsAreSubtotals="1" fieldPosition="0"/>
    </format>
    <format dxfId="257">
      <pivotArea grandCol="1" outline="0" collapsedLevelsAreSubtotals="1" fieldPosition="0"/>
    </format>
    <format dxfId="256">
      <pivotArea grandCol="1" outline="0" collapsedLevelsAreSubtotals="1" fieldPosition="0"/>
    </format>
    <format dxfId="255">
      <pivotArea grandCol="1" outline="0" collapsedLevelsAreSubtotals="1" fieldPosition="0"/>
    </format>
    <format dxfId="254">
      <pivotArea grandCol="1" outline="0" collapsedLevelsAreSubtotals="1" fieldPosition="0"/>
    </format>
    <format dxfId="253">
      <pivotArea grandCol="1" outline="0" collapsedLevelsAreSubtotals="1" fieldPosition="0"/>
    </format>
    <format dxfId="252">
      <pivotArea grandCol="1" outline="0" collapsedLevelsAreSubtotals="1" fieldPosition="0"/>
    </format>
    <format dxfId="251">
      <pivotArea grandCol="1" outline="0" collapsedLevelsAreSubtotals="1" fieldPosition="0"/>
    </format>
    <format dxfId="250">
      <pivotArea grandCol="1" outline="0" collapsedLevelsAreSubtotals="1" fieldPosition="0"/>
    </format>
    <format dxfId="249">
      <pivotArea grandCol="1" outline="0" collapsedLevelsAreSubtotals="1" fieldPosition="0"/>
    </format>
    <format dxfId="248">
      <pivotArea grandCol="1" outline="0" collapsedLevelsAreSubtotals="1" fieldPosition="0"/>
    </format>
    <format dxfId="247">
      <pivotArea grandCol="1" outline="0" collapsedLevelsAreSubtotals="1" fieldPosition="0"/>
    </format>
    <format dxfId="246">
      <pivotArea grandCol="1" outline="0" collapsedLevelsAreSubtotals="1" fieldPosition="0"/>
    </format>
    <format dxfId="245">
      <pivotArea grandCol="1" outline="0" collapsedLevelsAreSubtotals="1" fieldPosition="0"/>
    </format>
    <format dxfId="244">
      <pivotArea grandCol="1" outline="0" collapsedLevelsAreSubtotals="1" fieldPosition="0"/>
    </format>
    <format dxfId="243">
      <pivotArea grandCol="1" outline="0" collapsedLevelsAreSubtotals="1" fieldPosition="0"/>
    </format>
    <format dxfId="242">
      <pivotArea grandCol="1" outline="0" collapsedLevelsAreSubtotals="1" fieldPosition="0"/>
    </format>
    <format dxfId="241">
      <pivotArea dataOnly="0" labelOnly="1" outline="0" fieldPosition="0">
        <references count="1">
          <reference field="16" count="11">
            <x v="2"/>
            <x v="3"/>
            <x v="5"/>
            <x v="7"/>
            <x v="8"/>
            <x v="11"/>
            <x v="13"/>
            <x v="14"/>
            <x v="16"/>
            <x v="18"/>
            <x v="21"/>
          </reference>
        </references>
      </pivotArea>
    </format>
    <format dxfId="240">
      <pivotArea dataOnly="0" labelOnly="1" grandRow="1" outline="0" fieldPosition="0"/>
    </format>
    <format dxfId="239">
      <pivotArea grandCol="1" outline="0" collapsedLevelsAreSubtotals="1" fieldPosition="0"/>
    </format>
    <format dxfId="238">
      <pivotArea dataOnly="0" labelOnly="1" outline="0" fieldPosition="0">
        <references count="1">
          <reference field="16" count="11">
            <x v="2"/>
            <x v="3"/>
            <x v="5"/>
            <x v="7"/>
            <x v="8"/>
            <x v="11"/>
            <x v="13"/>
            <x v="14"/>
            <x v="16"/>
            <x v="18"/>
            <x v="21"/>
          </reference>
        </references>
      </pivotArea>
    </format>
    <format dxfId="237">
      <pivotArea dataOnly="0" labelOnly="1" grandRow="1" outline="0" fieldPosition="0"/>
    </format>
    <format dxfId="236">
      <pivotArea grandCol="1" outline="0" collapsedLevelsAreSubtotals="1" fieldPosition="0"/>
    </format>
    <format dxfId="235">
      <pivotArea dataOnly="0" labelOnly="1" outline="0" fieldPosition="0">
        <references count="1">
          <reference field="16" count="12">
            <x v="2"/>
            <x v="5"/>
            <x v="7"/>
            <x v="11"/>
            <x v="13"/>
            <x v="14"/>
            <x v="16"/>
            <x v="18"/>
            <x v="20"/>
            <x v="21"/>
            <x v="23"/>
            <x v="26"/>
          </reference>
        </references>
      </pivotArea>
    </format>
    <format dxfId="234">
      <pivotArea dataOnly="0" labelOnly="1" grandRow="1" outline="0" fieldPosition="0"/>
    </format>
    <format dxfId="233">
      <pivotArea grandCol="1" outline="0" collapsedLevelsAreSubtotals="1" fieldPosition="0"/>
    </format>
    <format dxfId="232">
      <pivotArea dataOnly="0" labelOnly="1" outline="0" fieldPosition="0">
        <references count="1">
          <reference field="16" count="12">
            <x v="2"/>
            <x v="5"/>
            <x v="7"/>
            <x v="11"/>
            <x v="13"/>
            <x v="14"/>
            <x v="16"/>
            <x v="18"/>
            <x v="20"/>
            <x v="21"/>
            <x v="23"/>
            <x v="26"/>
          </reference>
        </references>
      </pivotArea>
    </format>
    <format dxfId="231">
      <pivotArea dataOnly="0" labelOnly="1" grandRow="1" outline="0" fieldPosition="0"/>
    </format>
    <format dxfId="230">
      <pivotArea grandCol="1" outline="0" collapsedLevelsAreSubtotals="1" fieldPosition="0"/>
    </format>
    <format dxfId="229">
      <pivotArea dataOnly="0" labelOnly="1" outline="0" fieldPosition="0">
        <references count="1">
          <reference field="16" count="12">
            <x v="2"/>
            <x v="5"/>
            <x v="7"/>
            <x v="11"/>
            <x v="13"/>
            <x v="14"/>
            <x v="16"/>
            <x v="18"/>
            <x v="20"/>
            <x v="21"/>
            <x v="23"/>
            <x v="26"/>
          </reference>
        </references>
      </pivotArea>
    </format>
    <format dxfId="228">
      <pivotArea dataOnly="0" labelOnly="1" grandRow="1" outline="0" fieldPosition="0"/>
    </format>
    <format dxfId="227">
      <pivotArea grandCol="1" outline="0" collapsedLevelsAreSubtotals="1" fieldPosition="0"/>
    </format>
    <format dxfId="226">
      <pivotArea dataOnly="0" labelOnly="1" outline="0" fieldPosition="0">
        <references count="1">
          <reference field="16" count="12">
            <x v="2"/>
            <x v="5"/>
            <x v="7"/>
            <x v="11"/>
            <x v="13"/>
            <x v="14"/>
            <x v="16"/>
            <x v="18"/>
            <x v="20"/>
            <x v="21"/>
            <x v="23"/>
            <x v="26"/>
          </reference>
        </references>
      </pivotArea>
    </format>
    <format dxfId="225">
      <pivotArea dataOnly="0" labelOnly="1" grandRow="1" outline="0" fieldPosition="0"/>
    </format>
    <format dxfId="224">
      <pivotArea grandCol="1" outline="0" collapsedLevelsAreSubtotals="1" fieldPosition="0"/>
    </format>
    <format dxfId="223">
      <pivotArea dataOnly="0" labelOnly="1" outline="0" fieldPosition="0">
        <references count="1">
          <reference field="16" count="12">
            <x v="2"/>
            <x v="5"/>
            <x v="7"/>
            <x v="11"/>
            <x v="13"/>
            <x v="14"/>
            <x v="16"/>
            <x v="18"/>
            <x v="20"/>
            <x v="21"/>
            <x v="23"/>
            <x v="26"/>
          </reference>
        </references>
      </pivotArea>
    </format>
    <format dxfId="222">
      <pivotArea dataOnly="0" labelOnly="1" grandRow="1" outline="0" fieldPosition="0"/>
    </format>
    <format dxfId="221">
      <pivotArea grandCol="1" outline="0" collapsedLevelsAreSubtotals="1" fieldPosition="0"/>
    </format>
    <format dxfId="220">
      <pivotArea dataOnly="0" labelOnly="1" outline="0" fieldPosition="0">
        <references count="1">
          <reference field="16" count="12">
            <x v="2"/>
            <x v="5"/>
            <x v="7"/>
            <x v="11"/>
            <x v="13"/>
            <x v="14"/>
            <x v="16"/>
            <x v="18"/>
            <x v="20"/>
            <x v="21"/>
            <x v="23"/>
            <x v="26"/>
          </reference>
        </references>
      </pivotArea>
    </format>
    <format dxfId="219">
      <pivotArea dataOnly="0" labelOnly="1" grandRow="1" outline="0" fieldPosition="0"/>
    </format>
    <format dxfId="218">
      <pivotArea grandCol="1" outline="0" collapsedLevelsAreSubtotals="1" fieldPosition="0"/>
    </format>
    <format dxfId="217">
      <pivotArea dataOnly="0" labelOnly="1" outline="0" fieldPosition="0">
        <references count="1">
          <reference field="16" count="12">
            <x v="2"/>
            <x v="5"/>
            <x v="7"/>
            <x v="11"/>
            <x v="13"/>
            <x v="14"/>
            <x v="16"/>
            <x v="18"/>
            <x v="20"/>
            <x v="21"/>
            <x v="23"/>
            <x v="26"/>
          </reference>
        </references>
      </pivotArea>
    </format>
    <format dxfId="216">
      <pivotArea dataOnly="0" labelOnly="1" grandRow="1" outline="0" fieldPosition="0"/>
    </format>
    <format dxfId="215">
      <pivotArea grandCol="1" outline="0" collapsedLevelsAreSubtotals="1" fieldPosition="0"/>
    </format>
    <format dxfId="214">
      <pivotArea dataOnly="0" labelOnly="1" outline="0" fieldPosition="0">
        <references count="1">
          <reference field="16" count="12">
            <x v="2"/>
            <x v="5"/>
            <x v="7"/>
            <x v="11"/>
            <x v="13"/>
            <x v="14"/>
            <x v="16"/>
            <x v="18"/>
            <x v="20"/>
            <x v="21"/>
            <x v="23"/>
            <x v="26"/>
          </reference>
        </references>
      </pivotArea>
    </format>
    <format dxfId="213">
      <pivotArea dataOnly="0" labelOnly="1" grandRow="1" outline="0" fieldPosition="0"/>
    </format>
    <format dxfId="212">
      <pivotArea grandCol="1" outline="0" collapsedLevelsAreSubtotals="1" fieldPosition="0"/>
    </format>
    <format dxfId="211">
      <pivotArea dataOnly="0" labelOnly="1" outline="0" fieldPosition="0">
        <references count="1">
          <reference field="16" count="12">
            <x v="2"/>
            <x v="5"/>
            <x v="7"/>
            <x v="11"/>
            <x v="13"/>
            <x v="14"/>
            <x v="16"/>
            <x v="18"/>
            <x v="20"/>
            <x v="21"/>
            <x v="23"/>
            <x v="26"/>
          </reference>
        </references>
      </pivotArea>
    </format>
    <format dxfId="210">
      <pivotArea dataOnly="0" labelOnly="1" grandRow="1" outline="0" fieldPosition="0"/>
    </format>
    <format dxfId="209">
      <pivotArea grandCol="1" outline="0" collapsedLevelsAreSubtotals="1" fieldPosition="0"/>
    </format>
    <format dxfId="208">
      <pivotArea outline="0" collapsedLevelsAreSubtotals="1" fieldPosition="0">
        <references count="1">
          <reference field="10" count="1" selected="0">
            <x v="4"/>
          </reference>
        </references>
      </pivotArea>
    </format>
    <format dxfId="207">
      <pivotArea outline="0" collapsedLevelsAreSubtotals="1" fieldPosition="0">
        <references count="1">
          <reference field="10" count="1" selected="0">
            <x v="0"/>
          </reference>
        </references>
      </pivotArea>
    </format>
    <format dxfId="206">
      <pivotArea field="10" type="button" dataOnly="0" labelOnly="1" outline="0" axis="axisCol" fieldPosition="0"/>
    </format>
    <format dxfId="205">
      <pivotArea dataOnly="0" labelOnly="1" outline="0" fieldPosition="0">
        <references count="1">
          <reference field="16" count="0"/>
        </references>
      </pivotArea>
    </format>
    <format dxfId="204">
      <pivotArea dataOnly="0" labelOnly="1" grandRow="1" outline="0" fieldPosition="0"/>
    </format>
    <format dxfId="203">
      <pivotArea dataOnly="0" labelOnly="1" outline="0" fieldPosition="0">
        <references count="1">
          <reference field="10" count="1">
            <x v="0"/>
          </reference>
        </references>
      </pivotArea>
    </format>
    <format dxfId="202">
      <pivotArea grandCol="1" outline="0" collapsedLevelsAreSubtotals="1" fieldPosition="0"/>
    </format>
    <format dxfId="201">
      <pivotArea outline="0" collapsedLevelsAreSubtotals="1" fieldPosition="0">
        <references count="1">
          <reference field="10" count="1" selected="0">
            <x v="4"/>
          </reference>
        </references>
      </pivotArea>
    </format>
    <format dxfId="200">
      <pivotArea outline="0" collapsedLevelsAreSubtotals="1" fieldPosition="0">
        <references count="1">
          <reference field="10" count="1" selected="0">
            <x v="0"/>
          </reference>
        </references>
      </pivotArea>
    </format>
    <format dxfId="199">
      <pivotArea field="10" type="button" dataOnly="0" labelOnly="1" outline="0" axis="axisCol" fieldPosition="0"/>
    </format>
    <format dxfId="198">
      <pivotArea dataOnly="0" labelOnly="1" outline="0" fieldPosition="0">
        <references count="1">
          <reference field="16" count="0"/>
        </references>
      </pivotArea>
    </format>
    <format dxfId="197">
      <pivotArea dataOnly="0" labelOnly="1" grandRow="1" outline="0" fieldPosition="0"/>
    </format>
    <format dxfId="196">
      <pivotArea dataOnly="0" labelOnly="1" outline="0" fieldPosition="0">
        <references count="1">
          <reference field="10" count="1">
            <x v="0"/>
          </reference>
        </references>
      </pivotArea>
    </format>
    <format dxfId="195">
      <pivotArea grandCol="1" outline="0" collapsedLevelsAreSubtotals="1" fieldPosition="0"/>
    </format>
    <format dxfId="194">
      <pivotArea outline="0" collapsedLevelsAreSubtotals="1" fieldPosition="0">
        <references count="1">
          <reference field="10" count="1" selected="0">
            <x v="4"/>
          </reference>
        </references>
      </pivotArea>
    </format>
    <format dxfId="193">
      <pivotArea outline="0" collapsedLevelsAreSubtotals="1" fieldPosition="0">
        <references count="1">
          <reference field="10" count="1" selected="0">
            <x v="0"/>
          </reference>
        </references>
      </pivotArea>
    </format>
    <format dxfId="192">
      <pivotArea field="10" type="button" dataOnly="0" labelOnly="1" outline="0" axis="axisCol" fieldPosition="0"/>
    </format>
    <format dxfId="191">
      <pivotArea dataOnly="0" labelOnly="1" outline="0" fieldPosition="0">
        <references count="1">
          <reference field="16" count="0"/>
        </references>
      </pivotArea>
    </format>
    <format dxfId="190">
      <pivotArea dataOnly="0" labelOnly="1" grandRow="1" outline="0" fieldPosition="0"/>
    </format>
    <format dxfId="189">
      <pivotArea dataOnly="0" labelOnly="1" outline="0" fieldPosition="0">
        <references count="1">
          <reference field="10" count="1">
            <x v="0"/>
          </reference>
        </references>
      </pivotArea>
    </format>
    <format dxfId="188">
      <pivotArea grandCol="1" outline="0" collapsedLevelsAreSubtotals="1" fieldPosition="0"/>
    </format>
    <format dxfId="187">
      <pivotArea outline="0" collapsedLevelsAreSubtotals="1" fieldPosition="0">
        <references count="1">
          <reference field="10" count="1" selected="0">
            <x v="4"/>
          </reference>
        </references>
      </pivotArea>
    </format>
    <format dxfId="186">
      <pivotArea outline="0" collapsedLevelsAreSubtotals="1" fieldPosition="0">
        <references count="1">
          <reference field="10" count="1" selected="0">
            <x v="0"/>
          </reference>
        </references>
      </pivotArea>
    </format>
    <format dxfId="185">
      <pivotArea field="10" type="button" dataOnly="0" labelOnly="1" outline="0" axis="axisCol" fieldPosition="0"/>
    </format>
    <format dxfId="184">
      <pivotArea dataOnly="0" labelOnly="1" outline="0" fieldPosition="0">
        <references count="1">
          <reference field="16" count="0"/>
        </references>
      </pivotArea>
    </format>
    <format dxfId="183">
      <pivotArea dataOnly="0" labelOnly="1" grandRow="1" outline="0" fieldPosition="0"/>
    </format>
    <format dxfId="182">
      <pivotArea dataOnly="0" labelOnly="1" outline="0" fieldPosition="0">
        <references count="1">
          <reference field="10" count="1">
            <x v="0"/>
          </reference>
        </references>
      </pivotArea>
    </format>
    <format dxfId="181">
      <pivotArea grandCol="1" outline="0" collapsedLevelsAreSubtotals="1" fieldPosition="0"/>
    </format>
    <format dxfId="180">
      <pivotArea outline="0" collapsedLevelsAreSubtotals="1" fieldPosition="0">
        <references count="1">
          <reference field="10" count="1" selected="0">
            <x v="4"/>
          </reference>
        </references>
      </pivotArea>
    </format>
    <format dxfId="179">
      <pivotArea outline="0" collapsedLevelsAreSubtotals="1" fieldPosition="0">
        <references count="1">
          <reference field="10" count="1" selected="0">
            <x v="0"/>
          </reference>
        </references>
      </pivotArea>
    </format>
    <format dxfId="178">
      <pivotArea field="10" type="button" dataOnly="0" labelOnly="1" outline="0" axis="axisCol" fieldPosition="0"/>
    </format>
    <format dxfId="177">
      <pivotArea dataOnly="0" labelOnly="1" outline="0" fieldPosition="0">
        <references count="1">
          <reference field="16" count="0"/>
        </references>
      </pivotArea>
    </format>
    <format dxfId="176">
      <pivotArea dataOnly="0" labelOnly="1" grandRow="1" outline="0" fieldPosition="0"/>
    </format>
    <format dxfId="175">
      <pivotArea dataOnly="0" labelOnly="1" outline="0" fieldPosition="0">
        <references count="1">
          <reference field="10" count="1">
            <x v="0"/>
          </reference>
        </references>
      </pivotArea>
    </format>
    <format dxfId="174">
      <pivotArea grandCol="1" outline="0" collapsedLevelsAreSubtotals="1" fieldPosition="0"/>
    </format>
    <format dxfId="173">
      <pivotArea outline="0" collapsedLevelsAreSubtotals="1" fieldPosition="0">
        <references count="1">
          <reference field="10" count="1" selected="0">
            <x v="5"/>
          </reference>
        </references>
      </pivotArea>
    </format>
    <format dxfId="172">
      <pivotArea outline="0" collapsedLevelsAreSubtotals="1" fieldPosition="0">
        <references count="1">
          <reference field="10" count="1" selected="0">
            <x v="0"/>
          </reference>
        </references>
      </pivotArea>
    </format>
    <format dxfId="171">
      <pivotArea field="10" type="button" dataOnly="0" labelOnly="1" outline="0" axis="axisCol" fieldPosition="0"/>
    </format>
    <format dxfId="170">
      <pivotArea dataOnly="0" labelOnly="1" outline="0" fieldPosition="0">
        <references count="1">
          <reference field="16" count="0"/>
        </references>
      </pivotArea>
    </format>
    <format dxfId="169">
      <pivotArea dataOnly="0" labelOnly="1" grandRow="1" outline="0" fieldPosition="0"/>
    </format>
    <format dxfId="168">
      <pivotArea dataOnly="0" labelOnly="1" outline="0" fieldPosition="0">
        <references count="1">
          <reference field="10" count="1">
            <x v="0"/>
          </reference>
        </references>
      </pivotArea>
    </format>
    <format dxfId="167">
      <pivotArea outline="0" collapsedLevelsAreSubtotals="1" fieldPosition="0">
        <references count="1">
          <reference field="10" count="1" selected="0">
            <x v="5"/>
          </reference>
        </references>
      </pivotArea>
    </format>
    <format dxfId="166">
      <pivotArea outline="0" collapsedLevelsAreSubtotals="1" fieldPosition="0">
        <references count="1">
          <reference field="10" count="1" selected="0">
            <x v="0"/>
          </reference>
        </references>
      </pivotArea>
    </format>
    <format dxfId="165">
      <pivotArea field="10" type="button" dataOnly="0" labelOnly="1" outline="0" axis="axisCol" fieldPosition="0"/>
    </format>
    <format dxfId="164">
      <pivotArea dataOnly="0" labelOnly="1" outline="0" fieldPosition="0">
        <references count="1">
          <reference field="16" count="0"/>
        </references>
      </pivotArea>
    </format>
    <format dxfId="163">
      <pivotArea dataOnly="0" labelOnly="1" grandRow="1" outline="0" fieldPosition="0"/>
    </format>
    <format dxfId="162">
      <pivotArea dataOnly="0" labelOnly="1" outline="0" fieldPosition="0">
        <references count="1">
          <reference field="10" count="1">
            <x v="0"/>
          </reference>
        </references>
      </pivotArea>
    </format>
    <format dxfId="161">
      <pivotArea outline="0" collapsedLevelsAreSubtotals="1" fieldPosition="0">
        <references count="1">
          <reference field="10" count="1" selected="0">
            <x v="5"/>
          </reference>
        </references>
      </pivotArea>
    </format>
    <format dxfId="160">
      <pivotArea outline="0" collapsedLevelsAreSubtotals="1" fieldPosition="0">
        <references count="1">
          <reference field="10" count="1" selected="0">
            <x v="0"/>
          </reference>
        </references>
      </pivotArea>
    </format>
    <format dxfId="159">
      <pivotArea field="10" type="button" dataOnly="0" labelOnly="1" outline="0" axis="axisCol" fieldPosition="0"/>
    </format>
    <format dxfId="158">
      <pivotArea dataOnly="0" labelOnly="1" outline="0" fieldPosition="0">
        <references count="1">
          <reference field="16" count="10">
            <x v="1"/>
            <x v="4"/>
            <x v="6"/>
            <x v="9"/>
            <x v="12"/>
            <x v="15"/>
            <x v="17"/>
            <x v="19"/>
            <x v="22"/>
            <x v="25"/>
          </reference>
        </references>
      </pivotArea>
    </format>
    <format dxfId="157">
      <pivotArea dataOnly="0" labelOnly="1" grandRow="1" outline="0" fieldPosition="0"/>
    </format>
    <format dxfId="156">
      <pivotArea dataOnly="0" labelOnly="1" outline="0" fieldPosition="0">
        <references count="1">
          <reference field="10" count="1">
            <x v="0"/>
          </reference>
        </references>
      </pivotArea>
    </format>
    <format dxfId="155">
      <pivotArea outline="0" collapsedLevelsAreSubtotals="1" fieldPosition="0">
        <references count="1">
          <reference field="10" count="1" selected="0">
            <x v="5"/>
          </reference>
        </references>
      </pivotArea>
    </format>
    <format dxfId="154">
      <pivotArea outline="0" collapsedLevelsAreSubtotals="1" fieldPosition="0">
        <references count="1">
          <reference field="10" count="1" selected="0">
            <x v="0"/>
          </reference>
        </references>
      </pivotArea>
    </format>
    <format dxfId="153">
      <pivotArea field="10" type="button" dataOnly="0" labelOnly="1" outline="0" axis="axisCol" fieldPosition="0"/>
    </format>
    <format dxfId="152">
      <pivotArea dataOnly="0" labelOnly="1" outline="0" fieldPosition="0">
        <references count="1">
          <reference field="16" count="10">
            <x v="1"/>
            <x v="4"/>
            <x v="6"/>
            <x v="9"/>
            <x v="12"/>
            <x v="15"/>
            <x v="17"/>
            <x v="19"/>
            <x v="22"/>
            <x v="25"/>
          </reference>
        </references>
      </pivotArea>
    </format>
    <format dxfId="151">
      <pivotArea dataOnly="0" labelOnly="1" grandRow="1" outline="0" fieldPosition="0"/>
    </format>
    <format dxfId="150">
      <pivotArea dataOnly="0" labelOnly="1" outline="0" fieldPosition="0">
        <references count="1">
          <reference field="10" count="1">
            <x v="0"/>
          </reference>
        </references>
      </pivotArea>
    </format>
    <format dxfId="149">
      <pivotArea outline="0" collapsedLevelsAreSubtotals="1" fieldPosition="0">
        <references count="1">
          <reference field="10" count="1" selected="0">
            <x v="5"/>
          </reference>
        </references>
      </pivotArea>
    </format>
    <format dxfId="148">
      <pivotArea outline="0" collapsedLevelsAreSubtotals="1" fieldPosition="0">
        <references count="1">
          <reference field="10" count="1" selected="0">
            <x v="0"/>
          </reference>
        </references>
      </pivotArea>
    </format>
    <format dxfId="147">
      <pivotArea field="10" type="button" dataOnly="0" labelOnly="1" outline="0" axis="axisCol" fieldPosition="0"/>
    </format>
    <format dxfId="146">
      <pivotArea dataOnly="0" labelOnly="1" outline="0" fieldPosition="0">
        <references count="1">
          <reference field="16" count="10">
            <x v="1"/>
            <x v="4"/>
            <x v="6"/>
            <x v="9"/>
            <x v="12"/>
            <x v="15"/>
            <x v="17"/>
            <x v="19"/>
            <x v="22"/>
            <x v="25"/>
          </reference>
        </references>
      </pivotArea>
    </format>
    <format dxfId="145">
      <pivotArea dataOnly="0" labelOnly="1" grandRow="1" outline="0" fieldPosition="0"/>
    </format>
    <format dxfId="144">
      <pivotArea dataOnly="0" labelOnly="1" outline="0" fieldPosition="0">
        <references count="1">
          <reference field="10" count="1">
            <x v="0"/>
          </reference>
        </references>
      </pivotArea>
    </format>
    <format dxfId="143">
      <pivotArea outline="0" collapsedLevelsAreSubtotals="1" fieldPosition="0">
        <references count="1">
          <reference field="10" count="1" selected="0">
            <x v="5"/>
          </reference>
        </references>
      </pivotArea>
    </format>
    <format dxfId="142">
      <pivotArea outline="0" collapsedLevelsAreSubtotals="1" fieldPosition="0">
        <references count="1">
          <reference field="10" count="1" selected="0">
            <x v="0"/>
          </reference>
        </references>
      </pivotArea>
    </format>
    <format dxfId="141">
      <pivotArea field="10" type="button" dataOnly="0" labelOnly="1" outline="0" axis="axisCol" fieldPosition="0"/>
    </format>
    <format dxfId="140">
      <pivotArea dataOnly="0" labelOnly="1" outline="0" fieldPosition="0">
        <references count="1">
          <reference field="16" count="10">
            <x v="1"/>
            <x v="4"/>
            <x v="6"/>
            <x v="9"/>
            <x v="12"/>
            <x v="15"/>
            <x v="17"/>
            <x v="19"/>
            <x v="22"/>
            <x v="25"/>
          </reference>
        </references>
      </pivotArea>
    </format>
    <format dxfId="139">
      <pivotArea dataOnly="0" labelOnly="1" grandRow="1" outline="0" fieldPosition="0"/>
    </format>
    <format dxfId="138">
      <pivotArea dataOnly="0" labelOnly="1" outline="0" fieldPosition="0">
        <references count="1">
          <reference field="10" count="1">
            <x v="0"/>
          </reference>
        </references>
      </pivotArea>
    </format>
    <format dxfId="137">
      <pivotArea outline="0" collapsedLevelsAreSubtotals="1" fieldPosition="0">
        <references count="1">
          <reference field="10" count="1" selected="0">
            <x v="5"/>
          </reference>
        </references>
      </pivotArea>
    </format>
    <format dxfId="136">
      <pivotArea outline="0" collapsedLevelsAreSubtotals="1" fieldPosition="0">
        <references count="1">
          <reference field="10" count="1" selected="0">
            <x v="0"/>
          </reference>
        </references>
      </pivotArea>
    </format>
    <format dxfId="135">
      <pivotArea field="10" type="button" dataOnly="0" labelOnly="1" outline="0" axis="axisCol" fieldPosition="0"/>
    </format>
    <format dxfId="134">
      <pivotArea dataOnly="0" labelOnly="1" outline="0" fieldPosition="0">
        <references count="1">
          <reference field="16" count="10">
            <x v="1"/>
            <x v="4"/>
            <x v="6"/>
            <x v="9"/>
            <x v="12"/>
            <x v="15"/>
            <x v="17"/>
            <x v="19"/>
            <x v="22"/>
            <x v="25"/>
          </reference>
        </references>
      </pivotArea>
    </format>
    <format dxfId="133">
      <pivotArea dataOnly="0" labelOnly="1" grandRow="1" outline="0" fieldPosition="0"/>
    </format>
    <format dxfId="132">
      <pivotArea dataOnly="0" labelOnly="1" outline="0" fieldPosition="0">
        <references count="1">
          <reference field="10" count="1">
            <x v="0"/>
          </reference>
        </references>
      </pivotArea>
    </format>
    <format dxfId="131">
      <pivotArea outline="0" collapsedLevelsAreSubtotals="1" fieldPosition="0">
        <references count="1">
          <reference field="10" count="0" selected="0"/>
        </references>
      </pivotArea>
    </format>
    <format dxfId="130">
      <pivotArea field="10" type="button" dataOnly="0" labelOnly="1" outline="0" axis="axisCol" fieldPosition="0"/>
    </format>
    <format dxfId="129">
      <pivotArea dataOnly="0" labelOnly="1" outline="0" fieldPosition="0">
        <references count="1">
          <reference field="16" count="0"/>
        </references>
      </pivotArea>
    </format>
    <format dxfId="128">
      <pivotArea dataOnly="0" labelOnly="1" grandRow="1" outline="0" fieldPosition="0"/>
    </format>
    <format dxfId="127">
      <pivotArea dataOnly="0" labelOnly="1" outline="0" fieldPosition="0">
        <references count="1">
          <reference field="10" count="0"/>
        </references>
      </pivotArea>
    </format>
    <format dxfId="126">
      <pivotArea outline="0" collapsedLevelsAreSubtotals="1" fieldPosition="0">
        <references count="1">
          <reference field="10" count="0" selected="0"/>
        </references>
      </pivotArea>
    </format>
    <format dxfId="125">
      <pivotArea field="10" type="button" dataOnly="0" labelOnly="1" outline="0" axis="axisCol" fieldPosition="0"/>
    </format>
    <format dxfId="124">
      <pivotArea dataOnly="0" labelOnly="1" outline="0" fieldPosition="0">
        <references count="1">
          <reference field="16" count="0"/>
        </references>
      </pivotArea>
    </format>
    <format dxfId="123">
      <pivotArea dataOnly="0" labelOnly="1" grandRow="1" outline="0" fieldPosition="0"/>
    </format>
    <format dxfId="122">
      <pivotArea dataOnly="0" labelOnly="1" outline="0" fieldPosition="0">
        <references count="1">
          <reference field="10" count="0"/>
        </references>
      </pivotArea>
    </format>
    <format dxfId="121">
      <pivotArea outline="0" collapsedLevelsAreSubtotals="1" fieldPosition="0">
        <references count="1">
          <reference field="10" count="0" selected="0"/>
        </references>
      </pivotArea>
    </format>
    <format dxfId="120">
      <pivotArea field="10" type="button" dataOnly="0" labelOnly="1" outline="0" axis="axisCol" fieldPosition="0"/>
    </format>
    <format dxfId="119">
      <pivotArea dataOnly="0" labelOnly="1" outline="0" fieldPosition="0">
        <references count="1">
          <reference field="16" count="0"/>
        </references>
      </pivotArea>
    </format>
    <format dxfId="118">
      <pivotArea dataOnly="0" labelOnly="1" grandRow="1" outline="0" fieldPosition="0"/>
    </format>
    <format dxfId="117">
      <pivotArea dataOnly="0" labelOnly="1" outline="0" fieldPosition="0">
        <references count="1">
          <reference field="10" count="0"/>
        </references>
      </pivotArea>
    </format>
    <format dxfId="116">
      <pivotArea outline="0" collapsedLevelsAreSubtotals="1" fieldPosition="0">
        <references count="1">
          <reference field="10" count="0" selected="0"/>
        </references>
      </pivotArea>
    </format>
    <format dxfId="115">
      <pivotArea field="10" type="button" dataOnly="0" labelOnly="1" outline="0" axis="axisCol" fieldPosition="0"/>
    </format>
    <format dxfId="114">
      <pivotArea dataOnly="0" labelOnly="1" outline="0" fieldPosition="0">
        <references count="1">
          <reference field="16" count="0"/>
        </references>
      </pivotArea>
    </format>
    <format dxfId="113">
      <pivotArea dataOnly="0" labelOnly="1" grandRow="1" outline="0" fieldPosition="0"/>
    </format>
    <format dxfId="112">
      <pivotArea dataOnly="0" labelOnly="1" outline="0" fieldPosition="0">
        <references count="1">
          <reference field="10" count="0"/>
        </references>
      </pivotArea>
    </format>
    <format dxfId="111">
      <pivotArea outline="0" collapsedLevelsAreSubtotals="1" fieldPosition="0">
        <references count="1">
          <reference field="10" count="0" selected="0"/>
        </references>
      </pivotArea>
    </format>
    <format dxfId="110">
      <pivotArea field="10" type="button" dataOnly="0" labelOnly="1" outline="0" axis="axisCol" fieldPosition="0"/>
    </format>
    <format dxfId="109">
      <pivotArea dataOnly="0" labelOnly="1" outline="0" fieldPosition="0">
        <references count="1">
          <reference field="16" count="0"/>
        </references>
      </pivotArea>
    </format>
    <format dxfId="108">
      <pivotArea dataOnly="0" labelOnly="1" grandRow="1" outline="0" fieldPosition="0"/>
    </format>
    <format dxfId="107">
      <pivotArea dataOnly="0" labelOnly="1" outline="0" fieldPosition="0">
        <references count="1">
          <reference field="10" count="0"/>
        </references>
      </pivotArea>
    </format>
    <format dxfId="106">
      <pivotArea outline="0" collapsedLevelsAreSubtotals="1" fieldPosition="0">
        <references count="1">
          <reference field="10" count="0" selected="0"/>
        </references>
      </pivotArea>
    </format>
    <format dxfId="105">
      <pivotArea field="10" type="button" dataOnly="0" labelOnly="1" outline="0" axis="axisCol" fieldPosition="0"/>
    </format>
    <format dxfId="104">
      <pivotArea dataOnly="0" labelOnly="1" outline="0" fieldPosition="0">
        <references count="1">
          <reference field="16" count="0"/>
        </references>
      </pivotArea>
    </format>
    <format dxfId="103">
      <pivotArea dataOnly="0" labelOnly="1" grandRow="1" outline="0" fieldPosition="0"/>
    </format>
    <format dxfId="102">
      <pivotArea dataOnly="0" labelOnly="1" outline="0" fieldPosition="0">
        <references count="1">
          <reference field="10" count="0"/>
        </references>
      </pivotArea>
    </format>
    <format dxfId="101">
      <pivotArea outline="0" collapsedLevelsAreSubtotals="1" fieldPosition="0">
        <references count="1">
          <reference field="10" count="1" selected="0">
            <x v="9"/>
          </reference>
        </references>
      </pivotArea>
    </format>
    <format dxfId="100">
      <pivotArea outline="0" collapsedLevelsAreSubtotals="1" fieldPosition="0">
        <references count="1">
          <reference field="10" count="1" selected="0">
            <x v="0"/>
          </reference>
        </references>
      </pivotArea>
    </format>
    <format dxfId="99">
      <pivotArea field="10" type="button" dataOnly="0" labelOnly="1" outline="0" axis="axisCol" fieldPosition="0"/>
    </format>
    <format dxfId="98">
      <pivotArea dataOnly="0" labelOnly="1" outline="0" fieldPosition="0">
        <references count="1">
          <reference field="16" count="0"/>
        </references>
      </pivotArea>
    </format>
    <format dxfId="97">
      <pivotArea dataOnly="0" labelOnly="1" grandRow="1" outline="0" fieldPosition="0"/>
    </format>
    <format dxfId="96">
      <pivotArea dataOnly="0" labelOnly="1" outline="0" fieldPosition="0">
        <references count="1">
          <reference field="10" count="1">
            <x v="0"/>
          </reference>
        </references>
      </pivotArea>
    </format>
    <format dxfId="95">
      <pivotArea outline="0" collapsedLevelsAreSubtotals="1" fieldPosition="0">
        <references count="1">
          <reference field="10" count="1" selected="0">
            <x v="9"/>
          </reference>
        </references>
      </pivotArea>
    </format>
    <format dxfId="94">
      <pivotArea outline="0" collapsedLevelsAreSubtotals="1" fieldPosition="0">
        <references count="1">
          <reference field="10" count="1" selected="0">
            <x v="0"/>
          </reference>
        </references>
      </pivotArea>
    </format>
    <format dxfId="93">
      <pivotArea field="10" type="button" dataOnly="0" labelOnly="1" outline="0" axis="axisCol" fieldPosition="0"/>
    </format>
    <format dxfId="92">
      <pivotArea dataOnly="0" labelOnly="1" outline="0" fieldPosition="0">
        <references count="1">
          <reference field="16" count="0"/>
        </references>
      </pivotArea>
    </format>
    <format dxfId="91">
      <pivotArea dataOnly="0" labelOnly="1" grandRow="1" outline="0" fieldPosition="0"/>
    </format>
    <format dxfId="90">
      <pivotArea dataOnly="0" labelOnly="1" outline="0" fieldPosition="0">
        <references count="1">
          <reference field="10" count="1">
            <x v="0"/>
          </reference>
        </references>
      </pivotArea>
    </format>
    <format dxfId="89">
      <pivotArea outline="0" collapsedLevelsAreSubtotals="1" fieldPosition="0">
        <references count="1">
          <reference field="10" count="1" selected="0">
            <x v="9"/>
          </reference>
        </references>
      </pivotArea>
    </format>
    <format dxfId="88">
      <pivotArea outline="0" collapsedLevelsAreSubtotals="1" fieldPosition="0">
        <references count="1">
          <reference field="10" count="1" selected="0">
            <x v="0"/>
          </reference>
        </references>
      </pivotArea>
    </format>
    <format dxfId="87">
      <pivotArea field="10" type="button" dataOnly="0" labelOnly="1" outline="0" axis="axisCol" fieldPosition="0"/>
    </format>
    <format dxfId="86">
      <pivotArea dataOnly="0" labelOnly="1" outline="0" fieldPosition="0">
        <references count="1">
          <reference field="16" count="0"/>
        </references>
      </pivotArea>
    </format>
    <format dxfId="85">
      <pivotArea dataOnly="0" labelOnly="1" grandRow="1" outline="0" fieldPosition="0"/>
    </format>
    <format dxfId="84">
      <pivotArea dataOnly="0" labelOnly="1" outline="0" fieldPosition="0">
        <references count="1">
          <reference field="10" count="1">
            <x v="0"/>
          </reference>
        </references>
      </pivotArea>
    </format>
    <format dxfId="83">
      <pivotArea outline="0" collapsedLevelsAreSubtotals="1" fieldPosition="0">
        <references count="1">
          <reference field="10" count="1" selected="0">
            <x v="9"/>
          </reference>
        </references>
      </pivotArea>
    </format>
    <format dxfId="82">
      <pivotArea outline="0" collapsedLevelsAreSubtotals="1" fieldPosition="0">
        <references count="1">
          <reference field="10" count="1" selected="0">
            <x v="0"/>
          </reference>
        </references>
      </pivotArea>
    </format>
    <format dxfId="81">
      <pivotArea field="10" type="button" dataOnly="0" labelOnly="1" outline="0" axis="axisCol" fieldPosition="0"/>
    </format>
    <format dxfId="80">
      <pivotArea dataOnly="0" labelOnly="1" outline="0" fieldPosition="0">
        <references count="1">
          <reference field="16" count="0"/>
        </references>
      </pivotArea>
    </format>
    <format dxfId="79">
      <pivotArea dataOnly="0" labelOnly="1" grandRow="1" outline="0" fieldPosition="0"/>
    </format>
    <format dxfId="78">
      <pivotArea dataOnly="0" labelOnly="1" outline="0" fieldPosition="0">
        <references count="1">
          <reference field="10" count="1">
            <x v="0"/>
          </reference>
        </references>
      </pivotArea>
    </format>
    <format dxfId="77">
      <pivotArea outline="0" collapsedLevelsAreSubtotals="1" fieldPosition="0">
        <references count="1">
          <reference field="10" count="1" selected="0">
            <x v="6"/>
          </reference>
        </references>
      </pivotArea>
    </format>
    <format dxfId="76">
      <pivotArea outline="0" collapsedLevelsAreSubtotals="1" fieldPosition="0">
        <references count="1">
          <reference field="10" count="1" selected="0">
            <x v="0"/>
          </reference>
        </references>
      </pivotArea>
    </format>
    <format dxfId="75">
      <pivotArea field="10" type="button" dataOnly="0" labelOnly="1" outline="0" axis="axisCol" fieldPosition="0"/>
    </format>
    <format dxfId="74">
      <pivotArea dataOnly="0" labelOnly="1" outline="0" fieldPosition="0">
        <references count="1">
          <reference field="16" count="0"/>
        </references>
      </pivotArea>
    </format>
    <format dxfId="73">
      <pivotArea dataOnly="0" labelOnly="1" grandRow="1" outline="0" fieldPosition="0"/>
    </format>
    <format dxfId="72">
      <pivotArea dataOnly="0" labelOnly="1" outline="0" fieldPosition="0">
        <references count="1">
          <reference field="10" count="1">
            <x v="0"/>
          </reference>
        </references>
      </pivotArea>
    </format>
    <format dxfId="71">
      <pivotArea outline="0" collapsedLevelsAreSubtotals="1" fieldPosition="0">
        <references count="1">
          <reference field="10" count="1" selected="0">
            <x v="6"/>
          </reference>
        </references>
      </pivotArea>
    </format>
    <format dxfId="70">
      <pivotArea outline="0" collapsedLevelsAreSubtotals="1" fieldPosition="0">
        <references count="1">
          <reference field="10" count="1" selected="0">
            <x v="0"/>
          </reference>
        </references>
      </pivotArea>
    </format>
    <format dxfId="69">
      <pivotArea field="10" type="button" dataOnly="0" labelOnly="1" outline="0" axis="axisCol" fieldPosition="0"/>
    </format>
    <format dxfId="68">
      <pivotArea dataOnly="0" labelOnly="1" outline="0" fieldPosition="0">
        <references count="1">
          <reference field="16" count="0"/>
        </references>
      </pivotArea>
    </format>
    <format dxfId="67">
      <pivotArea dataOnly="0" labelOnly="1" grandRow="1" outline="0" fieldPosition="0"/>
    </format>
    <format dxfId="66">
      <pivotArea dataOnly="0" labelOnly="1" outline="0" fieldPosition="0">
        <references count="1">
          <reference field="10" count="1">
            <x v="0"/>
          </reference>
        </references>
      </pivotArea>
    </format>
    <format dxfId="65">
      <pivotArea outline="0" collapsedLevelsAreSubtotals="1" fieldPosition="0">
        <references count="1">
          <reference field="10" count="1" selected="0">
            <x v="6"/>
          </reference>
        </references>
      </pivotArea>
    </format>
    <format dxfId="64">
      <pivotArea outline="0" collapsedLevelsAreSubtotals="1" fieldPosition="0">
        <references count="1">
          <reference field="10" count="1" selected="0">
            <x v="0"/>
          </reference>
        </references>
      </pivotArea>
    </format>
    <format dxfId="63">
      <pivotArea field="10" type="button" dataOnly="0" labelOnly="1" outline="0" axis="axisCol" fieldPosition="0"/>
    </format>
    <format dxfId="62">
      <pivotArea dataOnly="0" labelOnly="1" outline="0" fieldPosition="0">
        <references count="1">
          <reference field="16" count="0"/>
        </references>
      </pivotArea>
    </format>
    <format dxfId="61">
      <pivotArea dataOnly="0" labelOnly="1" grandRow="1" outline="0" fieldPosition="0"/>
    </format>
    <format dxfId="60">
      <pivotArea dataOnly="0" labelOnly="1" outline="0" fieldPosition="0">
        <references count="1">
          <reference field="10" count="1">
            <x v="0"/>
          </reference>
        </references>
      </pivotArea>
    </format>
    <format dxfId="59">
      <pivotArea outline="0" collapsedLevelsAreSubtotals="1" fieldPosition="0">
        <references count="1">
          <reference field="10" count="1" selected="0">
            <x v="6"/>
          </reference>
        </references>
      </pivotArea>
    </format>
    <format dxfId="58">
      <pivotArea outline="0" collapsedLevelsAreSubtotals="1" fieldPosition="0">
        <references count="1">
          <reference field="10" count="1" selected="0">
            <x v="0"/>
          </reference>
        </references>
      </pivotArea>
    </format>
    <format dxfId="57">
      <pivotArea field="10" type="button" dataOnly="0" labelOnly="1" outline="0" axis="axisCol" fieldPosition="0"/>
    </format>
    <format dxfId="56">
      <pivotArea dataOnly="0" labelOnly="1" outline="0" fieldPosition="0">
        <references count="1">
          <reference field="16" count="0"/>
        </references>
      </pivotArea>
    </format>
    <format dxfId="55">
      <pivotArea dataOnly="0" labelOnly="1" grandRow="1" outline="0" fieldPosition="0"/>
    </format>
    <format dxfId="54">
      <pivotArea dataOnly="0" labelOnly="1" outline="0" fieldPosition="0">
        <references count="1">
          <reference field="10" count="1">
            <x v="0"/>
          </reference>
        </references>
      </pivotArea>
    </format>
    <format dxfId="53">
      <pivotArea outline="0" collapsedLevelsAreSubtotals="1" fieldPosition="0">
        <references count="1">
          <reference field="10" count="1" selected="0">
            <x v="6"/>
          </reference>
        </references>
      </pivotArea>
    </format>
    <format dxfId="52">
      <pivotArea outline="0" collapsedLevelsAreSubtotals="1" fieldPosition="0">
        <references count="1">
          <reference field="10" count="1" selected="0">
            <x v="0"/>
          </reference>
        </references>
      </pivotArea>
    </format>
    <format dxfId="51">
      <pivotArea field="10" type="button" dataOnly="0" labelOnly="1" outline="0" axis="axisCol" fieldPosition="0"/>
    </format>
    <format dxfId="50">
      <pivotArea dataOnly="0" labelOnly="1" outline="0" fieldPosition="0">
        <references count="1">
          <reference field="16" count="0"/>
        </references>
      </pivotArea>
    </format>
    <format dxfId="49">
      <pivotArea dataOnly="0" labelOnly="1" grandRow="1" outline="0" fieldPosition="0"/>
    </format>
    <format dxfId="48">
      <pivotArea dataOnly="0" labelOnly="1" outline="0" fieldPosition="0">
        <references count="1">
          <reference field="10" count="1">
            <x v="0"/>
          </reference>
        </references>
      </pivotArea>
    </format>
    <format dxfId="47">
      <pivotArea outline="0" collapsedLevelsAreSubtotals="1" fieldPosition="0">
        <references count="1">
          <reference field="10" count="1" selected="0">
            <x v="6"/>
          </reference>
        </references>
      </pivotArea>
    </format>
    <format dxfId="46">
      <pivotArea outline="0" collapsedLevelsAreSubtotals="1" fieldPosition="0">
        <references count="1">
          <reference field="10" count="1" selected="0">
            <x v="0"/>
          </reference>
        </references>
      </pivotArea>
    </format>
    <format dxfId="45">
      <pivotArea field="10" type="button" dataOnly="0" labelOnly="1" outline="0" axis="axisCol" fieldPosition="0"/>
    </format>
    <format dxfId="44">
      <pivotArea dataOnly="0" labelOnly="1" outline="0" fieldPosition="0">
        <references count="1">
          <reference field="16" count="0"/>
        </references>
      </pivotArea>
    </format>
    <format dxfId="43">
      <pivotArea dataOnly="0" labelOnly="1" grandRow="1" outline="0" fieldPosition="0"/>
    </format>
    <format dxfId="42">
      <pivotArea dataOnly="0" labelOnly="1" outline="0" fieldPosition="0">
        <references count="1">
          <reference field="10" count="1">
            <x v="0"/>
          </reference>
        </references>
      </pivotArea>
    </format>
    <format dxfId="41">
      <pivotArea outline="0" collapsedLevelsAreSubtotals="1" fieldPosition="0">
        <references count="1">
          <reference field="10" count="1" selected="0">
            <x v="6"/>
          </reference>
        </references>
      </pivotArea>
    </format>
    <format dxfId="40">
      <pivotArea outline="0" collapsedLevelsAreSubtotals="1" fieldPosition="0">
        <references count="1">
          <reference field="10" count="1" selected="0">
            <x v="0"/>
          </reference>
        </references>
      </pivotArea>
    </format>
    <format dxfId="39">
      <pivotArea field="10" type="button" dataOnly="0" labelOnly="1" outline="0" axis="axisCol" fieldPosition="0"/>
    </format>
    <format dxfId="38">
      <pivotArea dataOnly="0" labelOnly="1" outline="0" fieldPosition="0">
        <references count="1">
          <reference field="16" count="0"/>
        </references>
      </pivotArea>
    </format>
    <format dxfId="37">
      <pivotArea dataOnly="0" labelOnly="1" grandRow="1" outline="0" fieldPosition="0"/>
    </format>
    <format dxfId="36">
      <pivotArea dataOnly="0" labelOnly="1" outline="0" fieldPosition="0">
        <references count="1">
          <reference field="10" count="1">
            <x v="0"/>
          </reference>
        </references>
      </pivotArea>
    </format>
    <format dxfId="35">
      <pivotArea outline="0" collapsedLevelsAreSubtotals="1" fieldPosition="0">
        <references count="1">
          <reference field="10" count="1" selected="0">
            <x v="4"/>
          </reference>
        </references>
      </pivotArea>
    </format>
    <format dxfId="34">
      <pivotArea outline="0" collapsedLevelsAreSubtotals="1" fieldPosition="0">
        <references count="1">
          <reference field="10" count="1" selected="0">
            <x v="2"/>
          </reference>
        </references>
      </pivotArea>
    </format>
    <format dxfId="33">
      <pivotArea field="10" type="button" dataOnly="0" labelOnly="1" outline="0" axis="axisCol" fieldPosition="0"/>
    </format>
    <format dxfId="32">
      <pivotArea dataOnly="0" labelOnly="1" outline="0" fieldPosition="0">
        <references count="1">
          <reference field="16" count="13">
            <x v="1"/>
            <x v="6"/>
            <x v="9"/>
            <x v="17"/>
            <x v="19"/>
            <x v="22"/>
            <x v="24"/>
            <x v="25"/>
            <x v="27"/>
            <x v="28"/>
            <x v="29"/>
            <x v="30"/>
            <x v="31"/>
          </reference>
        </references>
      </pivotArea>
    </format>
    <format dxfId="31">
      <pivotArea dataOnly="0" labelOnly="1" grandRow="1" outline="0" fieldPosition="0"/>
    </format>
    <format dxfId="30">
      <pivotArea dataOnly="0" labelOnly="1" outline="0" fieldPosition="0">
        <references count="1">
          <reference field="10" count="1">
            <x v="2"/>
          </reference>
        </references>
      </pivotArea>
    </format>
    <format dxfId="29">
      <pivotArea outline="0" collapsedLevelsAreSubtotals="1" fieldPosition="0">
        <references count="1">
          <reference field="10" count="1" selected="0">
            <x v="4"/>
          </reference>
        </references>
      </pivotArea>
    </format>
    <format dxfId="28">
      <pivotArea outline="0" collapsedLevelsAreSubtotals="1" fieldPosition="0">
        <references count="1">
          <reference field="10" count="1" selected="0">
            <x v="2"/>
          </reference>
        </references>
      </pivotArea>
    </format>
    <format dxfId="27">
      <pivotArea field="10" type="button" dataOnly="0" labelOnly="1" outline="0" axis="axisCol" fieldPosition="0"/>
    </format>
    <format dxfId="26">
      <pivotArea dataOnly="0" labelOnly="1" outline="0" fieldPosition="0">
        <references count="1">
          <reference field="16" count="13">
            <x v="1"/>
            <x v="6"/>
            <x v="9"/>
            <x v="17"/>
            <x v="19"/>
            <x v="22"/>
            <x v="24"/>
            <x v="25"/>
            <x v="27"/>
            <x v="28"/>
            <x v="29"/>
            <x v="30"/>
            <x v="31"/>
          </reference>
        </references>
      </pivotArea>
    </format>
    <format dxfId="25">
      <pivotArea dataOnly="0" labelOnly="1" grandRow="1" outline="0" fieldPosition="0"/>
    </format>
    <format dxfId="24">
      <pivotArea dataOnly="0" labelOnly="1" outline="0" fieldPosition="0">
        <references count="1">
          <reference field="10" count="1">
            <x v="2"/>
          </reference>
        </references>
      </pivotArea>
    </format>
    <format dxfId="23">
      <pivotArea outline="0" collapsedLevelsAreSubtotals="1" fieldPosition="0">
        <references count="1">
          <reference field="10" count="1" selected="0">
            <x v="4"/>
          </reference>
        </references>
      </pivotArea>
    </format>
    <format dxfId="22">
      <pivotArea outline="0" collapsedLevelsAreSubtotals="1" fieldPosition="0">
        <references count="1">
          <reference field="10" count="1" selected="0">
            <x v="2"/>
          </reference>
        </references>
      </pivotArea>
    </format>
    <format dxfId="21">
      <pivotArea field="10" type="button" dataOnly="0" labelOnly="1" outline="0" axis="axisCol" fieldPosition="0"/>
    </format>
    <format dxfId="20">
      <pivotArea dataOnly="0" labelOnly="1" outline="0" fieldPosition="0">
        <references count="1">
          <reference field="16" count="13">
            <x v="1"/>
            <x v="6"/>
            <x v="9"/>
            <x v="17"/>
            <x v="19"/>
            <x v="22"/>
            <x v="24"/>
            <x v="25"/>
            <x v="27"/>
            <x v="28"/>
            <x v="29"/>
            <x v="30"/>
            <x v="31"/>
          </reference>
        </references>
      </pivotArea>
    </format>
    <format dxfId="19">
      <pivotArea dataOnly="0" labelOnly="1" grandRow="1" outline="0" fieldPosition="0"/>
    </format>
    <format dxfId="18">
      <pivotArea dataOnly="0" labelOnly="1" outline="0" fieldPosition="0">
        <references count="1">
          <reference field="10" count="1">
            <x v="2"/>
          </reference>
        </references>
      </pivotArea>
    </format>
    <format dxfId="17">
      <pivotArea outline="0" collapsedLevelsAreSubtotals="1" fieldPosition="0">
        <references count="1">
          <reference field="10" count="1" selected="0">
            <x v="4"/>
          </reference>
        </references>
      </pivotArea>
    </format>
    <format dxfId="16">
      <pivotArea outline="0" collapsedLevelsAreSubtotals="1" fieldPosition="0">
        <references count="1">
          <reference field="10" count="1" selected="0">
            <x v="2"/>
          </reference>
        </references>
      </pivotArea>
    </format>
    <format dxfId="15">
      <pivotArea field="10" type="button" dataOnly="0" labelOnly="1" outline="0" axis="axisCol" fieldPosition="0"/>
    </format>
    <format dxfId="14">
      <pivotArea dataOnly="0" labelOnly="1" outline="0" fieldPosition="0">
        <references count="1">
          <reference field="16" count="14">
            <x v="1"/>
            <x v="6"/>
            <x v="9"/>
            <x v="17"/>
            <x v="19"/>
            <x v="22"/>
            <x v="24"/>
            <x v="25"/>
            <x v="27"/>
            <x v="28"/>
            <x v="29"/>
            <x v="30"/>
            <x v="31"/>
            <x v="32"/>
          </reference>
        </references>
      </pivotArea>
    </format>
    <format dxfId="13">
      <pivotArea dataOnly="0" labelOnly="1" grandRow="1" outline="0" fieldPosition="0"/>
    </format>
    <format dxfId="12">
      <pivotArea dataOnly="0" labelOnly="1" outline="0" fieldPosition="0">
        <references count="1">
          <reference field="10" count="1">
            <x v="2"/>
          </reference>
        </references>
      </pivotArea>
    </format>
    <format dxfId="11">
      <pivotArea outline="0" collapsedLevelsAreSubtotals="1" fieldPosition="0">
        <references count="1">
          <reference field="10" count="1" selected="0">
            <x v="4"/>
          </reference>
        </references>
      </pivotArea>
    </format>
    <format dxfId="10">
      <pivotArea outline="0" collapsedLevelsAreSubtotals="1" fieldPosition="0">
        <references count="1">
          <reference field="10" count="1" selected="0">
            <x v="2"/>
          </reference>
        </references>
      </pivotArea>
    </format>
    <format dxfId="9">
      <pivotArea field="10" type="button" dataOnly="0" labelOnly="1" outline="0" axis="axisCol" fieldPosition="0"/>
    </format>
    <format dxfId="8">
      <pivotArea dataOnly="0" labelOnly="1" outline="0" fieldPosition="0">
        <references count="1">
          <reference field="16" count="14">
            <x v="1"/>
            <x v="6"/>
            <x v="9"/>
            <x v="17"/>
            <x v="19"/>
            <x v="22"/>
            <x v="24"/>
            <x v="25"/>
            <x v="27"/>
            <x v="28"/>
            <x v="29"/>
            <x v="30"/>
            <x v="31"/>
            <x v="32"/>
          </reference>
        </references>
      </pivotArea>
    </format>
    <format dxfId="7">
      <pivotArea dataOnly="0" labelOnly="1" grandRow="1" outline="0" fieldPosition="0"/>
    </format>
    <format dxfId="6">
      <pivotArea dataOnly="0" labelOnly="1" outline="0" fieldPosition="0">
        <references count="1">
          <reference field="10" count="1">
            <x v="2"/>
          </reference>
        </references>
      </pivotArea>
    </format>
    <format dxfId="5">
      <pivotArea outline="0" collapsedLevelsAreSubtotals="1" fieldPosition="0">
        <references count="1">
          <reference field="10" count="1" selected="0">
            <x v="5"/>
          </reference>
        </references>
      </pivotArea>
    </format>
    <format dxfId="4">
      <pivotArea outline="0" collapsedLevelsAreSubtotals="1" fieldPosition="0">
        <references count="1">
          <reference field="10" count="1" selected="0">
            <x v="3"/>
          </reference>
        </references>
      </pivotArea>
    </format>
    <format dxfId="3">
      <pivotArea field="10" type="button" dataOnly="0" labelOnly="1" outline="0" axis="axisCol" fieldPosition="0"/>
    </format>
    <format dxfId="2">
      <pivotArea dataOnly="0" labelOnly="1" outline="0" fieldPosition="0">
        <references count="1">
          <reference field="16" count="14">
            <x v="1"/>
            <x v="6"/>
            <x v="9"/>
            <x v="17"/>
            <x v="19"/>
            <x v="22"/>
            <x v="24"/>
            <x v="25"/>
            <x v="27"/>
            <x v="28"/>
            <x v="29"/>
            <x v="30"/>
            <x v="31"/>
            <x v="32"/>
          </reference>
        </references>
      </pivotArea>
    </format>
    <format dxfId="1">
      <pivotArea dataOnly="0" labelOnly="1" grandRow="1" outline="0" fieldPosition="0"/>
    </format>
    <format dxfId="0">
      <pivotArea dataOnly="0" labelOnly="1" outline="0" fieldPosition="0">
        <references count="1">
          <reference field="10" count="1">
            <x v="3"/>
          </reference>
        </references>
      </pivotArea>
    </format>
  </formats>
  <pivotTableStyleInfo name="Arris_Pivot_Table_1"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A3:B99" firstHeaderRow="1" firstDataRow="1" firstDataCol="1"/>
  <pivotFields count="53">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ascending" defaultSubtotal="0">
      <items count="861">
        <item x="93"/>
        <item m="1" x="100"/>
        <item m="1" x="860"/>
        <item m="1" x="98"/>
        <item m="1" x="113"/>
        <item m="1" x="416"/>
        <item m="1" x="329"/>
        <item m="1" x="783"/>
        <item m="1" x="843"/>
        <item m="1" x="859"/>
        <item m="1" x="99"/>
        <item m="1" x="104"/>
        <item x="56"/>
        <item x="74"/>
        <item x="76"/>
        <item m="1" x="105"/>
        <item m="1" x="102"/>
        <item m="1" x="97"/>
        <item m="1" x="96"/>
        <item m="1" x="106"/>
        <item m="1" x="103"/>
        <item m="1" x="101"/>
        <item m="1" x="109"/>
        <item m="1" x="107"/>
        <item m="1" x="115"/>
        <item m="1" x="111"/>
        <item x="72"/>
        <item m="1" x="110"/>
        <item m="1" x="108"/>
        <item m="1" x="121"/>
        <item m="1" x="112"/>
        <item x="19"/>
        <item m="1" x="132"/>
        <item m="1" x="114"/>
        <item m="1" x="116"/>
        <item m="1" x="222"/>
        <item m="1" x="193"/>
        <item m="1" x="169"/>
        <item m="1" x="146"/>
        <item m="1" x="123"/>
        <item m="1" x="117"/>
        <item m="1" x="225"/>
        <item m="1" x="227"/>
        <item m="1" x="198"/>
        <item m="1" x="173"/>
        <item m="1" x="147"/>
        <item m="1" x="133"/>
        <item m="1" x="124"/>
        <item m="1" x="120"/>
        <item m="1" x="118"/>
        <item m="1" x="229"/>
        <item m="1" x="200"/>
        <item m="1" x="174"/>
        <item m="1" x="149"/>
        <item m="1" x="135"/>
        <item m="1" x="126"/>
        <item m="1" x="119"/>
        <item m="1" x="230"/>
        <item m="1" x="201"/>
        <item m="1" x="151"/>
        <item m="1" x="138"/>
        <item m="1" x="208"/>
        <item m="1" x="144"/>
        <item m="1" x="202"/>
        <item m="1" x="136"/>
        <item m="1" x="127"/>
        <item m="1" x="122"/>
        <item m="1" x="234"/>
        <item m="1" x="282"/>
        <item m="1" x="148"/>
        <item m="1" x="134"/>
        <item m="1" x="125"/>
        <item m="1" x="288"/>
        <item m="1" x="254"/>
        <item m="1" x="231"/>
        <item m="1" x="203"/>
        <item m="1" x="175"/>
        <item m="1" x="150"/>
        <item m="1" x="137"/>
        <item m="1" x="140"/>
        <item m="1" x="128"/>
        <item m="1" x="294"/>
        <item m="1" x="257"/>
        <item m="1" x="207"/>
        <item m="1" x="180"/>
        <item m="1" x="155"/>
        <item m="1" x="141"/>
        <item m="1" x="129"/>
        <item m="1" x="295"/>
        <item m="1" x="216"/>
        <item m="1" x="188"/>
        <item m="1" x="163"/>
        <item m="1" x="145"/>
        <item m="1" x="130"/>
        <item m="1" x="313"/>
        <item m="1" x="276"/>
        <item m="1" x="131"/>
        <item m="1" x="176"/>
        <item m="1" x="152"/>
        <item m="1" x="139"/>
        <item m="1" x="327"/>
        <item m="1" x="204"/>
        <item m="1" x="177"/>
        <item m="1" x="261"/>
        <item m="1" x="236"/>
        <item m="1" x="209"/>
        <item m="1" x="181"/>
        <item m="1" x="156"/>
        <item m="1" x="142"/>
        <item m="1" x="335"/>
        <item m="1" x="298"/>
        <item m="1" x="263"/>
        <item m="1" x="237"/>
        <item m="1" x="210"/>
        <item m="1" x="182"/>
        <item m="1" x="157"/>
        <item m="1" x="143"/>
        <item m="1" x="337"/>
        <item m="1" x="300"/>
        <item m="1" x="265"/>
        <item m="1" x="238"/>
        <item m="1" x="211"/>
        <item m="1" x="183"/>
        <item m="1" x="158"/>
        <item m="1" x="344"/>
        <item m="1" x="305"/>
        <item m="1" x="269"/>
        <item m="1" x="239"/>
        <item m="1" x="184"/>
        <item m="1" x="159"/>
        <item m="1" x="273"/>
        <item m="1" x="241"/>
        <item m="1" x="213"/>
        <item m="1" x="185"/>
        <item m="1" x="160"/>
        <item m="1" x="354"/>
        <item m="1" x="247"/>
        <item m="1" x="220"/>
        <item m="1" x="205"/>
        <item m="1" x="178"/>
        <item m="1" x="153"/>
        <item m="1" x="374"/>
        <item m="1" x="330"/>
        <item m="1" x="292"/>
        <item m="1" x="256"/>
        <item m="1" x="233"/>
        <item m="1" x="206"/>
        <item m="1" x="179"/>
        <item m="1" x="154"/>
        <item m="1" x="375"/>
        <item m="1" x="331"/>
        <item m="1" x="350"/>
        <item m="1" x="311"/>
        <item m="1" x="274"/>
        <item m="1" x="242"/>
        <item m="1" x="214"/>
        <item m="1" x="186"/>
        <item m="1" x="161"/>
        <item m="1" x="392"/>
        <item m="1" x="352"/>
        <item m="1" x="312"/>
        <item m="1" x="275"/>
        <item m="1" x="243"/>
        <item m="1" x="215"/>
        <item m="1" x="187"/>
        <item m="1" x="162"/>
        <item m="1" x="393"/>
        <item m="1" x="353"/>
        <item m="1" x="314"/>
        <item m="1" x="277"/>
        <item m="1" x="244"/>
        <item m="1" x="217"/>
        <item m="1" x="189"/>
        <item m="1" x="164"/>
        <item m="1" x="395"/>
        <item m="1" x="355"/>
        <item m="1" x="315"/>
        <item m="1" x="278"/>
        <item m="1" x="245"/>
        <item m="1" x="218"/>
        <item m="1" x="190"/>
        <item m="1" x="165"/>
        <item m="1" x="397"/>
        <item m="1" x="356"/>
        <item m="1" x="316"/>
        <item m="1" x="279"/>
        <item m="1" x="246"/>
        <item m="1" x="219"/>
        <item m="1" x="191"/>
        <item m="1" x="166"/>
        <item m="1" x="398"/>
        <item m="1" x="358"/>
        <item m="1" x="317"/>
        <item m="1" x="280"/>
        <item m="1" x="248"/>
        <item m="1" x="221"/>
        <item m="1" x="192"/>
        <item m="1" x="167"/>
        <item m="1" x="400"/>
        <item m="1" x="359"/>
        <item m="1" x="318"/>
        <item m="1" x="281"/>
        <item m="1" x="249"/>
        <item m="1" x="223"/>
        <item m="1" x="194"/>
        <item m="1" x="168"/>
        <item m="1" x="402"/>
        <item m="1" x="360"/>
        <item m="1" x="319"/>
        <item m="1" x="283"/>
        <item m="1" x="250"/>
        <item m="1" x="224"/>
        <item m="1" x="195"/>
        <item m="1" x="170"/>
        <item m="1" x="403"/>
        <item m="1" x="361"/>
        <item m="1" x="322"/>
        <item m="1" x="285"/>
        <item m="1" x="251"/>
        <item m="1" x="226"/>
        <item m="1" x="197"/>
        <item m="1" x="171"/>
        <item m="1" x="404"/>
        <item m="1" x="364"/>
        <item m="1" x="323"/>
        <item m="1" x="286"/>
        <item m="1" x="252"/>
        <item m="1" x="228"/>
        <item m="1" x="199"/>
        <item m="1" x="172"/>
        <item m="1" x="406"/>
        <item m="1" x="365"/>
        <item m="1" x="326"/>
        <item m="1" x="289"/>
        <item m="1" x="388"/>
        <item m="1" x="396"/>
        <item m="1" x="357"/>
        <item m="1" x="196"/>
        <item m="1" x="290"/>
        <item m="1" x="255"/>
        <item m="1" x="232"/>
        <item m="1" x="417"/>
        <item m="1" x="380"/>
        <item m="1" x="338"/>
        <item m="1" x="301"/>
        <item m="1" x="389"/>
        <item m="1" x="348"/>
        <item m="1" x="309"/>
        <item m="1" x="272"/>
        <item m="1" x="240"/>
        <item m="1" x="212"/>
        <item m="1" x="461"/>
        <item m="1" x="434"/>
        <item m="1" x="401"/>
        <item m="1" x="366"/>
        <item m="1" x="376"/>
        <item m="1" x="332"/>
        <item m="1" x="293"/>
        <item m="1" x="472"/>
        <item m="1" x="418"/>
        <item m="1" x="235"/>
        <item m="1" x="475"/>
        <item m="1" x="339"/>
        <item m="1" x="383"/>
        <item m="1" x="342"/>
        <item m="1" x="456"/>
        <item m="1" x="462"/>
        <item m="1" x="437"/>
        <item m="1" x="407"/>
        <item m="1" x="367"/>
        <item m="1" x="324"/>
        <item m="1" x="287"/>
        <item m="1" x="253"/>
        <item m="1" x="489"/>
        <item m="1" x="466"/>
        <item m="1" x="441"/>
        <item m="1" x="411"/>
        <item m="1" x="258"/>
        <item m="1" x="494"/>
        <item m="1" x="473"/>
        <item m="1" x="446"/>
        <item m="1" x="420"/>
        <item m="1" x="377"/>
        <item m="1" x="333"/>
        <item m="1" x="296"/>
        <item m="1" x="259"/>
        <item m="1" x="495"/>
        <item m="1" x="474"/>
        <item m="1" x="447"/>
        <item m="1" x="421"/>
        <item m="1" x="378"/>
        <item m="1" x="334"/>
        <item m="1" x="297"/>
        <item m="1" x="260"/>
        <item m="1" x="496"/>
        <item m="1" x="476"/>
        <item m="1" x="448"/>
        <item m="1" x="422"/>
        <item m="1" x="379"/>
        <item m="1" x="336"/>
        <item m="1" x="299"/>
        <item m="1" x="262"/>
        <item m="1" x="497"/>
        <item m="1" x="477"/>
        <item m="1" x="449"/>
        <item m="1" x="423"/>
        <item m="1" x="381"/>
        <item m="1" x="340"/>
        <item m="1" x="302"/>
        <item m="1" x="264"/>
        <item m="1" x="498"/>
        <item m="1" x="478"/>
        <item m="1" x="450"/>
        <item m="1" x="424"/>
        <item m="1" x="382"/>
        <item m="1" x="341"/>
        <item m="1" x="303"/>
        <item m="1" x="266"/>
        <item m="1" x="499"/>
        <item m="1" x="479"/>
        <item m="1" x="451"/>
        <item m="1" x="425"/>
        <item m="1" x="384"/>
        <item m="1" x="343"/>
        <item m="1" x="304"/>
        <item m="1" x="267"/>
        <item m="1" x="500"/>
        <item m="1" x="480"/>
        <item m="1" x="452"/>
        <item m="1" x="426"/>
        <item m="1" x="385"/>
        <item m="1" x="345"/>
        <item m="1" x="306"/>
        <item m="1" x="268"/>
        <item m="1" x="501"/>
        <item m="1" x="481"/>
        <item m="1" x="454"/>
        <item m="1" x="427"/>
        <item m="1" x="386"/>
        <item m="1" x="346"/>
        <item m="1" x="307"/>
        <item m="1" x="270"/>
        <item m="1" x="502"/>
        <item m="1" x="482"/>
        <item m="1" x="455"/>
        <item m="1" x="428"/>
        <item m="1" x="387"/>
        <item m="1" x="347"/>
        <item m="1" x="308"/>
        <item m="1" x="271"/>
        <item m="1" x="503"/>
        <item m="1" x="483"/>
        <item m="1" x="457"/>
        <item m="1" x="430"/>
        <item m="1" x="390"/>
        <item m="1" x="349"/>
        <item m="1" x="310"/>
        <item m="1" x="362"/>
        <item m="1" x="320"/>
        <item m="1" x="284"/>
        <item m="1" x="507"/>
        <item m="1" x="487"/>
        <item m="1" x="463"/>
        <item m="1" x="435"/>
        <item m="1" x="438"/>
        <item m="1" x="408"/>
        <item m="1" x="328"/>
        <item m="1" x="291"/>
        <item m="1" x="515"/>
        <item m="1" x="419"/>
        <item m="1" x="429"/>
        <item m="1" x="458"/>
        <item m="1" x="433"/>
        <item m="1" x="394"/>
        <item m="1" x="399"/>
        <item m="1" x="363"/>
        <item m="1" x="321"/>
        <item m="1" x="520"/>
        <item m="1" x="508"/>
        <item m="1" x="488"/>
        <item m="1" x="464"/>
        <item m="1" x="439"/>
        <item m="1" x="409"/>
        <item m="1" x="368"/>
        <item m="1" x="325"/>
        <item m="1" x="521"/>
        <item m="1" x="509"/>
        <item m="1" x="371"/>
        <item m="1" x="453"/>
        <item m="1" x="519"/>
        <item m="1" x="505"/>
        <item m="1" x="485"/>
        <item m="1" x="459"/>
        <item m="1" x="431"/>
        <item m="1" x="391"/>
        <item m="1" x="351"/>
        <item m="1" x="532"/>
        <item x="78"/>
        <item m="1" x="506"/>
        <item m="1" x="486"/>
        <item m="1" x="460"/>
        <item m="1" x="467"/>
        <item m="1" x="440"/>
        <item m="1" x="410"/>
        <item m="1" x="369"/>
        <item m="1" x="535"/>
        <item m="1" x="522"/>
        <item m="1" x="512"/>
        <item m="1" x="442"/>
        <item m="1" x="412"/>
        <item m="1" x="370"/>
        <item m="1" x="537"/>
        <item m="1" x="524"/>
        <item m="1" x="514"/>
        <item m="1" x="492"/>
        <item m="1" x="470"/>
        <item m="1" x="443"/>
        <item m="1" x="413"/>
        <item m="1" x="372"/>
        <item m="1" x="538"/>
        <item m="1" x="525"/>
        <item m="1" x="516"/>
        <item m="1" x="493"/>
        <item m="1" x="471"/>
        <item m="1" x="444"/>
        <item m="1" x="414"/>
        <item m="1" x="373"/>
        <item m="1" x="539"/>
        <item m="1" x="526"/>
        <item m="1" x="432"/>
        <item m="1" x="547"/>
        <item m="1" x="465"/>
        <item m="1" x="436"/>
        <item m="1" x="405"/>
        <item m="1" x="445"/>
        <item m="1" x="415"/>
        <item m="1" x="554"/>
        <item m="1" x="545"/>
        <item m="1" x="529"/>
        <item m="1" x="517"/>
        <item m="1" x="531"/>
        <item m="1" x="518"/>
        <item m="1" x="504"/>
        <item m="1" x="484"/>
        <item m="1" x="468"/>
        <item x="37"/>
        <item m="1" x="559"/>
        <item m="1" x="552"/>
        <item m="1" x="536"/>
        <item m="1" x="523"/>
        <item m="1" x="510"/>
        <item m="1" x="490"/>
        <item m="1" x="469"/>
        <item m="1" x="581"/>
        <item m="1" x="564"/>
        <item m="1" x="553"/>
        <item x="36"/>
        <item x="6"/>
        <item m="1" x="511"/>
        <item m="1" x="601"/>
        <item m="1" x="513"/>
        <item m="1" x="491"/>
        <item m="1" x="568"/>
        <item m="1" x="556"/>
        <item m="1" x="541"/>
        <item m="1" x="528"/>
        <item m="1" x="571"/>
        <item m="1" x="598"/>
        <item m="1" x="619"/>
        <item m="1" x="551"/>
        <item m="1" x="607"/>
        <item m="1" x="561"/>
        <item m="1" x="579"/>
        <item m="1" x="550"/>
        <item m="1" x="582"/>
        <item x="20"/>
        <item m="1" x="543"/>
        <item m="1" x="527"/>
        <item m="1" x="648"/>
        <item m="1" x="546"/>
        <item m="1" x="530"/>
        <item m="1" x="596"/>
        <item m="1" x="533"/>
        <item m="1" x="658"/>
        <item m="1" x="636"/>
        <item m="1" x="620"/>
        <item m="1" x="599"/>
        <item m="1" x="580"/>
        <item m="1" x="563"/>
        <item m="1" x="549"/>
        <item m="1" x="534"/>
        <item m="1" x="659"/>
        <item m="1" x="637"/>
        <item m="1" x="621"/>
        <item m="1" x="600"/>
        <item m="1" x="623"/>
        <item m="1" x="604"/>
        <item m="1" x="584"/>
        <item m="1" x="567"/>
        <item m="1" x="555"/>
        <item m="1" x="540"/>
        <item m="1" x="665"/>
        <item m="1" x="644"/>
        <item m="1" x="624"/>
        <item m="1" x="605"/>
        <item m="1" x="585"/>
        <item m="1" x="569"/>
        <item m="1" x="557"/>
        <item m="1" x="542"/>
        <item m="1" x="667"/>
        <item m="1" x="646"/>
        <item m="1" x="625"/>
        <item m="1" x="606"/>
        <item m="1" x="586"/>
        <item m="1" x="570"/>
        <item m="1" x="558"/>
        <item m="1" x="544"/>
        <item m="1" x="669"/>
        <item m="1" x="649"/>
        <item m="1" x="626"/>
        <item m="1" x="574"/>
        <item m="1" x="560"/>
        <item m="1" x="614"/>
        <item m="1" x="594"/>
        <item m="1" x="576"/>
        <item m="1" x="562"/>
        <item m="1" x="548"/>
        <item m="1" x="587"/>
        <item m="1" x="695"/>
        <item m="1" x="671"/>
        <item x="22"/>
        <item m="1" x="589"/>
        <item x="7"/>
        <item m="1" x="610"/>
        <item m="1" x="591"/>
        <item m="1" x="616"/>
        <item m="1" x="634"/>
        <item m="1" x="565"/>
        <item m="1" x="710"/>
        <item m="1" x="683"/>
        <item x="75"/>
        <item m="1" x="640"/>
        <item m="1" x="622"/>
        <item m="1" x="602"/>
        <item m="1" x="583"/>
        <item m="1" x="566"/>
        <item m="1" x="712"/>
        <item m="1" x="686"/>
        <item m="1" x="661"/>
        <item x="94"/>
        <item m="1" x="696"/>
        <item m="1" x="672"/>
        <item m="1" x="650"/>
        <item m="1" x="628"/>
        <item m="1" x="609"/>
        <item m="1" x="590"/>
        <item m="1" x="572"/>
        <item m="1" x="723"/>
        <item m="1" x="697"/>
        <item m="1" x="673"/>
        <item m="1" x="651"/>
        <item m="1" x="629"/>
        <item m="1" x="611"/>
        <item m="1" x="592"/>
        <item m="1" x="573"/>
        <item m="1" x="724"/>
        <item m="1" x="698"/>
        <item m="1" x="674"/>
        <item m="1" x="652"/>
        <item m="1" x="630"/>
        <item x="28"/>
        <item m="1" x="725"/>
        <item m="1" x="675"/>
        <item m="1" x="653"/>
        <item m="1" x="631"/>
        <item m="1" x="612"/>
        <item m="1" x="593"/>
        <item m="1" x="575"/>
        <item m="1" x="726"/>
        <item m="1" x="699"/>
        <item m="1" x="677"/>
        <item m="1" x="655"/>
        <item m="1" x="632"/>
        <item m="1" x="615"/>
        <item m="1" x="595"/>
        <item m="1" x="577"/>
        <item m="1" x="728"/>
        <item m="1" x="701"/>
        <item m="1" x="678"/>
        <item m="1" x="656"/>
        <item m="1" x="633"/>
        <item m="1" x="617"/>
        <item m="1" x="597"/>
        <item m="1" x="578"/>
        <item m="1" x="729"/>
        <item m="1" x="702"/>
        <item m="1" x="679"/>
        <item m="1" x="657"/>
        <item x="49"/>
        <item m="1" x="603"/>
        <item m="1" x="608"/>
        <item m="1" x="588"/>
        <item x="25"/>
        <item x="26"/>
        <item x="27"/>
        <item m="1" x="618"/>
        <item m="1" x="708"/>
        <item m="1" x="757"/>
        <item m="1" x="739"/>
        <item m="1" x="713"/>
        <item m="1" x="740"/>
        <item m="1" x="717"/>
        <item m="1" x="690"/>
        <item x="42"/>
        <item m="1" x="666"/>
        <item m="1" x="645"/>
        <item m="1" x="627"/>
        <item m="1" x="749"/>
        <item m="1" x="727"/>
        <item m="1" x="700"/>
        <item m="1" x="676"/>
        <item m="1" x="654"/>
        <item x="84"/>
        <item m="1" x="613"/>
        <item x="83"/>
        <item x="86"/>
        <item x="88"/>
        <item x="35"/>
        <item m="1" x="752"/>
        <item m="1" x="682"/>
        <item m="1" x="638"/>
        <item m="1" x="759"/>
        <item m="1" x="767"/>
        <item m="1" x="730"/>
        <item m="1" x="703"/>
        <item m="1" x="680"/>
        <item x="47"/>
        <item x="48"/>
        <item m="1" x="635"/>
        <item m="1" x="792"/>
        <item m="1" x="711"/>
        <item m="1" x="684"/>
        <item x="2"/>
        <item m="1" x="639"/>
        <item m="1" x="801"/>
        <item m="1" x="776"/>
        <item m="1" x="760"/>
        <item x="4"/>
        <item m="1" x="714"/>
        <item m="1" x="687"/>
        <item m="1" x="660"/>
        <item m="1" x="641"/>
        <item m="1" x="803"/>
        <item m="1" x="778"/>
        <item m="1" x="761"/>
        <item m="1" x="741"/>
        <item m="1" x="715"/>
        <item m="1" x="688"/>
        <item m="1" x="662"/>
        <item m="1" x="642"/>
        <item m="1" x="804"/>
        <item m="1" x="779"/>
        <item m="1" x="763"/>
        <item m="1" x="743"/>
        <item m="1" x="718"/>
        <item m="1" x="691"/>
        <item m="1" x="664"/>
        <item m="1" x="643"/>
        <item m="1" x="805"/>
        <item m="1" x="745"/>
        <item m="1" x="719"/>
        <item m="1" x="806"/>
        <item m="1" x="781"/>
        <item m="1" x="765"/>
        <item m="1" x="721"/>
        <item m="1" x="693"/>
        <item m="1" x="668"/>
        <item m="1" x="647"/>
        <item m="1" x="808"/>
        <item m="1" x="784"/>
        <item x="81"/>
        <item m="1" x="747"/>
        <item m="1" x="722"/>
        <item m="1" x="694"/>
        <item m="1" x="670"/>
        <item x="90"/>
        <item x="89"/>
        <item x="8"/>
        <item m="1" x="771"/>
        <item m="1" x="753"/>
        <item m="1" x="734"/>
        <item m="1" x="707"/>
        <item x="40"/>
        <item x="33"/>
        <item m="1" x="818"/>
        <item m="1" x="795"/>
        <item m="1" x="774"/>
        <item m="1" x="756"/>
        <item m="1" x="737"/>
        <item m="1" x="799"/>
        <item m="1" x="780"/>
        <item m="1" x="762"/>
        <item m="1" x="742"/>
        <item m="1" x="716"/>
        <item m="1" x="689"/>
        <item m="1" x="663"/>
        <item m="1" x="766"/>
        <item m="1" x="787"/>
        <item x="39"/>
        <item m="1" x="748"/>
        <item m="1" x="791"/>
        <item m="1" x="768"/>
        <item m="1" x="827"/>
        <item m="1" x="705"/>
        <item m="1" x="681"/>
        <item x="44"/>
        <item m="1" x="814"/>
        <item m="1" x="816"/>
        <item m="1" x="796"/>
        <item x="43"/>
        <item m="1" x="754"/>
        <item m="1" x="735"/>
        <item m="1" x="738"/>
        <item m="1" x="709"/>
        <item m="1" x="758"/>
        <item x="51"/>
        <item m="1" x="685"/>
        <item m="1" x="692"/>
        <item m="1" x="832"/>
        <item m="1" x="809"/>
        <item m="1" x="836"/>
        <item m="1" x="731"/>
        <item m="1" x="704"/>
        <item m="1" x="840"/>
        <item m="1" x="828"/>
        <item m="1" x="815"/>
        <item m="1" x="793"/>
        <item m="1" x="769"/>
        <item m="1" x="750"/>
        <item m="1" x="732"/>
        <item m="1" x="706"/>
        <item x="5"/>
        <item m="1" x="829"/>
        <item m="1" x="817"/>
        <item m="1" x="794"/>
        <item m="1" x="770"/>
        <item m="1" x="751"/>
        <item m="1" x="733"/>
        <item x="21"/>
        <item m="1" x="841"/>
        <item m="1" x="830"/>
        <item m="1" x="819"/>
        <item m="1" x="797"/>
        <item m="1" x="772"/>
        <item x="29"/>
        <item m="1" x="744"/>
        <item x="0"/>
        <item m="1" x="844"/>
        <item m="1" x="833"/>
        <item m="1" x="822"/>
        <item m="1" x="807"/>
        <item m="1" x="782"/>
        <item m="1" x="764"/>
        <item m="1" x="746"/>
        <item m="1" x="720"/>
        <item m="1" x="845"/>
        <item m="1" x="834"/>
        <item m="1" x="823"/>
        <item m="1" x="790"/>
        <item m="1" x="846"/>
        <item m="1" x="837"/>
        <item x="23"/>
        <item x="24"/>
        <item m="1" x="839"/>
        <item m="1" x="820"/>
        <item m="1" x="798"/>
        <item m="1" x="773"/>
        <item m="1" x="755"/>
        <item m="1" x="736"/>
        <item m="1" x="850"/>
        <item m="1" x="842"/>
        <item m="1" x="831"/>
        <item m="1" x="821"/>
        <item m="1" x="800"/>
        <item m="1" x="775"/>
        <item m="1" x="802"/>
        <item m="1" x="835"/>
        <item x="82"/>
        <item x="91"/>
        <item x="92"/>
        <item x="3"/>
        <item m="1" x="853"/>
        <item m="1" x="847"/>
        <item m="1" x="838"/>
        <item m="1" x="826"/>
        <item m="1" x="813"/>
        <item x="52"/>
        <item m="1" x="848"/>
        <item m="1" x="849"/>
        <item m="1" x="855"/>
        <item x="13"/>
        <item m="1" x="777"/>
        <item x="11"/>
        <item x="50"/>
        <item x="10"/>
        <item x="12"/>
        <item m="1" x="785"/>
        <item m="1" x="786"/>
        <item x="14"/>
        <item m="1" x="851"/>
        <item m="1" x="810"/>
        <item m="1" x="788"/>
        <item m="1" x="856"/>
        <item m="1" x="824"/>
        <item m="1" x="811"/>
        <item x="53"/>
        <item m="1" x="857"/>
        <item m="1" x="825"/>
        <item m="1" x="812"/>
        <item m="1" x="789"/>
        <item m="1" x="858"/>
        <item m="1" x="854"/>
        <item m="1" x="852"/>
        <item x="9"/>
        <item x="1"/>
        <item x="77"/>
        <item x="79"/>
        <item x="80"/>
        <item x="69"/>
        <item x="70"/>
        <item x="71"/>
        <item x="73"/>
        <item x="87"/>
        <item x="85"/>
        <item x="55"/>
        <item x="68"/>
        <item x="34"/>
        <item x="30"/>
        <item x="15"/>
        <item x="54"/>
        <item x="45"/>
        <item x="31"/>
        <item x="38"/>
        <item x="18"/>
        <item x="16"/>
        <item x="46"/>
        <item x="32"/>
        <item x="17"/>
        <item x="41"/>
        <item x="58"/>
        <item x="59"/>
        <item x="65"/>
        <item x="57"/>
        <item x="62"/>
        <item x="60"/>
        <item x="67"/>
        <item x="66"/>
        <item x="64"/>
        <item x="63"/>
        <item x="61"/>
        <item x="9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5"/>
  </rowFields>
  <rowItems count="96">
    <i>
      <x/>
    </i>
    <i>
      <x v="12"/>
    </i>
    <i>
      <x v="13"/>
    </i>
    <i>
      <x v="14"/>
    </i>
    <i>
      <x v="26"/>
    </i>
    <i>
      <x v="31"/>
    </i>
    <i>
      <x v="397"/>
    </i>
    <i>
      <x v="445"/>
    </i>
    <i>
      <x v="456"/>
    </i>
    <i>
      <x v="457"/>
    </i>
    <i>
      <x v="475"/>
    </i>
    <i>
      <x v="530"/>
    </i>
    <i>
      <x v="532"/>
    </i>
    <i>
      <x v="540"/>
    </i>
    <i>
      <x v="549"/>
    </i>
    <i>
      <x v="570"/>
    </i>
    <i>
      <x v="598"/>
    </i>
    <i>
      <x v="602"/>
    </i>
    <i>
      <x v="603"/>
    </i>
    <i>
      <x v="604"/>
    </i>
    <i>
      <x v="613"/>
    </i>
    <i>
      <x v="622"/>
    </i>
    <i>
      <x v="624"/>
    </i>
    <i>
      <x v="625"/>
    </i>
    <i>
      <x v="626"/>
    </i>
    <i>
      <x v="627"/>
    </i>
    <i>
      <x v="636"/>
    </i>
    <i>
      <x v="637"/>
    </i>
    <i>
      <x v="642"/>
    </i>
    <i>
      <x v="647"/>
    </i>
    <i>
      <x v="680"/>
    </i>
    <i>
      <x v="685"/>
    </i>
    <i>
      <x v="686"/>
    </i>
    <i>
      <x v="687"/>
    </i>
    <i>
      <x v="692"/>
    </i>
    <i>
      <x v="693"/>
    </i>
    <i>
      <x v="708"/>
    </i>
    <i>
      <x v="715"/>
    </i>
    <i>
      <x v="719"/>
    </i>
    <i>
      <x v="725"/>
    </i>
    <i>
      <x v="741"/>
    </i>
    <i>
      <x v="748"/>
    </i>
    <i>
      <x v="754"/>
    </i>
    <i>
      <x v="756"/>
    </i>
    <i>
      <x v="771"/>
    </i>
    <i>
      <x v="772"/>
    </i>
    <i>
      <x v="787"/>
    </i>
    <i>
      <x v="788"/>
    </i>
    <i>
      <x v="789"/>
    </i>
    <i>
      <x v="790"/>
    </i>
    <i>
      <x v="796"/>
    </i>
    <i>
      <x v="800"/>
    </i>
    <i>
      <x v="802"/>
    </i>
    <i>
      <x v="803"/>
    </i>
    <i>
      <x v="804"/>
    </i>
    <i>
      <x v="805"/>
    </i>
    <i>
      <x v="808"/>
    </i>
    <i>
      <x v="815"/>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rowItems>
  <colItems count="1">
    <i/>
  </colItems>
  <dataFields count="1">
    <dataField name="Count of ORG_COD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sheetPr>
  <dimension ref="A1:LL117"/>
  <sheetViews>
    <sheetView showGridLines="0" zoomScale="70" zoomScaleNormal="70" workbookViewId="0">
      <selection activeCell="J22" sqref="J22"/>
    </sheetView>
  </sheetViews>
  <sheetFormatPr defaultRowHeight="27" customHeight="1" x14ac:dyDescent="0.25"/>
  <cols>
    <col min="1" max="1" width="9.140625" style="1"/>
    <col min="2" max="2" width="17.85546875" style="15" customWidth="1"/>
    <col min="3" max="3" width="30.7109375" style="15" customWidth="1"/>
    <col min="4" max="4" width="38.7109375" style="15" customWidth="1"/>
    <col min="5" max="5" width="21.42578125" style="15" customWidth="1"/>
    <col min="6" max="6" width="17.85546875" style="15" customWidth="1"/>
    <col min="7" max="7" width="27.7109375" style="15" customWidth="1"/>
    <col min="8" max="167" width="8" customWidth="1"/>
    <col min="168" max="168" width="11.28515625" customWidth="1"/>
    <col min="169" max="322" width="8" customWidth="1"/>
    <col min="323" max="323" width="7.28515625" customWidth="1"/>
    <col min="324" max="324" width="11.28515625" bestFit="1" customWidth="1"/>
  </cols>
  <sheetData>
    <row r="1" spans="1:324" s="1" customFormat="1" ht="27" customHeight="1" x14ac:dyDescent="0.25">
      <c r="B1" s="21" t="s">
        <v>75</v>
      </c>
      <c r="C1" s="21" t="s">
        <v>82</v>
      </c>
      <c r="D1" s="21" t="s">
        <v>81</v>
      </c>
      <c r="E1" s="21" t="s">
        <v>96</v>
      </c>
      <c r="F1" s="21" t="s">
        <v>83</v>
      </c>
      <c r="G1" s="21" t="s">
        <v>61</v>
      </c>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324" s="1" customFormat="1" ht="27" customHeight="1" x14ac:dyDescent="0.25">
      <c r="A2" s="1" t="s">
        <v>86</v>
      </c>
      <c r="B2" s="21">
        <v>20</v>
      </c>
      <c r="C2" s="21">
        <v>213</v>
      </c>
      <c r="D2" s="21">
        <v>52</v>
      </c>
      <c r="E2" s="21">
        <v>2</v>
      </c>
      <c r="F2" s="21">
        <v>0</v>
      </c>
      <c r="G2" s="21">
        <f>SUM(B2:F2)</f>
        <v>287</v>
      </c>
    </row>
    <row r="3" spans="1:324" s="1" customFormat="1" ht="27" customHeight="1" x14ac:dyDescent="0.25">
      <c r="A3" s="1" t="s">
        <v>87</v>
      </c>
      <c r="B3" s="21">
        <v>13</v>
      </c>
      <c r="C3" s="21">
        <v>105</v>
      </c>
      <c r="D3" s="21">
        <v>17</v>
      </c>
      <c r="E3" s="21">
        <v>1</v>
      </c>
      <c r="F3" s="21">
        <v>0</v>
      </c>
      <c r="G3" s="21">
        <f>SUM(B3:F3)</f>
        <v>136</v>
      </c>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324" s="1" customFormat="1" ht="27" customHeight="1" x14ac:dyDescent="0.25">
      <c r="B4" s="85"/>
      <c r="C4" s="15"/>
      <c r="D4" s="15"/>
      <c r="E4" s="15"/>
      <c r="F4" s="15"/>
      <c r="G4" s="15"/>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row>
    <row r="5" spans="1:324" ht="27" customHeight="1" x14ac:dyDescent="0.5">
      <c r="B5" s="19" t="s">
        <v>78</v>
      </c>
      <c r="F5" s="19" t="s">
        <v>77</v>
      </c>
      <c r="Q5" t="s">
        <v>76</v>
      </c>
    </row>
    <row r="6" spans="1:324" s="1" customFormat="1" ht="27" customHeight="1" x14ac:dyDescent="0.25">
      <c r="B6" s="15"/>
      <c r="C6" s="15"/>
      <c r="D6" s="15"/>
      <c r="E6" s="15"/>
      <c r="F6" s="15"/>
      <c r="G6" s="15"/>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row>
    <row r="7" spans="1:324" s="1" customFormat="1" ht="27" customHeight="1" x14ac:dyDescent="0.25">
      <c r="B7" s="20" t="s">
        <v>60</v>
      </c>
      <c r="C7" s="15"/>
      <c r="D7" s="15"/>
      <c r="E7" s="15"/>
      <c r="F7" s="20" t="s">
        <v>60</v>
      </c>
      <c r="G7" s="15" t="s">
        <v>95</v>
      </c>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row>
    <row r="8" spans="1:324" s="1" customFormat="1" ht="27" customHeight="1" x14ac:dyDescent="0.25">
      <c r="B8" s="17">
        <v>42639</v>
      </c>
      <c r="C8" s="15"/>
      <c r="D8" s="15"/>
      <c r="E8" s="18"/>
      <c r="F8" s="24">
        <v>42626.460659722223</v>
      </c>
      <c r="G8" s="18">
        <v>1</v>
      </c>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row>
    <row r="9" spans="1:324" s="1" customFormat="1" ht="27" customHeight="1" x14ac:dyDescent="0.25">
      <c r="B9" s="16" t="s">
        <v>99</v>
      </c>
      <c r="C9" s="15"/>
      <c r="D9" s="15"/>
      <c r="E9" s="18"/>
      <c r="F9" s="24">
        <v>42635.570659722223</v>
      </c>
      <c r="G9" s="18">
        <v>3</v>
      </c>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row>
    <row r="10" spans="1:324" s="1" customFormat="1" ht="27" customHeight="1" x14ac:dyDescent="0.25">
      <c r="B10" s="16" t="s">
        <v>100</v>
      </c>
      <c r="C10" s="15"/>
      <c r="D10" s="15"/>
      <c r="E10" s="15"/>
      <c r="F10" s="24">
        <v>42637.146539351852</v>
      </c>
      <c r="G10" s="18">
        <v>1</v>
      </c>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row>
    <row r="11" spans="1:324" s="1" customFormat="1" ht="27" customHeight="1" x14ac:dyDescent="0.25">
      <c r="B11" s="16" t="s">
        <v>101</v>
      </c>
      <c r="C11" s="15"/>
      <c r="D11" s="15"/>
      <c r="E11" s="15"/>
      <c r="F11" s="15" t="s">
        <v>206</v>
      </c>
      <c r="G11" s="18">
        <v>3</v>
      </c>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row>
    <row r="12" spans="1:324" s="1" customFormat="1" ht="27" customHeight="1" x14ac:dyDescent="0.25">
      <c r="B12" s="16" t="s">
        <v>102</v>
      </c>
      <c r="C12" s="15"/>
      <c r="D12" s="15"/>
      <c r="E12" s="15"/>
      <c r="F12" s="24">
        <v>42639.045486111114</v>
      </c>
      <c r="G12" s="18">
        <v>1</v>
      </c>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row>
    <row r="13" spans="1:324" s="1" customFormat="1" ht="27" customHeight="1" x14ac:dyDescent="0.25">
      <c r="B13" s="16" t="s">
        <v>103</v>
      </c>
      <c r="C13" s="15"/>
      <c r="D13" s="15"/>
      <c r="E13" s="15"/>
      <c r="F13" s="24">
        <v>42643.044525462959</v>
      </c>
      <c r="G13" s="18">
        <v>1</v>
      </c>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row>
    <row r="14" spans="1:324" s="1" customFormat="1" ht="27" customHeight="1" x14ac:dyDescent="0.25">
      <c r="B14" s="16" t="s">
        <v>104</v>
      </c>
      <c r="C14" s="15"/>
      <c r="D14" s="15"/>
      <c r="E14" s="15"/>
      <c r="F14" s="24">
        <v>42647.668912037036</v>
      </c>
      <c r="G14" s="18">
        <v>4</v>
      </c>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row>
    <row r="15" spans="1:324" s="1" customFormat="1" ht="27" customHeight="1" x14ac:dyDescent="0.25">
      <c r="B15" s="16" t="s">
        <v>105</v>
      </c>
      <c r="C15" s="15"/>
      <c r="D15" s="15"/>
      <c r="E15" s="15"/>
      <c r="F15" s="24">
        <v>42646.502384259256</v>
      </c>
      <c r="G15" s="18">
        <v>2</v>
      </c>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row>
    <row r="16" spans="1:324" s="1" customFormat="1" ht="27" customHeight="1" x14ac:dyDescent="0.25">
      <c r="B16" s="16" t="s">
        <v>106</v>
      </c>
      <c r="C16" s="15"/>
      <c r="D16" s="15"/>
      <c r="E16" s="15"/>
      <c r="F16" s="24">
        <v>42646.460844907408</v>
      </c>
      <c r="G16" s="18">
        <v>1</v>
      </c>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row>
    <row r="17" spans="2:324" s="1" customFormat="1" ht="27" customHeight="1" x14ac:dyDescent="0.25">
      <c r="B17" s="16" t="s">
        <v>107</v>
      </c>
      <c r="C17" s="15"/>
      <c r="D17" s="15"/>
      <c r="E17" s="15"/>
      <c r="F17" s="24">
        <v>42644.271736111114</v>
      </c>
      <c r="G17" s="18">
        <v>1</v>
      </c>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row>
    <row r="18" spans="2:324" s="1" customFormat="1" ht="27" customHeight="1" x14ac:dyDescent="0.25">
      <c r="B18" s="16" t="s">
        <v>108</v>
      </c>
      <c r="C18" s="15"/>
      <c r="D18" s="15"/>
      <c r="E18" s="15"/>
      <c r="F18" s="24">
        <v>42649.148229166669</v>
      </c>
      <c r="G18" s="18">
        <v>3</v>
      </c>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row>
    <row r="19" spans="2:324" s="1" customFormat="1" ht="27" customHeight="1" x14ac:dyDescent="0.25">
      <c r="B19" s="16" t="s">
        <v>109</v>
      </c>
      <c r="C19" s="15"/>
      <c r="D19" s="15"/>
      <c r="E19" s="15"/>
      <c r="F19" s="24">
        <v>42648.669004629628</v>
      </c>
      <c r="G19" s="18">
        <v>2</v>
      </c>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row>
    <row r="20" spans="2:324" ht="27" customHeight="1" x14ac:dyDescent="0.25">
      <c r="B20" s="16" t="s">
        <v>110</v>
      </c>
      <c r="F20" s="24">
        <v>42648.627523148149</v>
      </c>
      <c r="G20" s="18">
        <v>1</v>
      </c>
    </row>
    <row r="21" spans="2:324" ht="27" customHeight="1" x14ac:dyDescent="0.25">
      <c r="B21" s="16" t="s">
        <v>111</v>
      </c>
      <c r="F21" s="24">
        <v>42649.503067129626</v>
      </c>
      <c r="G21" s="18">
        <v>5</v>
      </c>
    </row>
    <row r="22" spans="2:324" s="1" customFormat="1" ht="27" customHeight="1" x14ac:dyDescent="0.25">
      <c r="B22" s="16" t="s">
        <v>112</v>
      </c>
      <c r="C22" s="15"/>
      <c r="D22" s="15"/>
      <c r="E22" s="15"/>
      <c r="F22" s="24">
        <v>42649.252534722225</v>
      </c>
      <c r="G22" s="18">
        <v>2</v>
      </c>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row>
    <row r="23" spans="2:324" s="1" customFormat="1" ht="27" customHeight="1" x14ac:dyDescent="0.25">
      <c r="B23" s="16" t="s">
        <v>113</v>
      </c>
      <c r="C23" s="15"/>
      <c r="D23" s="15"/>
      <c r="E23" s="15"/>
      <c r="F23" s="24">
        <v>42649.044456018521</v>
      </c>
      <c r="G23" s="18">
        <v>9</v>
      </c>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row>
    <row r="24" spans="2:324" s="1" customFormat="1" ht="27" customHeight="1" x14ac:dyDescent="0.25">
      <c r="B24" s="16" t="s">
        <v>114</v>
      </c>
      <c r="C24" s="15"/>
      <c r="D24" s="15"/>
      <c r="E24" s="15"/>
      <c r="F24" s="24">
        <v>42649.794571759259</v>
      </c>
      <c r="G24" s="18">
        <v>10</v>
      </c>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row>
    <row r="25" spans="2:324" s="1" customFormat="1" ht="27" customHeight="1" x14ac:dyDescent="0.25">
      <c r="B25" s="16" t="s">
        <v>115</v>
      </c>
      <c r="C25" s="15"/>
      <c r="D25" s="15"/>
      <c r="E25" s="15"/>
      <c r="F25" s="24">
        <v>42653.587060185186</v>
      </c>
      <c r="G25" s="18">
        <v>4</v>
      </c>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row>
    <row r="26" spans="2:324" s="1" customFormat="1" ht="27" customHeight="1" x14ac:dyDescent="0.25">
      <c r="B26" s="16" t="s">
        <v>116</v>
      </c>
      <c r="C26" s="15"/>
      <c r="D26" s="15"/>
      <c r="E26" s="15"/>
      <c r="F26" s="24">
        <v>42654.044409722221</v>
      </c>
      <c r="G26" s="18">
        <v>1</v>
      </c>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row>
    <row r="27" spans="2:324" s="1" customFormat="1" ht="27" customHeight="1" x14ac:dyDescent="0.25">
      <c r="B27" s="16" t="s">
        <v>117</v>
      </c>
      <c r="C27" s="15"/>
      <c r="D27" s="15"/>
      <c r="E27" s="15"/>
      <c r="F27" s="24">
        <v>42654.044421296298</v>
      </c>
      <c r="G27" s="18">
        <v>1</v>
      </c>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row>
    <row r="28" spans="2:324" s="1" customFormat="1" ht="27" customHeight="1" x14ac:dyDescent="0.25">
      <c r="B28" s="16" t="s">
        <v>118</v>
      </c>
      <c r="C28" s="15"/>
      <c r="D28" s="15"/>
      <c r="E28" s="15"/>
      <c r="F28" s="24">
        <v>42654.15215277778</v>
      </c>
      <c r="G28" s="18">
        <v>3</v>
      </c>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row>
    <row r="29" spans="2:324" s="1" customFormat="1" ht="27" customHeight="1" x14ac:dyDescent="0.25">
      <c r="B29" s="16" t="s">
        <v>119</v>
      </c>
      <c r="C29" s="15"/>
      <c r="D29" s="15"/>
      <c r="E29" s="15"/>
      <c r="F29" s="24">
        <v>42653.628784722219</v>
      </c>
      <c r="G29" s="18">
        <v>10</v>
      </c>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row>
    <row r="30" spans="2:324" s="1" customFormat="1" ht="27" customHeight="1" x14ac:dyDescent="0.25">
      <c r="B30" s="16" t="s">
        <v>120</v>
      </c>
      <c r="C30" s="15"/>
      <c r="D30" s="15"/>
      <c r="E30" s="15"/>
      <c r="F30" s="24">
        <v>42651.161226851851</v>
      </c>
      <c r="G30" s="18">
        <v>3</v>
      </c>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row>
    <row r="31" spans="2:324" s="1" customFormat="1" ht="27" customHeight="1" x14ac:dyDescent="0.25">
      <c r="B31" s="17">
        <v>42640</v>
      </c>
      <c r="C31" s="15"/>
      <c r="D31" s="15"/>
      <c r="E31" s="15"/>
      <c r="F31" s="24">
        <v>42650.044456018521</v>
      </c>
      <c r="G31" s="18">
        <v>6</v>
      </c>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row>
    <row r="32" spans="2:324" s="1" customFormat="1" ht="27" customHeight="1" x14ac:dyDescent="0.25">
      <c r="B32" s="16" t="s">
        <v>73</v>
      </c>
      <c r="C32" s="15"/>
      <c r="D32" s="15"/>
      <c r="E32" s="15"/>
      <c r="F32" s="24">
        <v>42653.045439814814</v>
      </c>
      <c r="G32" s="18">
        <v>11</v>
      </c>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row>
    <row r="33" spans="2:324" s="1" customFormat="1" ht="27" customHeight="1" x14ac:dyDescent="0.25">
      <c r="B33" s="16" t="s">
        <v>121</v>
      </c>
      <c r="C33" s="15"/>
      <c r="D33" s="15"/>
      <c r="E33" s="15"/>
      <c r="F33" s="24">
        <v>42650.669108796297</v>
      </c>
      <c r="G33" s="18">
        <v>22</v>
      </c>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row>
    <row r="34" spans="2:324" s="1" customFormat="1" ht="27" customHeight="1" x14ac:dyDescent="0.25">
      <c r="B34" s="16" t="s">
        <v>122</v>
      </c>
      <c r="C34" s="15"/>
      <c r="D34" s="15"/>
      <c r="E34" s="15"/>
      <c r="F34" s="24">
        <v>42653.711226851854</v>
      </c>
      <c r="G34" s="18">
        <v>1</v>
      </c>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row>
    <row r="35" spans="2:324" s="1" customFormat="1" ht="27" customHeight="1" x14ac:dyDescent="0.25">
      <c r="B35" s="16" t="s">
        <v>123</v>
      </c>
      <c r="C35" s="15"/>
      <c r="D35" s="15"/>
      <c r="E35" s="15"/>
      <c r="F35" s="24">
        <v>42650.153113425928</v>
      </c>
      <c r="G35" s="18">
        <v>1</v>
      </c>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row>
    <row r="36" spans="2:324" ht="27" customHeight="1" x14ac:dyDescent="0.25">
      <c r="B36" s="16" t="s">
        <v>124</v>
      </c>
      <c r="F36" s="24">
        <v>42654.501921296294</v>
      </c>
      <c r="G36" s="18">
        <v>2</v>
      </c>
    </row>
    <row r="37" spans="2:324" s="1" customFormat="1" ht="27" customHeight="1" x14ac:dyDescent="0.25">
      <c r="B37" s="16" t="s">
        <v>125</v>
      </c>
      <c r="C37" s="15"/>
      <c r="D37" s="15"/>
      <c r="E37" s="15"/>
      <c r="F37" s="24">
        <v>42651.161238425928</v>
      </c>
      <c r="G37" s="18">
        <v>1</v>
      </c>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row>
    <row r="38" spans="2:324" s="1" customFormat="1" ht="27" customHeight="1" x14ac:dyDescent="0.25">
      <c r="B38" s="16" t="s">
        <v>126</v>
      </c>
      <c r="C38" s="15"/>
      <c r="D38" s="15"/>
      <c r="E38" s="15"/>
      <c r="F38" s="24">
        <v>42653.461122685185</v>
      </c>
      <c r="G38" s="18">
        <v>2</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row>
    <row r="39" spans="2:324" s="1" customFormat="1" ht="27" customHeight="1" x14ac:dyDescent="0.25">
      <c r="B39" s="16" t="s">
        <v>127</v>
      </c>
      <c r="C39" s="15"/>
      <c r="D39" s="15"/>
      <c r="E39" s="15"/>
      <c r="F39" s="24">
        <v>42654.794942129629</v>
      </c>
      <c r="G39" s="18">
        <v>3</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row>
    <row r="40" spans="2:324" s="1" customFormat="1" ht="27" customHeight="1" x14ac:dyDescent="0.25">
      <c r="B40" s="16" t="s">
        <v>128</v>
      </c>
      <c r="C40" s="15"/>
      <c r="D40" s="15"/>
      <c r="E40" s="15"/>
      <c r="F40" s="24">
        <v>42651.161249999997</v>
      </c>
      <c r="G40" s="18">
        <v>2</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row>
    <row r="41" spans="2:324" s="1" customFormat="1" ht="27" customHeight="1" x14ac:dyDescent="0.25">
      <c r="B41" s="16" t="s">
        <v>129</v>
      </c>
      <c r="C41" s="15"/>
      <c r="D41" s="15"/>
      <c r="E41" s="15"/>
      <c r="F41" s="24">
        <v>42655.044907407406</v>
      </c>
      <c r="G41" s="18">
        <v>2</v>
      </c>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row>
    <row r="42" spans="2:324" s="1" customFormat="1" ht="27" customHeight="1" x14ac:dyDescent="0.25">
      <c r="B42" s="16" t="s">
        <v>130</v>
      </c>
      <c r="C42" s="15"/>
      <c r="D42" s="15"/>
      <c r="E42" s="15"/>
      <c r="F42" s="24">
        <v>42655.13585648148</v>
      </c>
      <c r="G42" s="18">
        <v>9</v>
      </c>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row>
    <row r="43" spans="2:324" s="1" customFormat="1" ht="27" customHeight="1" x14ac:dyDescent="0.25">
      <c r="B43" s="16" t="s">
        <v>131</v>
      </c>
      <c r="C43" s="15"/>
      <c r="D43" s="15"/>
      <c r="E43" s="15"/>
      <c r="F43" s="24">
        <v>42654.96162037037</v>
      </c>
      <c r="G43" s="18">
        <v>2</v>
      </c>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row>
    <row r="44" spans="2:324" s="1" customFormat="1" ht="27" customHeight="1" x14ac:dyDescent="0.25">
      <c r="B44" s="16" t="s">
        <v>132</v>
      </c>
      <c r="C44" s="15"/>
      <c r="D44" s="15"/>
      <c r="E44" s="15"/>
      <c r="F44" s="24">
        <v>42655.628113425926</v>
      </c>
      <c r="G44" s="18">
        <v>2</v>
      </c>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row>
    <row r="45" spans="2:324" s="1" customFormat="1" ht="27" customHeight="1" x14ac:dyDescent="0.25">
      <c r="B45" s="16" t="s">
        <v>133</v>
      </c>
      <c r="C45" s="15"/>
      <c r="D45" s="15"/>
      <c r="E45" s="15"/>
      <c r="F45" s="24">
        <v>42655.669594907406</v>
      </c>
      <c r="G45" s="18">
        <v>11</v>
      </c>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row>
    <row r="46" spans="2:324" s="1" customFormat="1" ht="27" customHeight="1" x14ac:dyDescent="0.25">
      <c r="B46" s="16" t="s">
        <v>134</v>
      </c>
      <c r="C46" s="15"/>
      <c r="D46" s="15"/>
      <c r="E46" s="15"/>
      <c r="F46" s="24">
        <v>42655.87809027778</v>
      </c>
      <c r="G46" s="18">
        <v>1</v>
      </c>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row>
    <row r="47" spans="2:324" s="1" customFormat="1" ht="27" customHeight="1" x14ac:dyDescent="0.25">
      <c r="B47" s="16" t="s">
        <v>135</v>
      </c>
      <c r="C47" s="15"/>
      <c r="D47" s="15"/>
      <c r="E47" s="15"/>
      <c r="F47" s="24">
        <v>42656.045266203706</v>
      </c>
      <c r="G47" s="18">
        <v>12</v>
      </c>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row>
    <row r="48" spans="2:324" s="1" customFormat="1" ht="27" customHeight="1" x14ac:dyDescent="0.25">
      <c r="B48" s="16" t="s">
        <v>136</v>
      </c>
      <c r="C48" s="15"/>
      <c r="D48" s="15"/>
      <c r="E48" s="15"/>
      <c r="F48" s="24">
        <v>42655.753148148149</v>
      </c>
      <c r="G48" s="18">
        <v>11</v>
      </c>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row>
    <row r="49" spans="2:324" s="1" customFormat="1" ht="27" customHeight="1" x14ac:dyDescent="0.25">
      <c r="B49" s="16" t="s">
        <v>137</v>
      </c>
      <c r="C49" s="15"/>
      <c r="D49" s="15"/>
      <c r="E49" s="15"/>
      <c r="F49" s="24">
        <v>42655.711377314816</v>
      </c>
      <c r="G49" s="18">
        <v>31</v>
      </c>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row>
    <row r="50" spans="2:324" s="1" customFormat="1" ht="27" customHeight="1" x14ac:dyDescent="0.25">
      <c r="B50" s="16" t="s">
        <v>138</v>
      </c>
      <c r="C50" s="15"/>
      <c r="D50" s="15"/>
      <c r="E50" s="15"/>
      <c r="F50" s="24">
        <v>42656.637523148151</v>
      </c>
      <c r="G50" s="18">
        <v>18</v>
      </c>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row>
    <row r="51" spans="2:324" s="1" customFormat="1" ht="27" customHeight="1" x14ac:dyDescent="0.25">
      <c r="B51" s="16" t="s">
        <v>139</v>
      </c>
      <c r="C51" s="15"/>
      <c r="D51" s="15"/>
      <c r="E51" s="15"/>
      <c r="F51" s="24">
        <v>42656.586354166669</v>
      </c>
      <c r="G51" s="18">
        <v>15</v>
      </c>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row>
    <row r="52" spans="2:324" s="1" customFormat="1" ht="27" customHeight="1" x14ac:dyDescent="0.25">
      <c r="B52" s="16" t="s">
        <v>140</v>
      </c>
      <c r="C52" s="15"/>
      <c r="D52" s="15"/>
      <c r="E52" s="15"/>
      <c r="F52" s="24">
        <v>42656.63753472222</v>
      </c>
      <c r="G52" s="18">
        <v>1</v>
      </c>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row>
    <row r="53" spans="2:324" ht="27" customHeight="1" x14ac:dyDescent="0.25">
      <c r="B53" s="16" t="s">
        <v>141</v>
      </c>
      <c r="F53" s="24">
        <v>42656.378333333334</v>
      </c>
      <c r="G53" s="18">
        <v>1</v>
      </c>
    </row>
    <row r="54" spans="2:324" s="1" customFormat="1" ht="27" customHeight="1" x14ac:dyDescent="0.25">
      <c r="B54" s="16" t="s">
        <v>142</v>
      </c>
      <c r="C54" s="15"/>
      <c r="D54" s="15"/>
      <c r="E54" s="15"/>
      <c r="F54" s="24">
        <v>42656.462812500002</v>
      </c>
      <c r="G54" s="18">
        <v>7</v>
      </c>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row>
    <row r="55" spans="2:324" s="1" customFormat="1" ht="27" customHeight="1" x14ac:dyDescent="0.25">
      <c r="B55" s="16" t="s">
        <v>143</v>
      </c>
      <c r="C55" s="15"/>
      <c r="D55" s="15"/>
      <c r="E55" s="15"/>
      <c r="F55" s="24">
        <v>42656.045277777775</v>
      </c>
      <c r="G55" s="18">
        <v>10</v>
      </c>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row>
    <row r="56" spans="2:324" s="1" customFormat="1" ht="27" customHeight="1" x14ac:dyDescent="0.25">
      <c r="B56" s="16" t="s">
        <v>144</v>
      </c>
      <c r="C56" s="15"/>
      <c r="D56" s="15"/>
      <c r="E56" s="15"/>
      <c r="F56" s="24">
        <v>42656.669976851852</v>
      </c>
      <c r="G56" s="18">
        <v>32</v>
      </c>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row>
    <row r="57" spans="2:324" s="1" customFormat="1" ht="27" customHeight="1" x14ac:dyDescent="0.25">
      <c r="B57" s="16" t="s">
        <v>145</v>
      </c>
      <c r="C57" s="15"/>
      <c r="D57" s="15"/>
      <c r="E57" s="15"/>
      <c r="F57" s="24">
        <v>42656.71162037037</v>
      </c>
      <c r="G57" s="18">
        <v>20</v>
      </c>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row>
    <row r="58" spans="2:324" s="1" customFormat="1" ht="27" customHeight="1" x14ac:dyDescent="0.25">
      <c r="B58" s="16" t="s">
        <v>146</v>
      </c>
      <c r="C58" s="15"/>
      <c r="D58" s="15"/>
      <c r="E58" s="15"/>
      <c r="F58" s="24">
        <v>42656.669988425929</v>
      </c>
      <c r="G58" s="18">
        <v>12</v>
      </c>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row>
    <row r="59" spans="2:324" s="1" customFormat="1" ht="27" customHeight="1" x14ac:dyDescent="0.25">
      <c r="B59" s="16" t="s">
        <v>147</v>
      </c>
      <c r="C59" s="15"/>
      <c r="D59" s="15"/>
      <c r="E59" s="15"/>
      <c r="F59" s="24">
        <v>42656.752129629633</v>
      </c>
      <c r="G59" s="18">
        <v>9</v>
      </c>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row>
    <row r="60" spans="2:324" s="1" customFormat="1" ht="27" customHeight="1" x14ac:dyDescent="0.25">
      <c r="B60" s="16" t="s">
        <v>148</v>
      </c>
      <c r="C60" s="15"/>
      <c r="D60" s="15"/>
      <c r="E60" s="15"/>
      <c r="F60" s="15" t="s">
        <v>61</v>
      </c>
      <c r="G60" s="18">
        <v>329</v>
      </c>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row>
    <row r="61" spans="2:324" s="1" customFormat="1" ht="27" customHeight="1" x14ac:dyDescent="0.25">
      <c r="B61" s="16" t="s">
        <v>149</v>
      </c>
      <c r="C61" s="15"/>
      <c r="D61" s="15"/>
      <c r="E61" s="15"/>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row>
    <row r="62" spans="2:324" s="1" customFormat="1" ht="27" customHeight="1" x14ac:dyDescent="0.25">
      <c r="B62" s="16" t="s">
        <v>150</v>
      </c>
      <c r="C62" s="15"/>
      <c r="D62" s="15"/>
      <c r="E62" s="15"/>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row>
    <row r="63" spans="2:324" s="1" customFormat="1" ht="27" customHeight="1" x14ac:dyDescent="0.25">
      <c r="B63" s="16" t="s">
        <v>151</v>
      </c>
      <c r="C63" s="15"/>
      <c r="D63" s="15"/>
      <c r="E63" s="15"/>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row>
    <row r="64" spans="2:324" s="1" customFormat="1" ht="27" customHeight="1" x14ac:dyDescent="0.25">
      <c r="B64" s="16" t="s">
        <v>152</v>
      </c>
      <c r="C64" s="15"/>
      <c r="D64" s="15"/>
      <c r="E64" s="15"/>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row>
    <row r="65" spans="2:324" s="1" customFormat="1" ht="27" customHeight="1" x14ac:dyDescent="0.25">
      <c r="B65" s="16" t="s">
        <v>153</v>
      </c>
      <c r="C65" s="15"/>
      <c r="D65" s="15"/>
      <c r="E65" s="15"/>
      <c r="F65"/>
      <c r="G65" s="1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row>
    <row r="66" spans="2:324" s="1" customFormat="1" ht="27" customHeight="1" x14ac:dyDescent="0.25">
      <c r="B66" s="16" t="s">
        <v>154</v>
      </c>
      <c r="C66" s="15"/>
      <c r="D66" s="15"/>
      <c r="E66" s="15"/>
      <c r="F66"/>
      <c r="G66" s="15"/>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row>
    <row r="67" spans="2:324" s="1" customFormat="1" ht="27" customHeight="1" x14ac:dyDescent="0.25">
      <c r="B67" s="16" t="s">
        <v>155</v>
      </c>
      <c r="C67" s="15"/>
      <c r="D67" s="15"/>
      <c r="E67" s="15"/>
      <c r="F67"/>
      <c r="G67" s="15"/>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row>
    <row r="68" spans="2:324" ht="27" customHeight="1" x14ac:dyDescent="0.25">
      <c r="B68" s="16" t="s">
        <v>156</v>
      </c>
      <c r="F68"/>
    </row>
    <row r="69" spans="2:324" ht="27" customHeight="1" x14ac:dyDescent="0.25">
      <c r="B69" s="16" t="s">
        <v>157</v>
      </c>
    </row>
    <row r="70" spans="2:324" ht="27" customHeight="1" x14ac:dyDescent="0.25">
      <c r="B70" s="16" t="s">
        <v>158</v>
      </c>
    </row>
    <row r="71" spans="2:324" ht="27" customHeight="1" x14ac:dyDescent="0.25">
      <c r="B71" s="16" t="s">
        <v>159</v>
      </c>
    </row>
    <row r="72" spans="2:324" ht="27" customHeight="1" x14ac:dyDescent="0.25">
      <c r="B72" s="16" t="s">
        <v>160</v>
      </c>
    </row>
    <row r="73" spans="2:324" ht="27" customHeight="1" x14ac:dyDescent="0.25">
      <c r="B73" s="16" t="s">
        <v>161</v>
      </c>
    </row>
    <row r="74" spans="2:324" ht="27" customHeight="1" x14ac:dyDescent="0.25">
      <c r="B74" s="16" t="s">
        <v>162</v>
      </c>
    </row>
    <row r="75" spans="2:324" ht="27" customHeight="1" x14ac:dyDescent="0.25">
      <c r="B75" s="16" t="s">
        <v>163</v>
      </c>
    </row>
    <row r="76" spans="2:324" ht="27" customHeight="1" x14ac:dyDescent="0.25">
      <c r="B76" s="16" t="s">
        <v>164</v>
      </c>
    </row>
    <row r="77" spans="2:324" ht="27" customHeight="1" x14ac:dyDescent="0.25">
      <c r="B77" s="16" t="s">
        <v>165</v>
      </c>
    </row>
    <row r="78" spans="2:324" ht="27" customHeight="1" x14ac:dyDescent="0.25">
      <c r="B78" s="16" t="s">
        <v>166</v>
      </c>
    </row>
    <row r="79" spans="2:324" ht="27" customHeight="1" x14ac:dyDescent="0.25">
      <c r="B79" s="16" t="s">
        <v>167</v>
      </c>
    </row>
    <row r="80" spans="2:324" ht="27" customHeight="1" x14ac:dyDescent="0.25">
      <c r="B80" s="16" t="s">
        <v>168</v>
      </c>
    </row>
    <row r="81" spans="2:2" ht="27" customHeight="1" x14ac:dyDescent="0.25">
      <c r="B81" s="16" t="s">
        <v>169</v>
      </c>
    </row>
    <row r="82" spans="2:2" ht="27" customHeight="1" x14ac:dyDescent="0.25">
      <c r="B82" s="16" t="s">
        <v>170</v>
      </c>
    </row>
    <row r="83" spans="2:2" ht="27" customHeight="1" x14ac:dyDescent="0.25">
      <c r="B83" s="16" t="s">
        <v>171</v>
      </c>
    </row>
    <row r="84" spans="2:2" ht="27" customHeight="1" x14ac:dyDescent="0.25">
      <c r="B84" s="16" t="s">
        <v>172</v>
      </c>
    </row>
    <row r="85" spans="2:2" ht="27" customHeight="1" x14ac:dyDescent="0.25">
      <c r="B85" s="16" t="s">
        <v>173</v>
      </c>
    </row>
    <row r="86" spans="2:2" ht="27" customHeight="1" x14ac:dyDescent="0.25">
      <c r="B86" s="16" t="s">
        <v>174</v>
      </c>
    </row>
    <row r="87" spans="2:2" ht="27" customHeight="1" x14ac:dyDescent="0.25">
      <c r="B87" s="16" t="s">
        <v>175</v>
      </c>
    </row>
    <row r="88" spans="2:2" ht="27" customHeight="1" x14ac:dyDescent="0.25">
      <c r="B88" s="16" t="s">
        <v>176</v>
      </c>
    </row>
    <row r="89" spans="2:2" ht="27" customHeight="1" x14ac:dyDescent="0.25">
      <c r="B89" s="16" t="s">
        <v>177</v>
      </c>
    </row>
    <row r="90" spans="2:2" ht="27" customHeight="1" x14ac:dyDescent="0.25">
      <c r="B90" s="16" t="s">
        <v>178</v>
      </c>
    </row>
    <row r="91" spans="2:2" ht="27" customHeight="1" x14ac:dyDescent="0.25">
      <c r="B91" s="16" t="s">
        <v>179</v>
      </c>
    </row>
    <row r="92" spans="2:2" ht="27" customHeight="1" x14ac:dyDescent="0.25">
      <c r="B92" s="16" t="s">
        <v>180</v>
      </c>
    </row>
    <row r="93" spans="2:2" ht="27" customHeight="1" x14ac:dyDescent="0.25">
      <c r="B93" s="16" t="s">
        <v>181</v>
      </c>
    </row>
    <row r="94" spans="2:2" ht="27" customHeight="1" x14ac:dyDescent="0.25">
      <c r="B94" s="16" t="s">
        <v>182</v>
      </c>
    </row>
    <row r="95" spans="2:2" ht="27" customHeight="1" x14ac:dyDescent="0.25">
      <c r="B95" s="16" t="s">
        <v>183</v>
      </c>
    </row>
    <row r="96" spans="2:2" ht="27" customHeight="1" x14ac:dyDescent="0.25">
      <c r="B96" s="16" t="s">
        <v>184</v>
      </c>
    </row>
    <row r="97" spans="2:2" ht="27" customHeight="1" x14ac:dyDescent="0.25">
      <c r="B97" s="16" t="s">
        <v>185</v>
      </c>
    </row>
    <row r="98" spans="2:2" ht="27" customHeight="1" x14ac:dyDescent="0.25">
      <c r="B98" s="16" t="s">
        <v>186</v>
      </c>
    </row>
    <row r="99" spans="2:2" ht="27" customHeight="1" x14ac:dyDescent="0.25">
      <c r="B99" s="16" t="s">
        <v>187</v>
      </c>
    </row>
    <row r="100" spans="2:2" ht="27" customHeight="1" x14ac:dyDescent="0.25">
      <c r="B100" s="16" t="s">
        <v>188</v>
      </c>
    </row>
    <row r="101" spans="2:2" ht="27" customHeight="1" x14ac:dyDescent="0.25">
      <c r="B101" s="16" t="s">
        <v>189</v>
      </c>
    </row>
    <row r="102" spans="2:2" ht="27" customHeight="1" x14ac:dyDescent="0.25">
      <c r="B102" s="16" t="s">
        <v>190</v>
      </c>
    </row>
    <row r="103" spans="2:2" ht="27" customHeight="1" x14ac:dyDescent="0.25">
      <c r="B103" s="16" t="s">
        <v>191</v>
      </c>
    </row>
    <row r="104" spans="2:2" ht="27" customHeight="1" x14ac:dyDescent="0.25">
      <c r="B104" s="16" t="s">
        <v>192</v>
      </c>
    </row>
    <row r="105" spans="2:2" ht="27" customHeight="1" x14ac:dyDescent="0.25">
      <c r="B105" s="16" t="s">
        <v>193</v>
      </c>
    </row>
    <row r="106" spans="2:2" ht="27" customHeight="1" x14ac:dyDescent="0.25">
      <c r="B106" s="16" t="s">
        <v>194</v>
      </c>
    </row>
    <row r="107" spans="2:2" ht="27" customHeight="1" x14ac:dyDescent="0.25">
      <c r="B107" s="16" t="s">
        <v>195</v>
      </c>
    </row>
    <row r="108" spans="2:2" ht="27" customHeight="1" x14ac:dyDescent="0.25">
      <c r="B108" s="16" t="s">
        <v>196</v>
      </c>
    </row>
    <row r="109" spans="2:2" ht="27" customHeight="1" x14ac:dyDescent="0.25">
      <c r="B109" s="16" t="s">
        <v>197</v>
      </c>
    </row>
    <row r="110" spans="2:2" ht="27" customHeight="1" x14ac:dyDescent="0.25">
      <c r="B110" s="16" t="s">
        <v>198</v>
      </c>
    </row>
    <row r="111" spans="2:2" ht="27" customHeight="1" x14ac:dyDescent="0.25">
      <c r="B111" s="16" t="s">
        <v>199</v>
      </c>
    </row>
    <row r="112" spans="2:2" ht="27" customHeight="1" x14ac:dyDescent="0.25">
      <c r="B112" s="16" t="s">
        <v>200</v>
      </c>
    </row>
    <row r="113" spans="2:2" ht="27" customHeight="1" x14ac:dyDescent="0.25">
      <c r="B113" s="16" t="s">
        <v>201</v>
      </c>
    </row>
    <row r="114" spans="2:2" ht="27" customHeight="1" x14ac:dyDescent="0.25">
      <c r="B114" s="16" t="s">
        <v>202</v>
      </c>
    </row>
    <row r="115" spans="2:2" ht="27" customHeight="1" x14ac:dyDescent="0.25">
      <c r="B115" s="16" t="s">
        <v>203</v>
      </c>
    </row>
    <row r="116" spans="2:2" ht="27" customHeight="1" x14ac:dyDescent="0.25">
      <c r="B116" s="16" t="s">
        <v>204</v>
      </c>
    </row>
    <row r="117" spans="2:2" ht="27" customHeight="1" x14ac:dyDescent="0.25">
      <c r="B117" s="15" t="s">
        <v>61</v>
      </c>
    </row>
  </sheetData>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6" tint="-0.249977111117893"/>
  </sheetPr>
  <dimension ref="A1:L10000"/>
  <sheetViews>
    <sheetView showGridLines="0" showRowColHeaders="0" zoomScaleNormal="100" workbookViewId="0">
      <selection activeCell="I9" sqref="I9"/>
    </sheetView>
  </sheetViews>
  <sheetFormatPr defaultRowHeight="15" x14ac:dyDescent="0.25"/>
  <cols>
    <col min="1" max="1" width="15.140625" style="101" customWidth="1"/>
    <col min="2" max="2" width="16" style="22" bestFit="1" customWidth="1"/>
    <col min="3" max="3" width="17.7109375" bestFit="1" customWidth="1"/>
    <col min="4" max="4" width="14.85546875" style="31" bestFit="1" customWidth="1"/>
    <col min="5" max="5" width="13.140625" bestFit="1" customWidth="1"/>
    <col min="6" max="6" width="10.5703125" bestFit="1" customWidth="1"/>
    <col min="7" max="7" width="11.140625" style="31" customWidth="1"/>
    <col min="8" max="9" width="11.140625" bestFit="1" customWidth="1"/>
    <col min="10" max="11" width="12.140625" bestFit="1" customWidth="1"/>
    <col min="12" max="12" width="12.140625" style="31" bestFit="1" customWidth="1"/>
    <col min="13" max="15" width="12.140625" bestFit="1" customWidth="1"/>
    <col min="16" max="16" width="35.7109375" bestFit="1" customWidth="1"/>
    <col min="17" max="17" width="11.140625" bestFit="1" customWidth="1"/>
  </cols>
  <sheetData>
    <row r="1" spans="1:7" x14ac:dyDescent="0.25">
      <c r="A1" s="22"/>
    </row>
    <row r="2" spans="1:7" x14ac:dyDescent="0.25">
      <c r="A2" s="22"/>
    </row>
    <row r="3" spans="1:7" x14ac:dyDescent="0.25">
      <c r="A3" s="27" t="s">
        <v>340</v>
      </c>
      <c r="B3" s="83" t="s">
        <v>205</v>
      </c>
      <c r="D3"/>
      <c r="G3"/>
    </row>
    <row r="4" spans="1:7" x14ac:dyDescent="0.25">
      <c r="A4" s="27" t="s">
        <v>9</v>
      </c>
      <c r="B4" s="22" t="s">
        <v>266</v>
      </c>
      <c r="C4" s="22" t="s">
        <v>284</v>
      </c>
      <c r="D4" s="22" t="s">
        <v>318</v>
      </c>
      <c r="E4" s="22" t="s">
        <v>302</v>
      </c>
      <c r="F4" s="22" t="s">
        <v>217</v>
      </c>
      <c r="G4" s="1" t="s">
        <v>61</v>
      </c>
    </row>
    <row r="5" spans="1:7" x14ac:dyDescent="0.25">
      <c r="A5" s="81">
        <v>42628</v>
      </c>
      <c r="B5" s="35"/>
      <c r="C5" s="35"/>
      <c r="D5" s="82"/>
      <c r="E5" s="82">
        <v>1</v>
      </c>
      <c r="F5" s="82"/>
      <c r="G5" s="82">
        <v>1</v>
      </c>
    </row>
    <row r="6" spans="1:7" x14ac:dyDescent="0.25">
      <c r="A6" s="81">
        <v>42639</v>
      </c>
      <c r="B6" s="35"/>
      <c r="C6" s="35"/>
      <c r="D6" s="82"/>
      <c r="E6" s="82">
        <v>4</v>
      </c>
      <c r="F6" s="82"/>
      <c r="G6" s="82">
        <v>4</v>
      </c>
    </row>
    <row r="7" spans="1:7" x14ac:dyDescent="0.25">
      <c r="A7" s="81">
        <v>42641</v>
      </c>
      <c r="B7" s="35"/>
      <c r="C7" s="35"/>
      <c r="D7" s="82"/>
      <c r="E7" s="82">
        <v>1</v>
      </c>
      <c r="F7" s="82"/>
      <c r="G7" s="82">
        <v>1</v>
      </c>
    </row>
    <row r="8" spans="1:7" x14ac:dyDescent="0.25">
      <c r="A8" s="81">
        <v>42646</v>
      </c>
      <c r="B8" s="35">
        <v>1</v>
      </c>
      <c r="C8" s="35"/>
      <c r="D8" s="82">
        <v>1</v>
      </c>
      <c r="E8" s="82">
        <v>1</v>
      </c>
      <c r="F8" s="82"/>
      <c r="G8" s="82">
        <v>3</v>
      </c>
    </row>
    <row r="9" spans="1:7" x14ac:dyDescent="0.25">
      <c r="A9" s="81">
        <v>42647</v>
      </c>
      <c r="B9" s="35"/>
      <c r="C9" s="35"/>
      <c r="D9" s="82">
        <v>1</v>
      </c>
      <c r="E9" s="82">
        <v>1</v>
      </c>
      <c r="F9" s="82"/>
      <c r="G9" s="82">
        <v>2</v>
      </c>
    </row>
    <row r="10" spans="1:7" x14ac:dyDescent="0.25">
      <c r="A10" s="81">
        <v>42648</v>
      </c>
      <c r="B10" s="35"/>
      <c r="C10" s="35"/>
      <c r="D10" s="82"/>
      <c r="E10" s="82">
        <v>1</v>
      </c>
      <c r="F10" s="82"/>
      <c r="G10" s="82">
        <v>1</v>
      </c>
    </row>
    <row r="11" spans="1:7" x14ac:dyDescent="0.25">
      <c r="A11" s="81">
        <v>42649</v>
      </c>
      <c r="B11" s="35"/>
      <c r="C11" s="35"/>
      <c r="D11" s="82"/>
      <c r="E11" s="82">
        <v>6</v>
      </c>
      <c r="F11" s="82"/>
      <c r="G11" s="82">
        <v>6</v>
      </c>
    </row>
    <row r="12" spans="1:7" x14ac:dyDescent="0.25">
      <c r="A12" s="81">
        <v>42650</v>
      </c>
      <c r="B12" s="35"/>
      <c r="C12" s="35"/>
      <c r="D12" s="82"/>
      <c r="E12" s="82">
        <v>4</v>
      </c>
      <c r="F12" s="82"/>
      <c r="G12" s="82">
        <v>4</v>
      </c>
    </row>
    <row r="13" spans="1:7" x14ac:dyDescent="0.25">
      <c r="A13" s="81">
        <v>42653</v>
      </c>
      <c r="B13" s="35">
        <v>1</v>
      </c>
      <c r="C13" s="35"/>
      <c r="D13" s="82">
        <v>1</v>
      </c>
      <c r="E13" s="82">
        <v>9</v>
      </c>
      <c r="F13" s="82"/>
      <c r="G13" s="82">
        <v>11</v>
      </c>
    </row>
    <row r="14" spans="1:7" x14ac:dyDescent="0.25">
      <c r="A14" s="81">
        <v>42654</v>
      </c>
      <c r="B14" s="35">
        <v>1</v>
      </c>
      <c r="C14" s="35">
        <v>2</v>
      </c>
      <c r="D14" s="82">
        <v>2</v>
      </c>
      <c r="E14" s="82">
        <v>8</v>
      </c>
      <c r="F14" s="82"/>
      <c r="G14" s="82">
        <v>13</v>
      </c>
    </row>
    <row r="15" spans="1:7" x14ac:dyDescent="0.25">
      <c r="A15" s="81">
        <v>42655</v>
      </c>
      <c r="B15" s="35">
        <v>1</v>
      </c>
      <c r="C15" s="35">
        <v>2</v>
      </c>
      <c r="D15" s="82">
        <v>4</v>
      </c>
      <c r="E15" s="82">
        <v>3</v>
      </c>
      <c r="F15" s="82"/>
      <c r="G15" s="82">
        <v>10</v>
      </c>
    </row>
    <row r="16" spans="1:7" x14ac:dyDescent="0.25">
      <c r="A16" s="81">
        <v>42656</v>
      </c>
      <c r="B16" s="35">
        <v>16</v>
      </c>
      <c r="C16" s="35"/>
      <c r="D16" s="82">
        <v>4</v>
      </c>
      <c r="E16" s="82">
        <v>2</v>
      </c>
      <c r="F16" s="82"/>
      <c r="G16" s="82">
        <v>22</v>
      </c>
    </row>
    <row r="17" spans="1:12" x14ac:dyDescent="0.25">
      <c r="A17" s="81">
        <v>42657</v>
      </c>
      <c r="B17" s="35"/>
      <c r="C17" s="35"/>
      <c r="D17" s="82"/>
      <c r="E17" s="82"/>
      <c r="F17" s="82">
        <v>2</v>
      </c>
      <c r="G17" s="82">
        <v>2</v>
      </c>
    </row>
    <row r="18" spans="1:12" x14ac:dyDescent="0.25">
      <c r="A18" s="81">
        <v>42660</v>
      </c>
      <c r="B18" s="35"/>
      <c r="C18" s="35"/>
      <c r="D18" s="82"/>
      <c r="E18" s="82"/>
      <c r="F18" s="82">
        <v>15</v>
      </c>
      <c r="G18" s="82">
        <v>15</v>
      </c>
    </row>
    <row r="19" spans="1:12" x14ac:dyDescent="0.25">
      <c r="A19" s="22" t="s">
        <v>61</v>
      </c>
      <c r="B19" s="35">
        <v>20</v>
      </c>
      <c r="C19" s="35">
        <v>4</v>
      </c>
      <c r="D19" s="82">
        <v>13</v>
      </c>
      <c r="E19" s="82">
        <v>41</v>
      </c>
      <c r="F19" s="82">
        <v>17</v>
      </c>
      <c r="G19" s="82">
        <v>95</v>
      </c>
    </row>
    <row r="20" spans="1:12" x14ac:dyDescent="0.25">
      <c r="A20"/>
      <c r="B20"/>
      <c r="D20"/>
      <c r="G20"/>
      <c r="L20"/>
    </row>
    <row r="21" spans="1:12" x14ac:dyDescent="0.25">
      <c r="A21"/>
      <c r="B21"/>
      <c r="D21"/>
      <c r="G21"/>
      <c r="L21"/>
    </row>
    <row r="22" spans="1:12" x14ac:dyDescent="0.25">
      <c r="A22" t="s">
        <v>431</v>
      </c>
      <c r="B22"/>
      <c r="D22"/>
      <c r="G22"/>
      <c r="L22"/>
    </row>
    <row r="23" spans="1:12" x14ac:dyDescent="0.25">
      <c r="A23"/>
      <c r="B23"/>
      <c r="D23"/>
      <c r="G23"/>
      <c r="L23"/>
    </row>
    <row r="24" spans="1:12" x14ac:dyDescent="0.25">
      <c r="A24"/>
      <c r="B24"/>
      <c r="D24"/>
      <c r="G24"/>
      <c r="L24"/>
    </row>
    <row r="25" spans="1:12" x14ac:dyDescent="0.25">
      <c r="A25"/>
      <c r="B25"/>
      <c r="D25"/>
      <c r="G25"/>
      <c r="L25"/>
    </row>
    <row r="26" spans="1:12" x14ac:dyDescent="0.25">
      <c r="A26"/>
      <c r="B26"/>
      <c r="D26"/>
      <c r="G26"/>
      <c r="L26"/>
    </row>
    <row r="27" spans="1:12" x14ac:dyDescent="0.25">
      <c r="A27"/>
      <c r="B27"/>
      <c r="D27"/>
      <c r="G27"/>
      <c r="L27"/>
    </row>
    <row r="28" spans="1:12" x14ac:dyDescent="0.25">
      <c r="A28"/>
      <c r="B28"/>
      <c r="D28"/>
      <c r="G28"/>
      <c r="L28"/>
    </row>
    <row r="29" spans="1:12" x14ac:dyDescent="0.25">
      <c r="A29"/>
      <c r="B29"/>
      <c r="D29"/>
      <c r="G29"/>
      <c r="L29"/>
    </row>
    <row r="30" spans="1:12" x14ac:dyDescent="0.25">
      <c r="A30"/>
      <c r="B30"/>
      <c r="D30"/>
      <c r="G30"/>
      <c r="L30"/>
    </row>
    <row r="31" spans="1:12" x14ac:dyDescent="0.25">
      <c r="A31"/>
      <c r="B31"/>
      <c r="D31"/>
      <c r="G31"/>
      <c r="L31"/>
    </row>
    <row r="32" spans="1:12" x14ac:dyDescent="0.25">
      <c r="A32"/>
      <c r="B32"/>
      <c r="D32"/>
      <c r="G32"/>
      <c r="L32"/>
    </row>
    <row r="33" spans="1:12" x14ac:dyDescent="0.25">
      <c r="A33"/>
      <c r="B33"/>
      <c r="D33"/>
      <c r="G33"/>
      <c r="L33"/>
    </row>
    <row r="34" spans="1:12" x14ac:dyDescent="0.25">
      <c r="A34"/>
      <c r="B34"/>
      <c r="D34"/>
      <c r="G34"/>
      <c r="L34"/>
    </row>
    <row r="35" spans="1:12" x14ac:dyDescent="0.25">
      <c r="A35"/>
      <c r="B35"/>
      <c r="D35"/>
      <c r="G35"/>
      <c r="L35"/>
    </row>
    <row r="36" spans="1:12" x14ac:dyDescent="0.25">
      <c r="A36"/>
      <c r="B36"/>
      <c r="D36"/>
      <c r="G36"/>
      <c r="L36"/>
    </row>
    <row r="37" spans="1:12" x14ac:dyDescent="0.25">
      <c r="A37"/>
      <c r="B37"/>
      <c r="D37"/>
      <c r="G37"/>
      <c r="L37"/>
    </row>
    <row r="38" spans="1:12" x14ac:dyDescent="0.25">
      <c r="A38"/>
      <c r="B38"/>
      <c r="D38"/>
      <c r="G38"/>
      <c r="L38"/>
    </row>
    <row r="39" spans="1:12" x14ac:dyDescent="0.25">
      <c r="A39"/>
      <c r="B39"/>
      <c r="D39"/>
      <c r="G39"/>
      <c r="L39"/>
    </row>
    <row r="40" spans="1:12" x14ac:dyDescent="0.25">
      <c r="A40"/>
      <c r="B40"/>
      <c r="D40"/>
      <c r="G40"/>
      <c r="L40"/>
    </row>
    <row r="41" spans="1:12" x14ac:dyDescent="0.25">
      <c r="A41"/>
      <c r="B41"/>
      <c r="D41"/>
      <c r="G41"/>
      <c r="L41"/>
    </row>
    <row r="42" spans="1:12" x14ac:dyDescent="0.25">
      <c r="A42"/>
      <c r="B42"/>
      <c r="D42"/>
      <c r="G42"/>
      <c r="L42"/>
    </row>
    <row r="43" spans="1:12" x14ac:dyDescent="0.25">
      <c r="A43"/>
      <c r="B43"/>
      <c r="D43"/>
      <c r="G43"/>
      <c r="L43"/>
    </row>
    <row r="44" spans="1:12" x14ac:dyDescent="0.25">
      <c r="A44"/>
      <c r="B44"/>
      <c r="D44"/>
      <c r="G44"/>
      <c r="L44"/>
    </row>
    <row r="45" spans="1:12" x14ac:dyDescent="0.25">
      <c r="A45"/>
      <c r="B45"/>
      <c r="D45"/>
      <c r="G45"/>
      <c r="L45"/>
    </row>
    <row r="46" spans="1:12" x14ac:dyDescent="0.25">
      <c r="A46"/>
      <c r="B46"/>
      <c r="D46"/>
      <c r="G46"/>
      <c r="L46"/>
    </row>
    <row r="47" spans="1:12" x14ac:dyDescent="0.25">
      <c r="A47"/>
      <c r="B47"/>
      <c r="D47"/>
      <c r="G47"/>
      <c r="L47"/>
    </row>
    <row r="48" spans="1:12" x14ac:dyDescent="0.25">
      <c r="A48"/>
      <c r="B48"/>
      <c r="D48"/>
      <c r="G48"/>
      <c r="L48"/>
    </row>
    <row r="49" spans="1:12" x14ac:dyDescent="0.25">
      <c r="A49"/>
      <c r="B49"/>
      <c r="D49"/>
      <c r="G49"/>
      <c r="L49"/>
    </row>
    <row r="50" spans="1:12" x14ac:dyDescent="0.25">
      <c r="A50"/>
      <c r="B50"/>
      <c r="D50"/>
      <c r="G50"/>
      <c r="L50"/>
    </row>
    <row r="51" spans="1:12" x14ac:dyDescent="0.25">
      <c r="A51"/>
      <c r="B51"/>
      <c r="D51"/>
      <c r="G51"/>
      <c r="L51"/>
    </row>
    <row r="52" spans="1:12" x14ac:dyDescent="0.25">
      <c r="A52"/>
      <c r="B52"/>
      <c r="D52"/>
      <c r="G52"/>
      <c r="L52"/>
    </row>
    <row r="53" spans="1:12" x14ac:dyDescent="0.25">
      <c r="A53"/>
      <c r="B53"/>
      <c r="D53"/>
      <c r="G53"/>
      <c r="L53"/>
    </row>
    <row r="54" spans="1:12" x14ac:dyDescent="0.25">
      <c r="A54"/>
      <c r="B54"/>
      <c r="D54"/>
      <c r="G54"/>
      <c r="L54"/>
    </row>
    <row r="55" spans="1:12" x14ac:dyDescent="0.25">
      <c r="A55"/>
      <c r="B55"/>
      <c r="D55"/>
      <c r="G55"/>
      <c r="L55"/>
    </row>
    <row r="56" spans="1:12" x14ac:dyDescent="0.25">
      <c r="A56"/>
      <c r="B56"/>
      <c r="D56"/>
      <c r="G56"/>
      <c r="L56"/>
    </row>
    <row r="57" spans="1:12" x14ac:dyDescent="0.25">
      <c r="A57"/>
      <c r="B57"/>
      <c r="D57"/>
      <c r="G57"/>
      <c r="L57"/>
    </row>
    <row r="58" spans="1:12" x14ac:dyDescent="0.25">
      <c r="A58"/>
      <c r="B58"/>
      <c r="D58"/>
      <c r="G58"/>
      <c r="L58"/>
    </row>
    <row r="59" spans="1:12" x14ac:dyDescent="0.25">
      <c r="A59"/>
      <c r="B59"/>
      <c r="D59"/>
      <c r="G59"/>
      <c r="L59"/>
    </row>
    <row r="60" spans="1:12" x14ac:dyDescent="0.25">
      <c r="A60"/>
      <c r="B60"/>
      <c r="D60"/>
      <c r="G60"/>
      <c r="L60"/>
    </row>
    <row r="61" spans="1:12" x14ac:dyDescent="0.25">
      <c r="A61"/>
      <c r="B61"/>
      <c r="D61"/>
      <c r="G61"/>
      <c r="L61"/>
    </row>
    <row r="62" spans="1:12" x14ac:dyDescent="0.25">
      <c r="A62"/>
      <c r="B62"/>
      <c r="D62"/>
      <c r="G62"/>
      <c r="L62"/>
    </row>
    <row r="63" spans="1:12" x14ac:dyDescent="0.25">
      <c r="A63"/>
      <c r="B63"/>
      <c r="D63"/>
      <c r="G63"/>
      <c r="L63"/>
    </row>
    <row r="64" spans="1:12" x14ac:dyDescent="0.25">
      <c r="A64"/>
      <c r="B64"/>
      <c r="D64"/>
      <c r="G64"/>
      <c r="L64"/>
    </row>
    <row r="65" spans="1:12" x14ac:dyDescent="0.25">
      <c r="A65"/>
      <c r="B65"/>
      <c r="D65"/>
      <c r="G65"/>
      <c r="L65"/>
    </row>
    <row r="66" spans="1:12" x14ac:dyDescent="0.25">
      <c r="A66"/>
      <c r="B66"/>
      <c r="D66"/>
      <c r="G66"/>
      <c r="L66"/>
    </row>
    <row r="67" spans="1:12" x14ac:dyDescent="0.25">
      <c r="A67"/>
      <c r="B67"/>
      <c r="D67"/>
      <c r="G67"/>
      <c r="L67"/>
    </row>
    <row r="68" spans="1:12" x14ac:dyDescent="0.25">
      <c r="A68"/>
      <c r="B68"/>
      <c r="D68"/>
      <c r="G68"/>
      <c r="L68"/>
    </row>
    <row r="69" spans="1:12" x14ac:dyDescent="0.25">
      <c r="A69"/>
      <c r="B69"/>
      <c r="D69"/>
      <c r="G69"/>
      <c r="L69"/>
    </row>
    <row r="70" spans="1:12" x14ac:dyDescent="0.25">
      <c r="A70"/>
      <c r="B70"/>
      <c r="D70"/>
      <c r="G70"/>
      <c r="L70"/>
    </row>
    <row r="71" spans="1:12" x14ac:dyDescent="0.25">
      <c r="A71"/>
      <c r="B71"/>
      <c r="D71"/>
      <c r="G71"/>
      <c r="L71"/>
    </row>
    <row r="72" spans="1:12" x14ac:dyDescent="0.25">
      <c r="A72"/>
      <c r="B72"/>
      <c r="D72"/>
      <c r="G72"/>
      <c r="L72"/>
    </row>
    <row r="73" spans="1:12" x14ac:dyDescent="0.25">
      <c r="A73"/>
      <c r="B73"/>
      <c r="D73"/>
      <c r="G73"/>
      <c r="L73"/>
    </row>
    <row r="74" spans="1:12" x14ac:dyDescent="0.25">
      <c r="A74"/>
      <c r="B74"/>
      <c r="D74"/>
      <c r="G74"/>
      <c r="L74"/>
    </row>
    <row r="75" spans="1:12" x14ac:dyDescent="0.25">
      <c r="A75"/>
      <c r="B75"/>
      <c r="D75"/>
      <c r="G75"/>
      <c r="L75"/>
    </row>
    <row r="76" spans="1:12" x14ac:dyDescent="0.25">
      <c r="A76"/>
      <c r="B76"/>
      <c r="D76"/>
      <c r="G76"/>
      <c r="L76"/>
    </row>
    <row r="77" spans="1:12" x14ac:dyDescent="0.25">
      <c r="A77"/>
      <c r="B77"/>
      <c r="D77"/>
      <c r="G77"/>
      <c r="L77"/>
    </row>
    <row r="78" spans="1:12" x14ac:dyDescent="0.25">
      <c r="A78"/>
      <c r="B78"/>
      <c r="D78"/>
      <c r="G78"/>
      <c r="L78"/>
    </row>
    <row r="79" spans="1:12" x14ac:dyDescent="0.25">
      <c r="A79"/>
      <c r="B79"/>
      <c r="D79"/>
      <c r="G79"/>
      <c r="L79"/>
    </row>
    <row r="80" spans="1:12" x14ac:dyDescent="0.25">
      <c r="A80"/>
      <c r="B80"/>
      <c r="D80"/>
      <c r="G80"/>
      <c r="L80"/>
    </row>
    <row r="81" spans="1:12" x14ac:dyDescent="0.25">
      <c r="A81"/>
      <c r="B81"/>
      <c r="D81"/>
      <c r="G81"/>
      <c r="L81"/>
    </row>
    <row r="82" spans="1:12" x14ac:dyDescent="0.25">
      <c r="A82"/>
      <c r="B82"/>
      <c r="D82"/>
      <c r="G82"/>
      <c r="L82"/>
    </row>
    <row r="83" spans="1:12" x14ac:dyDescent="0.25">
      <c r="A83"/>
      <c r="B83"/>
      <c r="D83"/>
      <c r="G83"/>
      <c r="L83"/>
    </row>
    <row r="84" spans="1:12" x14ac:dyDescent="0.25">
      <c r="A84"/>
      <c r="B84"/>
      <c r="D84"/>
      <c r="G84"/>
      <c r="L84"/>
    </row>
    <row r="85" spans="1:12" x14ac:dyDescent="0.25">
      <c r="A85"/>
      <c r="B85"/>
      <c r="D85"/>
      <c r="G85"/>
      <c r="L85"/>
    </row>
    <row r="86" spans="1:12" x14ac:dyDescent="0.25">
      <c r="A86"/>
      <c r="B86"/>
      <c r="D86"/>
      <c r="G86"/>
      <c r="L86"/>
    </row>
    <row r="87" spans="1:12" x14ac:dyDescent="0.25">
      <c r="A87"/>
      <c r="B87"/>
      <c r="D87"/>
      <c r="G87"/>
      <c r="L87"/>
    </row>
    <row r="88" spans="1:12" x14ac:dyDescent="0.25">
      <c r="A88"/>
      <c r="B88"/>
      <c r="D88"/>
      <c r="G88"/>
      <c r="L88"/>
    </row>
    <row r="89" spans="1:12" x14ac:dyDescent="0.25">
      <c r="A89"/>
      <c r="B89"/>
      <c r="D89"/>
      <c r="G89"/>
      <c r="L89"/>
    </row>
    <row r="90" spans="1:12" x14ac:dyDescent="0.25">
      <c r="A90"/>
      <c r="B90"/>
      <c r="D90"/>
      <c r="G90"/>
      <c r="L90"/>
    </row>
    <row r="91" spans="1:12" x14ac:dyDescent="0.25">
      <c r="A91"/>
      <c r="B91"/>
      <c r="D91"/>
      <c r="G91"/>
      <c r="L91"/>
    </row>
    <row r="92" spans="1:12" x14ac:dyDescent="0.25">
      <c r="A92"/>
      <c r="B92"/>
      <c r="D92"/>
      <c r="G92"/>
      <c r="L92"/>
    </row>
    <row r="93" spans="1:12" x14ac:dyDescent="0.25">
      <c r="A93"/>
      <c r="B93"/>
      <c r="D93"/>
      <c r="G93"/>
      <c r="L93"/>
    </row>
    <row r="94" spans="1:12" x14ac:dyDescent="0.25">
      <c r="A94"/>
      <c r="B94"/>
      <c r="D94"/>
      <c r="G94"/>
      <c r="L94"/>
    </row>
    <row r="95" spans="1:12" x14ac:dyDescent="0.25">
      <c r="A95"/>
      <c r="B95"/>
      <c r="D95"/>
      <c r="G95"/>
      <c r="L95"/>
    </row>
    <row r="96" spans="1:12" x14ac:dyDescent="0.25">
      <c r="A96"/>
      <c r="B96"/>
      <c r="D96"/>
      <c r="G96"/>
      <c r="L96"/>
    </row>
    <row r="97" spans="1:12" x14ac:dyDescent="0.25">
      <c r="A97"/>
      <c r="B97"/>
      <c r="D97"/>
      <c r="G97"/>
      <c r="L97"/>
    </row>
    <row r="98" spans="1:12" x14ac:dyDescent="0.25">
      <c r="A98"/>
      <c r="B98"/>
      <c r="D98"/>
      <c r="G98"/>
      <c r="L98"/>
    </row>
    <row r="99" spans="1:12" x14ac:dyDescent="0.25">
      <c r="A99"/>
      <c r="B99"/>
      <c r="D99"/>
      <c r="G99"/>
      <c r="L99"/>
    </row>
    <row r="100" spans="1:12" x14ac:dyDescent="0.25">
      <c r="A100"/>
      <c r="B100"/>
      <c r="D100"/>
      <c r="G100"/>
      <c r="L100"/>
    </row>
    <row r="101" spans="1:12" x14ac:dyDescent="0.25">
      <c r="A101"/>
      <c r="B101"/>
      <c r="D101"/>
      <c r="G101"/>
      <c r="L101"/>
    </row>
    <row r="102" spans="1:12" x14ac:dyDescent="0.25">
      <c r="A102"/>
      <c r="B102"/>
      <c r="D102"/>
      <c r="G102"/>
      <c r="L102"/>
    </row>
    <row r="103" spans="1:12" x14ac:dyDescent="0.25">
      <c r="A103"/>
      <c r="B103"/>
      <c r="D103"/>
      <c r="G103"/>
      <c r="L103"/>
    </row>
    <row r="104" spans="1:12" x14ac:dyDescent="0.25">
      <c r="A104"/>
      <c r="B104"/>
      <c r="D104"/>
      <c r="G104"/>
      <c r="L104"/>
    </row>
    <row r="105" spans="1:12" x14ac:dyDescent="0.25">
      <c r="A105"/>
      <c r="B105"/>
      <c r="D105"/>
      <c r="G105"/>
      <c r="L105"/>
    </row>
    <row r="106" spans="1:12" x14ac:dyDescent="0.25">
      <c r="A106"/>
      <c r="B106"/>
      <c r="D106"/>
      <c r="G106"/>
      <c r="L106"/>
    </row>
    <row r="107" spans="1:12" x14ac:dyDescent="0.25">
      <c r="A107"/>
      <c r="B107"/>
      <c r="D107"/>
      <c r="G107"/>
      <c r="L107"/>
    </row>
    <row r="108" spans="1:12" x14ac:dyDescent="0.25">
      <c r="A108"/>
      <c r="B108"/>
      <c r="D108"/>
      <c r="G108"/>
      <c r="L108"/>
    </row>
    <row r="109" spans="1:12" x14ac:dyDescent="0.25">
      <c r="A109"/>
      <c r="B109"/>
      <c r="D109"/>
      <c r="G109"/>
      <c r="L109"/>
    </row>
    <row r="110" spans="1:12" x14ac:dyDescent="0.25">
      <c r="A110"/>
      <c r="B110"/>
      <c r="D110"/>
      <c r="G110"/>
      <c r="L110"/>
    </row>
    <row r="111" spans="1:12" x14ac:dyDescent="0.25">
      <c r="A111"/>
      <c r="B111"/>
      <c r="D111"/>
      <c r="G111"/>
      <c r="L111"/>
    </row>
    <row r="112" spans="1:12" x14ac:dyDescent="0.25">
      <c r="A112"/>
      <c r="B112"/>
      <c r="D112"/>
      <c r="G112"/>
      <c r="L112"/>
    </row>
    <row r="113" spans="1:12" x14ac:dyDescent="0.25">
      <c r="A113"/>
      <c r="B113"/>
      <c r="D113"/>
      <c r="G113"/>
      <c r="L113"/>
    </row>
    <row r="114" spans="1:12" x14ac:dyDescent="0.25">
      <c r="A114"/>
      <c r="B114"/>
      <c r="D114"/>
      <c r="G114"/>
      <c r="L114"/>
    </row>
    <row r="115" spans="1:12" x14ac:dyDescent="0.25">
      <c r="A115"/>
      <c r="B115"/>
      <c r="D115"/>
      <c r="G115"/>
      <c r="L115"/>
    </row>
    <row r="116" spans="1:12" x14ac:dyDescent="0.25">
      <c r="A116"/>
      <c r="B116"/>
      <c r="D116"/>
      <c r="G116"/>
      <c r="L116"/>
    </row>
    <row r="117" spans="1:12" x14ac:dyDescent="0.25">
      <c r="A117"/>
      <c r="B117"/>
      <c r="D117"/>
      <c r="G117"/>
      <c r="L117"/>
    </row>
    <row r="118" spans="1:12" x14ac:dyDescent="0.25">
      <c r="A118"/>
      <c r="B118"/>
      <c r="D118"/>
      <c r="G118"/>
      <c r="L118"/>
    </row>
    <row r="119" spans="1:12" x14ac:dyDescent="0.25">
      <c r="A119"/>
      <c r="B119"/>
      <c r="D119"/>
      <c r="G119"/>
      <c r="L119"/>
    </row>
    <row r="120" spans="1:12" x14ac:dyDescent="0.25">
      <c r="A120"/>
      <c r="B120"/>
      <c r="D120"/>
      <c r="G120"/>
      <c r="L120"/>
    </row>
    <row r="121" spans="1:12" x14ac:dyDescent="0.25">
      <c r="A121"/>
      <c r="B121"/>
      <c r="D121"/>
      <c r="G121"/>
      <c r="L121"/>
    </row>
    <row r="122" spans="1:12" x14ac:dyDescent="0.25">
      <c r="A122"/>
      <c r="B122"/>
      <c r="D122"/>
      <c r="G122"/>
      <c r="L122"/>
    </row>
    <row r="123" spans="1:12" x14ac:dyDescent="0.25">
      <c r="A123"/>
      <c r="B123"/>
      <c r="D123"/>
      <c r="G123"/>
      <c r="L123"/>
    </row>
    <row r="124" spans="1:12" x14ac:dyDescent="0.25">
      <c r="A124"/>
      <c r="B124"/>
      <c r="D124"/>
      <c r="G124"/>
      <c r="L124"/>
    </row>
    <row r="125" spans="1:12" x14ac:dyDescent="0.25">
      <c r="A125"/>
      <c r="B125"/>
      <c r="D125"/>
      <c r="G125"/>
      <c r="L125"/>
    </row>
    <row r="126" spans="1:12" x14ac:dyDescent="0.25">
      <c r="A126"/>
      <c r="B126"/>
      <c r="D126"/>
      <c r="G126"/>
      <c r="L126"/>
    </row>
    <row r="127" spans="1:12" x14ac:dyDescent="0.25">
      <c r="A127"/>
      <c r="B127"/>
      <c r="D127"/>
      <c r="G127"/>
      <c r="L127"/>
    </row>
    <row r="128" spans="1:12" x14ac:dyDescent="0.25">
      <c r="A128"/>
      <c r="B128"/>
      <c r="D128"/>
      <c r="G128"/>
      <c r="L128"/>
    </row>
    <row r="129" spans="1:12" x14ac:dyDescent="0.25">
      <c r="A129"/>
      <c r="B129"/>
      <c r="D129"/>
      <c r="G129"/>
      <c r="L129"/>
    </row>
    <row r="130" spans="1:12" x14ac:dyDescent="0.25">
      <c r="A130"/>
      <c r="B130"/>
      <c r="D130"/>
      <c r="G130"/>
      <c r="L130"/>
    </row>
    <row r="131" spans="1:12" x14ac:dyDescent="0.25">
      <c r="A131"/>
      <c r="B131"/>
      <c r="D131"/>
      <c r="G131"/>
      <c r="L131"/>
    </row>
    <row r="132" spans="1:12" x14ac:dyDescent="0.25">
      <c r="A132"/>
      <c r="B132"/>
      <c r="D132"/>
      <c r="G132"/>
      <c r="L132"/>
    </row>
    <row r="133" spans="1:12" x14ac:dyDescent="0.25">
      <c r="A133"/>
      <c r="B133"/>
      <c r="D133"/>
      <c r="G133"/>
      <c r="L133"/>
    </row>
    <row r="134" spans="1:12" x14ac:dyDescent="0.25">
      <c r="A134"/>
      <c r="B134"/>
      <c r="D134"/>
      <c r="G134"/>
      <c r="L134"/>
    </row>
    <row r="135" spans="1:12" x14ac:dyDescent="0.25">
      <c r="A135"/>
      <c r="B135"/>
      <c r="D135"/>
      <c r="G135"/>
      <c r="L135"/>
    </row>
    <row r="136" spans="1:12" x14ac:dyDescent="0.25">
      <c r="A136"/>
      <c r="B136"/>
      <c r="D136"/>
      <c r="G136"/>
      <c r="L136"/>
    </row>
    <row r="137" spans="1:12" x14ac:dyDescent="0.25">
      <c r="A137"/>
      <c r="B137"/>
      <c r="D137"/>
      <c r="G137"/>
      <c r="L137"/>
    </row>
    <row r="138" spans="1:12" x14ac:dyDescent="0.25">
      <c r="A138"/>
      <c r="B138"/>
      <c r="D138"/>
      <c r="G138"/>
      <c r="L138"/>
    </row>
    <row r="139" spans="1:12" x14ac:dyDescent="0.25">
      <c r="A139"/>
      <c r="B139"/>
      <c r="D139"/>
      <c r="G139"/>
      <c r="L139"/>
    </row>
    <row r="140" spans="1:12" x14ac:dyDescent="0.25">
      <c r="A140"/>
      <c r="B140"/>
      <c r="D140"/>
      <c r="G140"/>
      <c r="L140"/>
    </row>
    <row r="141" spans="1:12" x14ac:dyDescent="0.25">
      <c r="A141"/>
      <c r="B141"/>
      <c r="D141"/>
      <c r="G141"/>
      <c r="L141"/>
    </row>
    <row r="142" spans="1:12" x14ac:dyDescent="0.25">
      <c r="A142"/>
      <c r="B142"/>
      <c r="D142"/>
      <c r="G142"/>
      <c r="L142"/>
    </row>
    <row r="143" spans="1:12" x14ac:dyDescent="0.25">
      <c r="A143"/>
      <c r="B143"/>
      <c r="D143"/>
      <c r="G143"/>
      <c r="L143"/>
    </row>
    <row r="144" spans="1:12" x14ac:dyDescent="0.25">
      <c r="A144"/>
      <c r="B144"/>
      <c r="D144"/>
      <c r="G144"/>
      <c r="L144"/>
    </row>
    <row r="145" spans="1:12" x14ac:dyDescent="0.25">
      <c r="A145"/>
      <c r="B145"/>
      <c r="D145"/>
      <c r="G145"/>
      <c r="L145"/>
    </row>
    <row r="146" spans="1:12" x14ac:dyDescent="0.25">
      <c r="A146"/>
      <c r="B146"/>
      <c r="D146"/>
      <c r="G146"/>
      <c r="L146"/>
    </row>
    <row r="147" spans="1:12" x14ac:dyDescent="0.25">
      <c r="A147"/>
      <c r="B147"/>
      <c r="D147"/>
      <c r="G147"/>
      <c r="L147"/>
    </row>
    <row r="148" spans="1:12" x14ac:dyDescent="0.25">
      <c r="A148"/>
      <c r="B148"/>
      <c r="D148"/>
      <c r="G148"/>
      <c r="L148"/>
    </row>
    <row r="149" spans="1:12" x14ac:dyDescent="0.25">
      <c r="A149"/>
      <c r="B149"/>
      <c r="D149"/>
      <c r="G149"/>
      <c r="L149"/>
    </row>
    <row r="150" spans="1:12" x14ac:dyDescent="0.25">
      <c r="A150"/>
      <c r="B150"/>
      <c r="D150"/>
      <c r="G150"/>
      <c r="L150"/>
    </row>
    <row r="151" spans="1:12" x14ac:dyDescent="0.25">
      <c r="A151"/>
      <c r="B151"/>
      <c r="D151"/>
      <c r="G151"/>
      <c r="L151"/>
    </row>
    <row r="152" spans="1:12" x14ac:dyDescent="0.25">
      <c r="A152"/>
      <c r="B152"/>
      <c r="D152"/>
      <c r="G152"/>
      <c r="L152"/>
    </row>
    <row r="153" spans="1:12" x14ac:dyDescent="0.25">
      <c r="A153"/>
      <c r="B153"/>
      <c r="D153"/>
      <c r="G153"/>
      <c r="L153"/>
    </row>
    <row r="154" spans="1:12" x14ac:dyDescent="0.25">
      <c r="A154"/>
      <c r="B154"/>
      <c r="D154"/>
      <c r="G154"/>
      <c r="L154"/>
    </row>
    <row r="155" spans="1:12" x14ac:dyDescent="0.25">
      <c r="A155"/>
      <c r="B155"/>
      <c r="D155"/>
      <c r="G155"/>
      <c r="L155"/>
    </row>
    <row r="156" spans="1:12" x14ac:dyDescent="0.25">
      <c r="A156"/>
      <c r="B156"/>
      <c r="D156"/>
      <c r="G156"/>
      <c r="L156"/>
    </row>
    <row r="157" spans="1:12" x14ac:dyDescent="0.25">
      <c r="A157"/>
      <c r="B157"/>
      <c r="D157"/>
      <c r="G157"/>
      <c r="L157"/>
    </row>
    <row r="158" spans="1:12" x14ac:dyDescent="0.25">
      <c r="A158"/>
      <c r="B158"/>
      <c r="D158"/>
      <c r="G158"/>
      <c r="L158"/>
    </row>
    <row r="159" spans="1:12" x14ac:dyDescent="0.25">
      <c r="A159"/>
      <c r="B159"/>
      <c r="D159"/>
      <c r="G159"/>
      <c r="L159"/>
    </row>
    <row r="160" spans="1:12" x14ac:dyDescent="0.25">
      <c r="A160"/>
      <c r="B160"/>
      <c r="D160"/>
      <c r="G160"/>
      <c r="L160"/>
    </row>
    <row r="161" spans="1:12" x14ac:dyDescent="0.25">
      <c r="A161"/>
      <c r="B161"/>
      <c r="D161"/>
      <c r="G161"/>
      <c r="L161"/>
    </row>
    <row r="162" spans="1:12" x14ac:dyDescent="0.25">
      <c r="A162"/>
      <c r="B162"/>
      <c r="D162"/>
      <c r="G162"/>
      <c r="L162"/>
    </row>
    <row r="163" spans="1:12" x14ac:dyDescent="0.25">
      <c r="A163"/>
      <c r="B163"/>
      <c r="D163"/>
      <c r="G163"/>
      <c r="L163"/>
    </row>
    <row r="164" spans="1:12" x14ac:dyDescent="0.25">
      <c r="A164"/>
      <c r="B164"/>
      <c r="D164"/>
      <c r="G164"/>
      <c r="L164"/>
    </row>
    <row r="165" spans="1:12" x14ac:dyDescent="0.25">
      <c r="A165"/>
      <c r="B165"/>
      <c r="D165"/>
      <c r="G165"/>
      <c r="L165"/>
    </row>
    <row r="166" spans="1:12" x14ac:dyDescent="0.25">
      <c r="A166"/>
      <c r="B166"/>
      <c r="D166"/>
      <c r="G166"/>
      <c r="L166"/>
    </row>
    <row r="167" spans="1:12" x14ac:dyDescent="0.25">
      <c r="A167"/>
      <c r="B167"/>
      <c r="D167"/>
      <c r="G167"/>
      <c r="L167"/>
    </row>
    <row r="168" spans="1:12" x14ac:dyDescent="0.25">
      <c r="A168"/>
      <c r="B168"/>
      <c r="D168"/>
      <c r="G168"/>
      <c r="L168"/>
    </row>
    <row r="169" spans="1:12" x14ac:dyDescent="0.25">
      <c r="A169"/>
      <c r="B169"/>
      <c r="D169"/>
      <c r="G169"/>
      <c r="L169"/>
    </row>
    <row r="170" spans="1:12" x14ac:dyDescent="0.25">
      <c r="A170"/>
      <c r="B170"/>
      <c r="D170"/>
      <c r="G170"/>
      <c r="L170"/>
    </row>
    <row r="171" spans="1:12" x14ac:dyDescent="0.25">
      <c r="A171"/>
      <c r="B171"/>
      <c r="D171"/>
      <c r="G171"/>
      <c r="L171"/>
    </row>
    <row r="172" spans="1:12" x14ac:dyDescent="0.25">
      <c r="A172"/>
      <c r="B172"/>
      <c r="D172"/>
      <c r="G172"/>
      <c r="L172"/>
    </row>
    <row r="173" spans="1:12" x14ac:dyDescent="0.25">
      <c r="A173"/>
      <c r="B173"/>
      <c r="D173"/>
      <c r="G173"/>
      <c r="L173"/>
    </row>
    <row r="174" spans="1:12" x14ac:dyDescent="0.25">
      <c r="A174"/>
      <c r="B174"/>
      <c r="D174"/>
      <c r="G174"/>
      <c r="L174"/>
    </row>
    <row r="175" spans="1:12" x14ac:dyDescent="0.25">
      <c r="A175"/>
      <c r="B175"/>
      <c r="D175"/>
      <c r="G175"/>
      <c r="L175"/>
    </row>
    <row r="176" spans="1:12" x14ac:dyDescent="0.25">
      <c r="A176"/>
      <c r="B176"/>
      <c r="D176"/>
      <c r="G176"/>
      <c r="L176"/>
    </row>
    <row r="177" spans="1:12" x14ac:dyDescent="0.25">
      <c r="A177"/>
      <c r="B177"/>
      <c r="D177"/>
      <c r="G177"/>
      <c r="L177"/>
    </row>
    <row r="178" spans="1:12" x14ac:dyDescent="0.25">
      <c r="A178"/>
      <c r="B178"/>
      <c r="D178"/>
      <c r="G178"/>
      <c r="L178"/>
    </row>
    <row r="179" spans="1:12" x14ac:dyDescent="0.25">
      <c r="A179"/>
      <c r="B179"/>
      <c r="D179"/>
      <c r="G179"/>
      <c r="L179"/>
    </row>
    <row r="180" spans="1:12" x14ac:dyDescent="0.25">
      <c r="A180"/>
      <c r="B180"/>
      <c r="D180"/>
      <c r="G180"/>
      <c r="L180"/>
    </row>
    <row r="181" spans="1:12" x14ac:dyDescent="0.25">
      <c r="A181"/>
      <c r="B181"/>
      <c r="D181"/>
      <c r="G181"/>
      <c r="L181"/>
    </row>
    <row r="182" spans="1:12" x14ac:dyDescent="0.25">
      <c r="A182"/>
      <c r="B182"/>
      <c r="D182"/>
      <c r="G182"/>
      <c r="L182"/>
    </row>
    <row r="183" spans="1:12" x14ac:dyDescent="0.25">
      <c r="A183"/>
      <c r="B183"/>
      <c r="D183"/>
      <c r="G183"/>
      <c r="L183"/>
    </row>
    <row r="184" spans="1:12" x14ac:dyDescent="0.25">
      <c r="A184"/>
      <c r="B184"/>
      <c r="D184"/>
      <c r="G184"/>
      <c r="L184"/>
    </row>
    <row r="185" spans="1:12" x14ac:dyDescent="0.25">
      <c r="A185"/>
      <c r="B185"/>
      <c r="D185"/>
      <c r="G185"/>
      <c r="L185"/>
    </row>
    <row r="186" spans="1:12" x14ac:dyDescent="0.25">
      <c r="A186"/>
      <c r="B186"/>
      <c r="D186"/>
      <c r="G186"/>
      <c r="L186"/>
    </row>
    <row r="187" spans="1:12" x14ac:dyDescent="0.25">
      <c r="A187"/>
      <c r="B187"/>
      <c r="D187"/>
      <c r="G187"/>
      <c r="L187"/>
    </row>
    <row r="188" spans="1:12" x14ac:dyDescent="0.25">
      <c r="A188"/>
      <c r="B188"/>
      <c r="D188"/>
      <c r="G188"/>
      <c r="L188"/>
    </row>
    <row r="189" spans="1:12" x14ac:dyDescent="0.25">
      <c r="A189"/>
      <c r="B189"/>
      <c r="D189"/>
      <c r="G189"/>
      <c r="L189"/>
    </row>
    <row r="190" spans="1:12" x14ac:dyDescent="0.25">
      <c r="A190"/>
      <c r="B190"/>
      <c r="D190"/>
      <c r="G190"/>
      <c r="L190"/>
    </row>
    <row r="191" spans="1:12" x14ac:dyDescent="0.25">
      <c r="A191"/>
      <c r="B191"/>
      <c r="D191"/>
      <c r="G191"/>
      <c r="L191"/>
    </row>
    <row r="192" spans="1:12" x14ac:dyDescent="0.25">
      <c r="A192"/>
      <c r="B192"/>
      <c r="D192"/>
      <c r="G192"/>
      <c r="L192"/>
    </row>
    <row r="193" spans="1:12" x14ac:dyDescent="0.25">
      <c r="A193"/>
      <c r="B193"/>
      <c r="D193"/>
      <c r="G193"/>
      <c r="L193"/>
    </row>
    <row r="194" spans="1:12" x14ac:dyDescent="0.25">
      <c r="A194"/>
      <c r="B194"/>
      <c r="D194"/>
      <c r="G194"/>
      <c r="L194"/>
    </row>
    <row r="195" spans="1:12" x14ac:dyDescent="0.25">
      <c r="A195"/>
      <c r="B195"/>
      <c r="D195"/>
      <c r="G195"/>
      <c r="L195"/>
    </row>
    <row r="196" spans="1:12" x14ac:dyDescent="0.25">
      <c r="A196"/>
      <c r="B196"/>
      <c r="D196"/>
      <c r="G196"/>
      <c r="L196"/>
    </row>
    <row r="197" spans="1:12" x14ac:dyDescent="0.25">
      <c r="A197"/>
      <c r="B197"/>
      <c r="D197"/>
      <c r="G197"/>
      <c r="L197"/>
    </row>
    <row r="198" spans="1:12" x14ac:dyDescent="0.25">
      <c r="A198"/>
      <c r="B198"/>
      <c r="D198"/>
      <c r="G198"/>
      <c r="L198"/>
    </row>
    <row r="199" spans="1:12" x14ac:dyDescent="0.25">
      <c r="A199"/>
      <c r="B199"/>
      <c r="D199"/>
      <c r="G199"/>
      <c r="L199"/>
    </row>
    <row r="200" spans="1:12" x14ac:dyDescent="0.25">
      <c r="A200"/>
      <c r="B200"/>
      <c r="D200"/>
      <c r="G200"/>
      <c r="L200"/>
    </row>
    <row r="201" spans="1:12" x14ac:dyDescent="0.25">
      <c r="A201"/>
      <c r="B201"/>
      <c r="D201"/>
      <c r="G201"/>
      <c r="L201"/>
    </row>
    <row r="202" spans="1:12" x14ac:dyDescent="0.25">
      <c r="A202"/>
      <c r="B202"/>
      <c r="D202"/>
      <c r="G202"/>
      <c r="L202"/>
    </row>
    <row r="203" spans="1:12" x14ac:dyDescent="0.25">
      <c r="A203"/>
      <c r="B203"/>
      <c r="D203"/>
      <c r="G203"/>
      <c r="L203"/>
    </row>
    <row r="204" spans="1:12" x14ac:dyDescent="0.25">
      <c r="A204"/>
      <c r="B204"/>
      <c r="D204"/>
      <c r="G204"/>
      <c r="L204"/>
    </row>
    <row r="205" spans="1:12" x14ac:dyDescent="0.25">
      <c r="A205"/>
      <c r="B205"/>
      <c r="D205"/>
      <c r="G205"/>
      <c r="L205"/>
    </row>
    <row r="206" spans="1:12" x14ac:dyDescent="0.25">
      <c r="A206"/>
      <c r="B206"/>
      <c r="D206"/>
      <c r="G206"/>
      <c r="L206"/>
    </row>
    <row r="207" spans="1:12" x14ac:dyDescent="0.25">
      <c r="A207"/>
      <c r="B207"/>
      <c r="D207"/>
      <c r="G207"/>
      <c r="L207"/>
    </row>
    <row r="208" spans="1:12" x14ac:dyDescent="0.25">
      <c r="A208"/>
      <c r="B208"/>
      <c r="D208"/>
      <c r="G208"/>
      <c r="L208"/>
    </row>
    <row r="209" spans="1:12" x14ac:dyDescent="0.25">
      <c r="A209"/>
      <c r="B209"/>
      <c r="D209"/>
      <c r="G209"/>
      <c r="L209"/>
    </row>
    <row r="210" spans="1:12" x14ac:dyDescent="0.25">
      <c r="A210"/>
      <c r="B210"/>
      <c r="D210"/>
      <c r="G210"/>
      <c r="L210"/>
    </row>
    <row r="211" spans="1:12" x14ac:dyDescent="0.25">
      <c r="A211"/>
      <c r="B211"/>
      <c r="D211"/>
      <c r="G211"/>
      <c r="L211"/>
    </row>
    <row r="212" spans="1:12" x14ac:dyDescent="0.25">
      <c r="A212"/>
      <c r="B212"/>
      <c r="D212"/>
      <c r="G212"/>
      <c r="L212"/>
    </row>
    <row r="213" spans="1:12" x14ac:dyDescent="0.25">
      <c r="A213"/>
      <c r="B213"/>
      <c r="D213"/>
      <c r="G213"/>
      <c r="L213"/>
    </row>
    <row r="214" spans="1:12" x14ac:dyDescent="0.25">
      <c r="A214"/>
      <c r="B214"/>
      <c r="D214"/>
      <c r="G214"/>
      <c r="L214"/>
    </row>
    <row r="215" spans="1:12" x14ac:dyDescent="0.25">
      <c r="A215"/>
      <c r="B215"/>
      <c r="D215"/>
      <c r="G215"/>
      <c r="L215"/>
    </row>
    <row r="216" spans="1:12" x14ac:dyDescent="0.25">
      <c r="A216"/>
      <c r="B216"/>
      <c r="D216"/>
      <c r="G216"/>
      <c r="L216"/>
    </row>
    <row r="217" spans="1:12" x14ac:dyDescent="0.25">
      <c r="A217"/>
      <c r="B217"/>
      <c r="D217"/>
      <c r="G217"/>
      <c r="L217"/>
    </row>
    <row r="218" spans="1:12" x14ac:dyDescent="0.25">
      <c r="A218"/>
      <c r="B218"/>
      <c r="D218"/>
      <c r="G218"/>
      <c r="L218"/>
    </row>
    <row r="219" spans="1:12" x14ac:dyDescent="0.25">
      <c r="A219"/>
      <c r="B219"/>
      <c r="D219"/>
      <c r="G219"/>
      <c r="L219"/>
    </row>
    <row r="220" spans="1:12" x14ac:dyDescent="0.25">
      <c r="A220"/>
      <c r="B220"/>
      <c r="D220"/>
      <c r="G220"/>
      <c r="L220"/>
    </row>
    <row r="221" spans="1:12" x14ac:dyDescent="0.25">
      <c r="A221"/>
      <c r="B221"/>
      <c r="D221"/>
      <c r="G221"/>
      <c r="L221"/>
    </row>
    <row r="222" spans="1:12" x14ac:dyDescent="0.25">
      <c r="A222"/>
      <c r="B222"/>
      <c r="D222"/>
      <c r="G222"/>
      <c r="L222"/>
    </row>
    <row r="223" spans="1:12" x14ac:dyDescent="0.25">
      <c r="A223"/>
      <c r="B223"/>
      <c r="D223"/>
      <c r="G223"/>
      <c r="L223"/>
    </row>
    <row r="224" spans="1:12" x14ac:dyDescent="0.25">
      <c r="A224"/>
      <c r="B224"/>
      <c r="D224"/>
      <c r="G224"/>
      <c r="L224"/>
    </row>
    <row r="225" spans="1:12" x14ac:dyDescent="0.25">
      <c r="A225"/>
      <c r="B225"/>
      <c r="D225"/>
      <c r="G225"/>
      <c r="L225"/>
    </row>
    <row r="226" spans="1:12" x14ac:dyDescent="0.25">
      <c r="A226"/>
      <c r="B226"/>
      <c r="D226"/>
      <c r="G226"/>
      <c r="L226"/>
    </row>
    <row r="227" spans="1:12" x14ac:dyDescent="0.25">
      <c r="A227"/>
      <c r="B227"/>
      <c r="D227"/>
      <c r="G227"/>
      <c r="L227"/>
    </row>
    <row r="228" spans="1:12" x14ac:dyDescent="0.25">
      <c r="A228"/>
      <c r="B228"/>
      <c r="D228"/>
      <c r="G228"/>
      <c r="L228"/>
    </row>
    <row r="229" spans="1:12" x14ac:dyDescent="0.25">
      <c r="A229"/>
      <c r="B229"/>
      <c r="D229"/>
      <c r="G229"/>
      <c r="L229"/>
    </row>
    <row r="230" spans="1:12" x14ac:dyDescent="0.25">
      <c r="A230"/>
      <c r="B230"/>
      <c r="D230"/>
      <c r="G230"/>
      <c r="L230"/>
    </row>
    <row r="231" spans="1:12" x14ac:dyDescent="0.25">
      <c r="A231"/>
      <c r="B231"/>
      <c r="D231"/>
      <c r="G231"/>
      <c r="L231"/>
    </row>
    <row r="232" spans="1:12" x14ac:dyDescent="0.25">
      <c r="A232"/>
      <c r="B232"/>
      <c r="D232"/>
      <c r="G232"/>
      <c r="L232"/>
    </row>
    <row r="233" spans="1:12" x14ac:dyDescent="0.25">
      <c r="A233"/>
      <c r="B233"/>
      <c r="D233"/>
      <c r="G233"/>
      <c r="L233"/>
    </row>
    <row r="234" spans="1:12" x14ac:dyDescent="0.25">
      <c r="A234"/>
      <c r="B234"/>
      <c r="D234"/>
      <c r="G234"/>
      <c r="L234"/>
    </row>
    <row r="235" spans="1:12" x14ac:dyDescent="0.25">
      <c r="A235"/>
      <c r="B235"/>
      <c r="D235"/>
      <c r="G235"/>
      <c r="L235"/>
    </row>
    <row r="236" spans="1:12" x14ac:dyDescent="0.25">
      <c r="A236"/>
      <c r="B236"/>
      <c r="D236"/>
      <c r="G236"/>
      <c r="L236"/>
    </row>
    <row r="237" spans="1:12" x14ac:dyDescent="0.25">
      <c r="A237"/>
      <c r="B237"/>
      <c r="D237"/>
      <c r="G237"/>
      <c r="L237"/>
    </row>
    <row r="238" spans="1:12" x14ac:dyDescent="0.25">
      <c r="A238"/>
      <c r="B238"/>
      <c r="D238"/>
      <c r="G238"/>
      <c r="L238"/>
    </row>
    <row r="239" spans="1:12" x14ac:dyDescent="0.25">
      <c r="A239"/>
      <c r="B239"/>
      <c r="D239"/>
      <c r="G239"/>
      <c r="L239"/>
    </row>
    <row r="240" spans="1:12" x14ac:dyDescent="0.25">
      <c r="A240"/>
      <c r="B240"/>
      <c r="D240"/>
      <c r="G240"/>
      <c r="L240"/>
    </row>
    <row r="241" spans="1:12" x14ac:dyDescent="0.25">
      <c r="A241"/>
      <c r="B241"/>
      <c r="D241"/>
      <c r="G241"/>
      <c r="L241"/>
    </row>
    <row r="242" spans="1:12" x14ac:dyDescent="0.25">
      <c r="A242"/>
      <c r="B242"/>
      <c r="D242"/>
      <c r="G242"/>
      <c r="L242"/>
    </row>
    <row r="243" spans="1:12" x14ac:dyDescent="0.25">
      <c r="A243"/>
      <c r="B243"/>
      <c r="D243"/>
      <c r="G243"/>
      <c r="L243"/>
    </row>
    <row r="244" spans="1:12" x14ac:dyDescent="0.25">
      <c r="A244"/>
      <c r="B244"/>
      <c r="D244"/>
      <c r="G244"/>
      <c r="L244"/>
    </row>
    <row r="245" spans="1:12" x14ac:dyDescent="0.25">
      <c r="A245"/>
      <c r="B245"/>
      <c r="D245"/>
      <c r="G245"/>
      <c r="L245"/>
    </row>
    <row r="246" spans="1:12" x14ac:dyDescent="0.25">
      <c r="A246"/>
      <c r="B246"/>
      <c r="D246"/>
      <c r="G246"/>
      <c r="L246"/>
    </row>
    <row r="247" spans="1:12" x14ac:dyDescent="0.25">
      <c r="A247"/>
      <c r="B247"/>
      <c r="D247"/>
      <c r="G247"/>
      <c r="L247"/>
    </row>
    <row r="248" spans="1:12" x14ac:dyDescent="0.25">
      <c r="A248"/>
      <c r="B248"/>
      <c r="D248"/>
      <c r="G248"/>
      <c r="L248"/>
    </row>
    <row r="249" spans="1:12" x14ac:dyDescent="0.25">
      <c r="A249"/>
      <c r="B249"/>
      <c r="D249"/>
      <c r="G249"/>
      <c r="L249"/>
    </row>
    <row r="250" spans="1:12" x14ac:dyDescent="0.25">
      <c r="A250"/>
      <c r="B250"/>
      <c r="D250"/>
      <c r="G250"/>
      <c r="L250"/>
    </row>
    <row r="251" spans="1:12" x14ac:dyDescent="0.25">
      <c r="A251"/>
      <c r="B251"/>
      <c r="D251"/>
      <c r="G251"/>
      <c r="L251"/>
    </row>
    <row r="252" spans="1:12" x14ac:dyDescent="0.25">
      <c r="A252"/>
      <c r="B252"/>
      <c r="D252"/>
      <c r="G252"/>
      <c r="L252"/>
    </row>
    <row r="253" spans="1:12" x14ac:dyDescent="0.25">
      <c r="A253"/>
      <c r="B253"/>
      <c r="D253"/>
      <c r="G253"/>
      <c r="L253"/>
    </row>
    <row r="254" spans="1:12" x14ac:dyDescent="0.25">
      <c r="A254"/>
      <c r="B254"/>
      <c r="D254"/>
      <c r="G254"/>
      <c r="L254"/>
    </row>
    <row r="255" spans="1:12" x14ac:dyDescent="0.25">
      <c r="A255"/>
      <c r="B255"/>
      <c r="D255"/>
      <c r="G255"/>
      <c r="L255"/>
    </row>
    <row r="256" spans="1:12" x14ac:dyDescent="0.25">
      <c r="A256"/>
      <c r="B256"/>
      <c r="D256"/>
      <c r="G256"/>
      <c r="L256"/>
    </row>
    <row r="257" spans="1:12" x14ac:dyDescent="0.25">
      <c r="A257"/>
      <c r="B257"/>
      <c r="D257"/>
      <c r="G257"/>
      <c r="L257"/>
    </row>
    <row r="258" spans="1:12" x14ac:dyDescent="0.25">
      <c r="A258"/>
      <c r="B258"/>
      <c r="D258"/>
      <c r="G258"/>
      <c r="L258"/>
    </row>
    <row r="259" spans="1:12" x14ac:dyDescent="0.25">
      <c r="A259"/>
      <c r="B259"/>
      <c r="D259"/>
      <c r="G259"/>
      <c r="L259"/>
    </row>
    <row r="260" spans="1:12" x14ac:dyDescent="0.25">
      <c r="A260"/>
      <c r="B260"/>
      <c r="D260"/>
      <c r="G260"/>
      <c r="L260"/>
    </row>
    <row r="261" spans="1:12" x14ac:dyDescent="0.25">
      <c r="A261"/>
      <c r="B261"/>
      <c r="D261"/>
      <c r="G261"/>
      <c r="L261"/>
    </row>
    <row r="262" spans="1:12" x14ac:dyDescent="0.25">
      <c r="A262"/>
      <c r="B262"/>
      <c r="D262"/>
      <c r="G262"/>
      <c r="L262"/>
    </row>
    <row r="263" spans="1:12" x14ac:dyDescent="0.25">
      <c r="A263"/>
      <c r="B263"/>
      <c r="D263"/>
      <c r="G263"/>
      <c r="L263"/>
    </row>
    <row r="264" spans="1:12" x14ac:dyDescent="0.25">
      <c r="A264"/>
      <c r="B264"/>
      <c r="D264"/>
      <c r="G264"/>
      <c r="L264"/>
    </row>
    <row r="265" spans="1:12" x14ac:dyDescent="0.25">
      <c r="A265"/>
      <c r="B265"/>
      <c r="D265"/>
      <c r="G265"/>
      <c r="L265"/>
    </row>
    <row r="266" spans="1:12" x14ac:dyDescent="0.25">
      <c r="A266"/>
      <c r="B266"/>
      <c r="D266"/>
      <c r="G266"/>
      <c r="L266"/>
    </row>
    <row r="267" spans="1:12" x14ac:dyDescent="0.25">
      <c r="A267"/>
      <c r="B267"/>
      <c r="D267"/>
      <c r="G267"/>
      <c r="L267"/>
    </row>
    <row r="268" spans="1:12" x14ac:dyDescent="0.25">
      <c r="A268"/>
      <c r="B268"/>
      <c r="D268"/>
      <c r="G268"/>
      <c r="L268"/>
    </row>
    <row r="269" spans="1:12" x14ac:dyDescent="0.25">
      <c r="A269"/>
      <c r="B269"/>
      <c r="D269"/>
      <c r="G269"/>
      <c r="L269"/>
    </row>
    <row r="270" spans="1:12" x14ac:dyDescent="0.25">
      <c r="A270"/>
      <c r="B270"/>
      <c r="D270"/>
      <c r="G270"/>
      <c r="L270"/>
    </row>
    <row r="271" spans="1:12" x14ac:dyDescent="0.25">
      <c r="A271"/>
      <c r="B271"/>
      <c r="D271"/>
      <c r="G271"/>
      <c r="L271"/>
    </row>
    <row r="272" spans="1:12" x14ac:dyDescent="0.25">
      <c r="A272"/>
      <c r="B272"/>
      <c r="D272"/>
      <c r="G272"/>
      <c r="L272"/>
    </row>
    <row r="273" spans="1:12" x14ac:dyDescent="0.25">
      <c r="A273"/>
      <c r="B273"/>
      <c r="D273"/>
      <c r="G273"/>
      <c r="L273"/>
    </row>
    <row r="274" spans="1:12" x14ac:dyDescent="0.25">
      <c r="A274"/>
      <c r="B274"/>
      <c r="D274"/>
      <c r="G274"/>
      <c r="L274"/>
    </row>
    <row r="275" spans="1:12" x14ac:dyDescent="0.25">
      <c r="A275"/>
      <c r="B275"/>
      <c r="D275"/>
      <c r="G275"/>
      <c r="L275"/>
    </row>
    <row r="276" spans="1:12" x14ac:dyDescent="0.25">
      <c r="A276"/>
      <c r="B276"/>
      <c r="D276"/>
      <c r="G276"/>
      <c r="L276"/>
    </row>
    <row r="277" spans="1:12" x14ac:dyDescent="0.25">
      <c r="A277"/>
      <c r="B277"/>
      <c r="D277"/>
      <c r="G277"/>
      <c r="L277"/>
    </row>
    <row r="278" spans="1:12" x14ac:dyDescent="0.25">
      <c r="A278"/>
      <c r="B278"/>
      <c r="D278"/>
      <c r="G278"/>
      <c r="L278"/>
    </row>
    <row r="279" spans="1:12" x14ac:dyDescent="0.25">
      <c r="A279"/>
      <c r="B279"/>
      <c r="D279"/>
      <c r="G279"/>
      <c r="L279"/>
    </row>
    <row r="280" spans="1:12" x14ac:dyDescent="0.25">
      <c r="A280"/>
      <c r="B280"/>
      <c r="D280"/>
      <c r="G280"/>
      <c r="L280"/>
    </row>
    <row r="281" spans="1:12" x14ac:dyDescent="0.25">
      <c r="A281"/>
      <c r="B281"/>
      <c r="D281"/>
      <c r="G281"/>
      <c r="L281"/>
    </row>
    <row r="282" spans="1:12" x14ac:dyDescent="0.25">
      <c r="A282"/>
      <c r="B282"/>
      <c r="D282"/>
      <c r="G282"/>
      <c r="L282"/>
    </row>
    <row r="283" spans="1:12" x14ac:dyDescent="0.25">
      <c r="A283"/>
      <c r="B283"/>
      <c r="D283"/>
      <c r="G283"/>
      <c r="L283"/>
    </row>
    <row r="284" spans="1:12" x14ac:dyDescent="0.25">
      <c r="A284"/>
      <c r="B284"/>
      <c r="D284"/>
      <c r="G284"/>
      <c r="L284"/>
    </row>
    <row r="285" spans="1:12" x14ac:dyDescent="0.25">
      <c r="A285"/>
      <c r="B285"/>
      <c r="D285"/>
      <c r="G285"/>
      <c r="L285"/>
    </row>
    <row r="286" spans="1:12" x14ac:dyDescent="0.25">
      <c r="A286"/>
      <c r="B286"/>
      <c r="D286"/>
      <c r="G286"/>
      <c r="L286"/>
    </row>
    <row r="287" spans="1:12" x14ac:dyDescent="0.25">
      <c r="A287"/>
      <c r="B287"/>
      <c r="D287"/>
      <c r="G287"/>
      <c r="L287"/>
    </row>
    <row r="288" spans="1:12" x14ac:dyDescent="0.25">
      <c r="A288"/>
      <c r="B288"/>
      <c r="D288"/>
      <c r="G288"/>
      <c r="L288"/>
    </row>
    <row r="289" spans="1:12" x14ac:dyDescent="0.25">
      <c r="A289"/>
      <c r="B289"/>
      <c r="D289"/>
      <c r="G289"/>
      <c r="L289"/>
    </row>
    <row r="290" spans="1:12" x14ac:dyDescent="0.25">
      <c r="A290"/>
      <c r="B290"/>
      <c r="D290"/>
      <c r="G290"/>
      <c r="L290"/>
    </row>
    <row r="291" spans="1:12" x14ac:dyDescent="0.25">
      <c r="A291"/>
      <c r="B291"/>
      <c r="D291"/>
      <c r="G291"/>
      <c r="L291"/>
    </row>
    <row r="292" spans="1:12" x14ac:dyDescent="0.25">
      <c r="A292"/>
      <c r="B292"/>
      <c r="D292"/>
      <c r="G292"/>
      <c r="L292"/>
    </row>
    <row r="293" spans="1:12" x14ac:dyDescent="0.25">
      <c r="A293"/>
      <c r="B293"/>
      <c r="D293"/>
      <c r="G293"/>
      <c r="L293"/>
    </row>
    <row r="294" spans="1:12" x14ac:dyDescent="0.25">
      <c r="A294"/>
      <c r="B294"/>
      <c r="D294"/>
      <c r="G294"/>
      <c r="L294"/>
    </row>
    <row r="295" spans="1:12" x14ac:dyDescent="0.25">
      <c r="A295"/>
      <c r="B295"/>
      <c r="D295"/>
      <c r="G295"/>
      <c r="L295"/>
    </row>
    <row r="296" spans="1:12" x14ac:dyDescent="0.25">
      <c r="A296"/>
      <c r="B296"/>
      <c r="D296"/>
      <c r="G296"/>
      <c r="L296"/>
    </row>
    <row r="297" spans="1:12" x14ac:dyDescent="0.25">
      <c r="A297"/>
      <c r="B297"/>
      <c r="D297"/>
      <c r="G297"/>
      <c r="L297"/>
    </row>
    <row r="298" spans="1:12" x14ac:dyDescent="0.25">
      <c r="A298"/>
      <c r="B298"/>
      <c r="D298"/>
      <c r="G298"/>
      <c r="L298"/>
    </row>
    <row r="299" spans="1:12" x14ac:dyDescent="0.25">
      <c r="A299"/>
      <c r="B299"/>
      <c r="D299"/>
      <c r="G299"/>
      <c r="L299"/>
    </row>
    <row r="300" spans="1:12" x14ac:dyDescent="0.25">
      <c r="A300"/>
      <c r="B300"/>
      <c r="D300"/>
      <c r="G300"/>
      <c r="L300"/>
    </row>
    <row r="301" spans="1:12" x14ac:dyDescent="0.25">
      <c r="A301"/>
      <c r="B301"/>
      <c r="D301"/>
      <c r="G301"/>
      <c r="L301"/>
    </row>
    <row r="302" spans="1:12" x14ac:dyDescent="0.25">
      <c r="A302"/>
      <c r="B302"/>
      <c r="D302"/>
      <c r="G302"/>
      <c r="L302"/>
    </row>
    <row r="303" spans="1:12" x14ac:dyDescent="0.25">
      <c r="A303"/>
      <c r="B303"/>
      <c r="D303"/>
      <c r="G303"/>
      <c r="L303"/>
    </row>
    <row r="304" spans="1:12" x14ac:dyDescent="0.25">
      <c r="A304"/>
      <c r="B304"/>
      <c r="D304"/>
      <c r="G304"/>
      <c r="L304"/>
    </row>
    <row r="305" spans="1:12" x14ac:dyDescent="0.25">
      <c r="A305"/>
      <c r="B305"/>
      <c r="D305"/>
      <c r="G305"/>
      <c r="L305"/>
    </row>
    <row r="306" spans="1:12" x14ac:dyDescent="0.25">
      <c r="A306"/>
      <c r="B306"/>
      <c r="D306"/>
      <c r="G306"/>
      <c r="L306"/>
    </row>
    <row r="307" spans="1:12" x14ac:dyDescent="0.25">
      <c r="A307"/>
      <c r="B307"/>
      <c r="D307"/>
      <c r="G307"/>
      <c r="L307"/>
    </row>
    <row r="308" spans="1:12" x14ac:dyDescent="0.25">
      <c r="A308"/>
      <c r="B308"/>
      <c r="D308"/>
      <c r="G308"/>
      <c r="L308"/>
    </row>
    <row r="309" spans="1:12" x14ac:dyDescent="0.25">
      <c r="A309"/>
      <c r="B309"/>
      <c r="D309"/>
      <c r="G309"/>
      <c r="L309"/>
    </row>
    <row r="310" spans="1:12" x14ac:dyDescent="0.25">
      <c r="A310"/>
      <c r="B310"/>
      <c r="D310"/>
      <c r="G310"/>
      <c r="L310"/>
    </row>
    <row r="311" spans="1:12" x14ac:dyDescent="0.25">
      <c r="A311"/>
      <c r="B311"/>
      <c r="D311"/>
      <c r="G311"/>
      <c r="L311"/>
    </row>
    <row r="312" spans="1:12" x14ac:dyDescent="0.25">
      <c r="A312"/>
      <c r="B312"/>
      <c r="D312"/>
      <c r="G312"/>
      <c r="L312"/>
    </row>
    <row r="313" spans="1:12" x14ac:dyDescent="0.25">
      <c r="A313"/>
      <c r="B313"/>
      <c r="D313"/>
      <c r="G313"/>
      <c r="L313"/>
    </row>
    <row r="314" spans="1:12" x14ac:dyDescent="0.25">
      <c r="A314"/>
      <c r="B314"/>
      <c r="D314"/>
      <c r="G314"/>
      <c r="L314"/>
    </row>
    <row r="315" spans="1:12" x14ac:dyDescent="0.25">
      <c r="A315"/>
      <c r="B315"/>
      <c r="D315"/>
      <c r="G315"/>
      <c r="L315"/>
    </row>
    <row r="316" spans="1:12" x14ac:dyDescent="0.25">
      <c r="A316"/>
      <c r="B316"/>
      <c r="D316"/>
      <c r="G316"/>
      <c r="L316"/>
    </row>
    <row r="317" spans="1:12" x14ac:dyDescent="0.25">
      <c r="A317"/>
      <c r="B317"/>
      <c r="D317"/>
      <c r="G317"/>
      <c r="L317"/>
    </row>
    <row r="318" spans="1:12" x14ac:dyDescent="0.25">
      <c r="A318"/>
      <c r="B318"/>
      <c r="D318"/>
      <c r="G318"/>
      <c r="L318"/>
    </row>
    <row r="319" spans="1:12" x14ac:dyDescent="0.25">
      <c r="A319"/>
      <c r="B319"/>
      <c r="D319"/>
      <c r="G319"/>
      <c r="L319"/>
    </row>
    <row r="320" spans="1:12" x14ac:dyDescent="0.25">
      <c r="A320"/>
      <c r="B320"/>
      <c r="D320"/>
      <c r="G320"/>
      <c r="L320"/>
    </row>
    <row r="321" spans="1:12" x14ac:dyDescent="0.25">
      <c r="A321"/>
      <c r="B321"/>
      <c r="D321"/>
      <c r="G321"/>
      <c r="L321"/>
    </row>
    <row r="322" spans="1:12" x14ac:dyDescent="0.25">
      <c r="A322"/>
      <c r="B322"/>
      <c r="D322"/>
      <c r="G322"/>
      <c r="L322"/>
    </row>
    <row r="323" spans="1:12" x14ac:dyDescent="0.25">
      <c r="A323"/>
      <c r="B323"/>
      <c r="D323"/>
      <c r="G323"/>
      <c r="L323"/>
    </row>
    <row r="324" spans="1:12" x14ac:dyDescent="0.25">
      <c r="A324"/>
      <c r="B324"/>
      <c r="D324"/>
      <c r="G324"/>
      <c r="L324"/>
    </row>
    <row r="325" spans="1:12" x14ac:dyDescent="0.25">
      <c r="A325"/>
      <c r="B325"/>
      <c r="D325"/>
      <c r="G325"/>
      <c r="L325"/>
    </row>
    <row r="326" spans="1:12" x14ac:dyDescent="0.25">
      <c r="A326"/>
      <c r="B326"/>
      <c r="D326"/>
      <c r="G326"/>
      <c r="L326"/>
    </row>
    <row r="327" spans="1:12" x14ac:dyDescent="0.25">
      <c r="A327"/>
      <c r="B327"/>
      <c r="D327"/>
      <c r="G327"/>
      <c r="L327"/>
    </row>
    <row r="328" spans="1:12" x14ac:dyDescent="0.25">
      <c r="A328"/>
      <c r="B328"/>
      <c r="D328"/>
      <c r="G328"/>
      <c r="L328"/>
    </row>
    <row r="329" spans="1:12" x14ac:dyDescent="0.25">
      <c r="A329"/>
      <c r="B329"/>
      <c r="D329"/>
      <c r="G329"/>
      <c r="L329"/>
    </row>
    <row r="330" spans="1:12" x14ac:dyDescent="0.25">
      <c r="A330"/>
      <c r="B330"/>
      <c r="D330"/>
      <c r="G330"/>
      <c r="L330"/>
    </row>
    <row r="331" spans="1:12" x14ac:dyDescent="0.25">
      <c r="A331"/>
      <c r="B331"/>
      <c r="D331"/>
      <c r="G331"/>
      <c r="L331"/>
    </row>
    <row r="332" spans="1:12" x14ac:dyDescent="0.25">
      <c r="A332"/>
      <c r="B332"/>
      <c r="D332"/>
      <c r="G332"/>
      <c r="L332"/>
    </row>
    <row r="333" spans="1:12" x14ac:dyDescent="0.25">
      <c r="A333"/>
      <c r="B333"/>
      <c r="D333"/>
      <c r="G333"/>
      <c r="L333"/>
    </row>
    <row r="334" spans="1:12" x14ac:dyDescent="0.25">
      <c r="A334"/>
      <c r="B334"/>
      <c r="D334"/>
      <c r="G334"/>
      <c r="L334"/>
    </row>
    <row r="335" spans="1:12" x14ac:dyDescent="0.25">
      <c r="A335"/>
      <c r="B335"/>
      <c r="D335"/>
      <c r="G335"/>
      <c r="L335"/>
    </row>
    <row r="336" spans="1:12" x14ac:dyDescent="0.25">
      <c r="A336"/>
      <c r="B336"/>
      <c r="D336"/>
      <c r="G336"/>
      <c r="L336"/>
    </row>
    <row r="337" spans="1:12" x14ac:dyDescent="0.25">
      <c r="A337"/>
      <c r="B337"/>
      <c r="D337"/>
      <c r="G337"/>
      <c r="L337"/>
    </row>
    <row r="338" spans="1:12" x14ac:dyDescent="0.25">
      <c r="A338"/>
      <c r="B338"/>
      <c r="D338"/>
      <c r="G338"/>
      <c r="L338"/>
    </row>
    <row r="339" spans="1:12" x14ac:dyDescent="0.25">
      <c r="A339"/>
      <c r="B339"/>
      <c r="D339"/>
      <c r="G339"/>
      <c r="L339"/>
    </row>
    <row r="340" spans="1:12" x14ac:dyDescent="0.25">
      <c r="A340"/>
      <c r="B340"/>
      <c r="D340"/>
      <c r="G340"/>
      <c r="L340"/>
    </row>
    <row r="341" spans="1:12" x14ac:dyDescent="0.25">
      <c r="A341"/>
      <c r="B341"/>
      <c r="D341"/>
      <c r="G341"/>
      <c r="L341"/>
    </row>
    <row r="342" spans="1:12" x14ac:dyDescent="0.25">
      <c r="A342"/>
      <c r="B342"/>
      <c r="D342"/>
      <c r="G342"/>
      <c r="L342"/>
    </row>
    <row r="343" spans="1:12" x14ac:dyDescent="0.25">
      <c r="A343"/>
      <c r="B343"/>
      <c r="D343"/>
      <c r="G343"/>
      <c r="L343"/>
    </row>
    <row r="344" spans="1:12" x14ac:dyDescent="0.25">
      <c r="A344"/>
      <c r="B344"/>
      <c r="D344"/>
      <c r="G344"/>
      <c r="L344"/>
    </row>
    <row r="345" spans="1:12" x14ac:dyDescent="0.25">
      <c r="A345"/>
      <c r="B345"/>
      <c r="D345"/>
      <c r="G345"/>
      <c r="L345"/>
    </row>
    <row r="346" spans="1:12" x14ac:dyDescent="0.25">
      <c r="A346"/>
      <c r="B346"/>
      <c r="D346"/>
      <c r="G346"/>
      <c r="L346"/>
    </row>
    <row r="347" spans="1:12" x14ac:dyDescent="0.25">
      <c r="A347"/>
      <c r="B347"/>
      <c r="D347"/>
      <c r="G347"/>
      <c r="L347"/>
    </row>
    <row r="348" spans="1:12" x14ac:dyDescent="0.25">
      <c r="A348"/>
      <c r="B348"/>
      <c r="D348"/>
      <c r="G348"/>
      <c r="L348"/>
    </row>
    <row r="349" spans="1:12" x14ac:dyDescent="0.25">
      <c r="A349"/>
      <c r="B349"/>
      <c r="D349"/>
      <c r="G349"/>
      <c r="L349"/>
    </row>
    <row r="350" spans="1:12" x14ac:dyDescent="0.25">
      <c r="A350"/>
      <c r="B350"/>
      <c r="D350"/>
      <c r="G350"/>
      <c r="L350"/>
    </row>
    <row r="351" spans="1:12" x14ac:dyDescent="0.25">
      <c r="A351"/>
      <c r="B351"/>
      <c r="D351"/>
      <c r="G351"/>
      <c r="L351"/>
    </row>
    <row r="352" spans="1:12" x14ac:dyDescent="0.25">
      <c r="A352"/>
      <c r="B352"/>
      <c r="D352"/>
      <c r="G352"/>
      <c r="L352"/>
    </row>
    <row r="353" spans="1:12" x14ac:dyDescent="0.25">
      <c r="A353"/>
      <c r="B353"/>
      <c r="D353"/>
      <c r="G353"/>
      <c r="L353"/>
    </row>
    <row r="354" spans="1:12" x14ac:dyDescent="0.25">
      <c r="A354"/>
      <c r="B354"/>
      <c r="D354"/>
      <c r="G354"/>
      <c r="L354"/>
    </row>
    <row r="355" spans="1:12" x14ac:dyDescent="0.25">
      <c r="A355"/>
      <c r="B355"/>
      <c r="D355"/>
      <c r="G355"/>
      <c r="L355"/>
    </row>
    <row r="356" spans="1:12" x14ac:dyDescent="0.25">
      <c r="A356"/>
      <c r="B356"/>
      <c r="D356"/>
      <c r="G356"/>
      <c r="L356"/>
    </row>
    <row r="357" spans="1:12" x14ac:dyDescent="0.25">
      <c r="A357"/>
      <c r="B357"/>
      <c r="D357"/>
      <c r="G357"/>
      <c r="L357"/>
    </row>
    <row r="358" spans="1:12" x14ac:dyDescent="0.25">
      <c r="A358"/>
      <c r="B358"/>
      <c r="D358"/>
      <c r="G358"/>
      <c r="L358"/>
    </row>
    <row r="359" spans="1:12" x14ac:dyDescent="0.25">
      <c r="A359"/>
      <c r="B359"/>
      <c r="D359"/>
      <c r="G359"/>
      <c r="L359"/>
    </row>
    <row r="360" spans="1:12" x14ac:dyDescent="0.25">
      <c r="A360"/>
      <c r="B360"/>
      <c r="D360"/>
      <c r="G360"/>
      <c r="L360"/>
    </row>
    <row r="361" spans="1:12" x14ac:dyDescent="0.25">
      <c r="A361"/>
      <c r="B361"/>
      <c r="D361"/>
      <c r="G361"/>
      <c r="L361"/>
    </row>
    <row r="362" spans="1:12" x14ac:dyDescent="0.25">
      <c r="A362"/>
      <c r="B362"/>
      <c r="D362"/>
      <c r="G362"/>
      <c r="L362"/>
    </row>
    <row r="363" spans="1:12" x14ac:dyDescent="0.25">
      <c r="A363"/>
      <c r="B363"/>
      <c r="D363"/>
      <c r="G363"/>
      <c r="L363"/>
    </row>
    <row r="364" spans="1:12" x14ac:dyDescent="0.25">
      <c r="A364"/>
      <c r="B364"/>
      <c r="D364"/>
      <c r="G364"/>
      <c r="L364"/>
    </row>
    <row r="365" spans="1:12" x14ac:dyDescent="0.25">
      <c r="A365"/>
      <c r="B365"/>
      <c r="D365"/>
      <c r="G365"/>
      <c r="L365"/>
    </row>
    <row r="366" spans="1:12" x14ac:dyDescent="0.25">
      <c r="A366"/>
      <c r="B366"/>
      <c r="D366"/>
      <c r="G366"/>
      <c r="L366"/>
    </row>
    <row r="367" spans="1:12" x14ac:dyDescent="0.25">
      <c r="A367"/>
      <c r="B367"/>
      <c r="D367"/>
      <c r="G367"/>
      <c r="L367"/>
    </row>
    <row r="368" spans="1:12" x14ac:dyDescent="0.25">
      <c r="A368"/>
      <c r="B368"/>
      <c r="D368"/>
      <c r="G368"/>
      <c r="L368"/>
    </row>
    <row r="369" spans="1:12" x14ac:dyDescent="0.25">
      <c r="A369"/>
      <c r="B369"/>
      <c r="D369"/>
      <c r="G369"/>
      <c r="L369"/>
    </row>
    <row r="370" spans="1:12" x14ac:dyDescent="0.25">
      <c r="A370"/>
      <c r="B370"/>
      <c r="D370"/>
      <c r="G370"/>
      <c r="L370"/>
    </row>
    <row r="371" spans="1:12" x14ac:dyDescent="0.25">
      <c r="A371"/>
      <c r="B371"/>
      <c r="D371"/>
      <c r="G371"/>
      <c r="L371"/>
    </row>
    <row r="372" spans="1:12" x14ac:dyDescent="0.25">
      <c r="A372"/>
      <c r="B372"/>
      <c r="D372"/>
      <c r="G372"/>
      <c r="L372"/>
    </row>
    <row r="373" spans="1:12" x14ac:dyDescent="0.25">
      <c r="A373"/>
      <c r="B373"/>
      <c r="D373"/>
      <c r="G373"/>
      <c r="L373"/>
    </row>
    <row r="374" spans="1:12" x14ac:dyDescent="0.25">
      <c r="A374"/>
      <c r="B374"/>
      <c r="D374"/>
      <c r="G374"/>
      <c r="L374"/>
    </row>
    <row r="375" spans="1:12" x14ac:dyDescent="0.25">
      <c r="A375"/>
      <c r="B375"/>
      <c r="D375"/>
      <c r="G375"/>
      <c r="L375"/>
    </row>
    <row r="376" spans="1:12" x14ac:dyDescent="0.25">
      <c r="A376"/>
      <c r="B376"/>
      <c r="D376"/>
      <c r="G376"/>
      <c r="L376"/>
    </row>
    <row r="377" spans="1:12" x14ac:dyDescent="0.25">
      <c r="A377"/>
      <c r="B377"/>
      <c r="D377"/>
      <c r="G377"/>
      <c r="L377"/>
    </row>
    <row r="378" spans="1:12" x14ac:dyDescent="0.25">
      <c r="A378"/>
      <c r="B378"/>
      <c r="D378"/>
      <c r="G378"/>
      <c r="L378"/>
    </row>
    <row r="379" spans="1:12" x14ac:dyDescent="0.25">
      <c r="A379"/>
      <c r="B379"/>
      <c r="D379"/>
      <c r="G379"/>
      <c r="L379"/>
    </row>
    <row r="380" spans="1:12" x14ac:dyDescent="0.25">
      <c r="A380"/>
      <c r="B380"/>
      <c r="D380"/>
      <c r="G380"/>
      <c r="L380"/>
    </row>
    <row r="381" spans="1:12" x14ac:dyDescent="0.25">
      <c r="A381"/>
      <c r="B381"/>
      <c r="D381"/>
      <c r="G381"/>
      <c r="L381"/>
    </row>
    <row r="382" spans="1:12" x14ac:dyDescent="0.25">
      <c r="A382"/>
      <c r="B382"/>
      <c r="D382"/>
      <c r="G382"/>
      <c r="L382"/>
    </row>
    <row r="383" spans="1:12" x14ac:dyDescent="0.25">
      <c r="A383"/>
      <c r="B383"/>
      <c r="D383"/>
      <c r="G383"/>
      <c r="L383"/>
    </row>
    <row r="384" spans="1:12" x14ac:dyDescent="0.25">
      <c r="A384"/>
      <c r="B384"/>
      <c r="D384"/>
      <c r="G384"/>
      <c r="L384"/>
    </row>
    <row r="385" spans="1:12" x14ac:dyDescent="0.25">
      <c r="A385"/>
      <c r="B385"/>
      <c r="D385"/>
      <c r="G385"/>
      <c r="L385"/>
    </row>
    <row r="386" spans="1:12" x14ac:dyDescent="0.25">
      <c r="A386"/>
      <c r="B386"/>
      <c r="D386"/>
      <c r="G386"/>
      <c r="L386"/>
    </row>
    <row r="387" spans="1:12" x14ac:dyDescent="0.25">
      <c r="A387"/>
      <c r="B387"/>
      <c r="D387"/>
      <c r="G387"/>
      <c r="L387"/>
    </row>
    <row r="388" spans="1:12" x14ac:dyDescent="0.25">
      <c r="A388"/>
      <c r="B388"/>
      <c r="D388"/>
      <c r="G388"/>
      <c r="L388"/>
    </row>
    <row r="389" spans="1:12" x14ac:dyDescent="0.25">
      <c r="A389"/>
      <c r="B389"/>
      <c r="D389"/>
      <c r="G389"/>
      <c r="L389"/>
    </row>
    <row r="390" spans="1:12" x14ac:dyDescent="0.25">
      <c r="A390"/>
      <c r="B390"/>
      <c r="D390"/>
      <c r="G390"/>
      <c r="L390"/>
    </row>
    <row r="391" spans="1:12" x14ac:dyDescent="0.25">
      <c r="A391"/>
      <c r="B391"/>
      <c r="D391"/>
      <c r="G391"/>
      <c r="L391"/>
    </row>
    <row r="392" spans="1:12" x14ac:dyDescent="0.25">
      <c r="A392"/>
      <c r="B392"/>
      <c r="D392"/>
      <c r="G392"/>
      <c r="L392"/>
    </row>
    <row r="393" spans="1:12" x14ac:dyDescent="0.25">
      <c r="A393"/>
      <c r="B393"/>
      <c r="D393"/>
      <c r="G393"/>
      <c r="L393"/>
    </row>
    <row r="394" spans="1:12" x14ac:dyDescent="0.25">
      <c r="A394"/>
      <c r="B394"/>
      <c r="D394"/>
      <c r="G394"/>
      <c r="L394"/>
    </row>
    <row r="395" spans="1:12" x14ac:dyDescent="0.25">
      <c r="A395"/>
      <c r="B395"/>
      <c r="D395"/>
      <c r="G395"/>
      <c r="L395"/>
    </row>
    <row r="396" spans="1:12" x14ac:dyDescent="0.25">
      <c r="A396"/>
      <c r="B396"/>
      <c r="D396"/>
      <c r="G396"/>
      <c r="L396"/>
    </row>
    <row r="397" spans="1:12" x14ac:dyDescent="0.25">
      <c r="A397"/>
      <c r="B397"/>
      <c r="D397"/>
      <c r="G397"/>
      <c r="L397"/>
    </row>
    <row r="398" spans="1:12" x14ac:dyDescent="0.25">
      <c r="A398"/>
      <c r="B398"/>
      <c r="D398"/>
      <c r="G398"/>
      <c r="L398"/>
    </row>
    <row r="399" spans="1:12" x14ac:dyDescent="0.25">
      <c r="A399"/>
      <c r="B399"/>
      <c r="D399"/>
      <c r="G399"/>
      <c r="L399"/>
    </row>
    <row r="400" spans="1:12" x14ac:dyDescent="0.25">
      <c r="A400"/>
      <c r="B400"/>
      <c r="D400"/>
      <c r="G400"/>
      <c r="L400"/>
    </row>
    <row r="401" spans="1:12" x14ac:dyDescent="0.25">
      <c r="A401"/>
      <c r="B401"/>
      <c r="D401"/>
      <c r="G401"/>
      <c r="L401"/>
    </row>
    <row r="402" spans="1:12" x14ac:dyDescent="0.25">
      <c r="A402"/>
      <c r="B402"/>
      <c r="D402"/>
      <c r="G402"/>
      <c r="L402"/>
    </row>
    <row r="403" spans="1:12" x14ac:dyDescent="0.25">
      <c r="A403"/>
      <c r="B403"/>
      <c r="D403"/>
      <c r="G403"/>
      <c r="L403"/>
    </row>
    <row r="404" spans="1:12" x14ac:dyDescent="0.25">
      <c r="A404"/>
      <c r="B404"/>
      <c r="D404"/>
      <c r="G404"/>
      <c r="L404"/>
    </row>
    <row r="405" spans="1:12" x14ac:dyDescent="0.25">
      <c r="A405"/>
      <c r="B405"/>
      <c r="D405"/>
      <c r="G405"/>
      <c r="L405"/>
    </row>
    <row r="406" spans="1:12" x14ac:dyDescent="0.25">
      <c r="A406"/>
      <c r="B406"/>
      <c r="D406"/>
      <c r="G406"/>
      <c r="L406"/>
    </row>
    <row r="407" spans="1:12" x14ac:dyDescent="0.25">
      <c r="A407"/>
      <c r="B407"/>
      <c r="D407"/>
      <c r="G407"/>
      <c r="L407"/>
    </row>
    <row r="408" spans="1:12" x14ac:dyDescent="0.25">
      <c r="A408"/>
      <c r="B408"/>
      <c r="D408"/>
      <c r="G408"/>
      <c r="L408"/>
    </row>
    <row r="409" spans="1:12" x14ac:dyDescent="0.25">
      <c r="A409"/>
      <c r="B409"/>
      <c r="D409"/>
      <c r="G409"/>
      <c r="L409"/>
    </row>
    <row r="410" spans="1:12" x14ac:dyDescent="0.25">
      <c r="A410"/>
      <c r="B410"/>
      <c r="D410"/>
      <c r="G410"/>
      <c r="L410"/>
    </row>
    <row r="411" spans="1:12" x14ac:dyDescent="0.25">
      <c r="A411"/>
      <c r="B411"/>
      <c r="D411"/>
      <c r="G411"/>
      <c r="L411"/>
    </row>
    <row r="412" spans="1:12" x14ac:dyDescent="0.25">
      <c r="A412"/>
      <c r="B412"/>
      <c r="D412"/>
      <c r="G412"/>
      <c r="L412"/>
    </row>
    <row r="413" spans="1:12" x14ac:dyDescent="0.25">
      <c r="A413"/>
      <c r="B413"/>
      <c r="D413"/>
      <c r="G413"/>
      <c r="L413"/>
    </row>
    <row r="414" spans="1:12" x14ac:dyDescent="0.25">
      <c r="A414"/>
      <c r="B414"/>
      <c r="D414"/>
      <c r="G414"/>
      <c r="L414"/>
    </row>
    <row r="415" spans="1:12" x14ac:dyDescent="0.25">
      <c r="A415"/>
      <c r="B415"/>
      <c r="D415"/>
      <c r="G415"/>
      <c r="L415"/>
    </row>
    <row r="416" spans="1:12" x14ac:dyDescent="0.25">
      <c r="A416"/>
      <c r="B416"/>
      <c r="D416"/>
      <c r="G416"/>
      <c r="L416"/>
    </row>
    <row r="417" spans="1:12" x14ac:dyDescent="0.25">
      <c r="A417"/>
      <c r="B417"/>
      <c r="D417"/>
      <c r="G417"/>
      <c r="L417"/>
    </row>
    <row r="418" spans="1:12" x14ac:dyDescent="0.25">
      <c r="A418"/>
      <c r="B418"/>
      <c r="D418"/>
      <c r="G418"/>
      <c r="L418"/>
    </row>
    <row r="419" spans="1:12" x14ac:dyDescent="0.25">
      <c r="A419"/>
      <c r="B419"/>
      <c r="D419"/>
      <c r="G419"/>
      <c r="L419"/>
    </row>
    <row r="420" spans="1:12" x14ac:dyDescent="0.25">
      <c r="A420"/>
      <c r="B420"/>
      <c r="D420"/>
      <c r="G420"/>
      <c r="L420"/>
    </row>
    <row r="421" spans="1:12" x14ac:dyDescent="0.25">
      <c r="A421"/>
      <c r="B421"/>
      <c r="D421"/>
      <c r="G421"/>
      <c r="L421"/>
    </row>
    <row r="422" spans="1:12" x14ac:dyDescent="0.25">
      <c r="A422"/>
      <c r="B422"/>
      <c r="D422"/>
      <c r="G422"/>
      <c r="L422"/>
    </row>
    <row r="423" spans="1:12" x14ac:dyDescent="0.25">
      <c r="A423"/>
      <c r="B423"/>
      <c r="D423"/>
      <c r="G423"/>
      <c r="L423"/>
    </row>
    <row r="424" spans="1:12" x14ac:dyDescent="0.25">
      <c r="A424"/>
      <c r="B424"/>
      <c r="D424"/>
      <c r="G424"/>
      <c r="L424"/>
    </row>
    <row r="425" spans="1:12" x14ac:dyDescent="0.25">
      <c r="A425"/>
      <c r="B425"/>
      <c r="D425"/>
      <c r="G425"/>
      <c r="L425"/>
    </row>
    <row r="426" spans="1:12" x14ac:dyDescent="0.25">
      <c r="A426"/>
      <c r="B426"/>
      <c r="D426"/>
      <c r="G426"/>
      <c r="L426"/>
    </row>
    <row r="427" spans="1:12" x14ac:dyDescent="0.25">
      <c r="A427"/>
      <c r="B427"/>
      <c r="D427"/>
      <c r="G427"/>
      <c r="L427"/>
    </row>
    <row r="428" spans="1:12" x14ac:dyDescent="0.25">
      <c r="A428"/>
      <c r="B428"/>
      <c r="D428"/>
      <c r="G428"/>
      <c r="L428"/>
    </row>
    <row r="429" spans="1:12" x14ac:dyDescent="0.25">
      <c r="A429"/>
      <c r="B429"/>
      <c r="D429"/>
      <c r="G429"/>
      <c r="L429"/>
    </row>
    <row r="430" spans="1:12" x14ac:dyDescent="0.25">
      <c r="A430"/>
      <c r="B430"/>
      <c r="D430"/>
      <c r="G430"/>
      <c r="L430"/>
    </row>
    <row r="431" spans="1:12" x14ac:dyDescent="0.25">
      <c r="A431"/>
      <c r="B431"/>
      <c r="D431"/>
      <c r="G431"/>
      <c r="L431"/>
    </row>
    <row r="432" spans="1:12" x14ac:dyDescent="0.25">
      <c r="A432"/>
      <c r="B432"/>
      <c r="D432"/>
      <c r="G432"/>
      <c r="L432"/>
    </row>
    <row r="433" spans="1:12" x14ac:dyDescent="0.25">
      <c r="A433"/>
      <c r="B433"/>
      <c r="D433"/>
      <c r="G433"/>
      <c r="L433"/>
    </row>
    <row r="434" spans="1:12" x14ac:dyDescent="0.25">
      <c r="A434"/>
      <c r="B434"/>
      <c r="D434"/>
      <c r="G434"/>
      <c r="L434"/>
    </row>
    <row r="435" spans="1:12" x14ac:dyDescent="0.25">
      <c r="A435"/>
      <c r="B435"/>
      <c r="D435"/>
      <c r="G435"/>
      <c r="L435"/>
    </row>
    <row r="436" spans="1:12" x14ac:dyDescent="0.25">
      <c r="A436"/>
      <c r="B436"/>
      <c r="D436"/>
      <c r="G436"/>
      <c r="L436"/>
    </row>
    <row r="437" spans="1:12" x14ac:dyDescent="0.25">
      <c r="A437"/>
      <c r="B437"/>
      <c r="D437"/>
      <c r="G437"/>
      <c r="L437"/>
    </row>
    <row r="438" spans="1:12" x14ac:dyDescent="0.25">
      <c r="A438"/>
      <c r="B438"/>
      <c r="D438"/>
      <c r="G438"/>
      <c r="L438"/>
    </row>
    <row r="439" spans="1:12" x14ac:dyDescent="0.25">
      <c r="A439"/>
      <c r="B439"/>
      <c r="D439"/>
      <c r="G439"/>
      <c r="L439"/>
    </row>
    <row r="440" spans="1:12" x14ac:dyDescent="0.25">
      <c r="A440"/>
      <c r="B440"/>
      <c r="D440"/>
      <c r="G440"/>
      <c r="L440"/>
    </row>
    <row r="441" spans="1:12" x14ac:dyDescent="0.25">
      <c r="A441"/>
      <c r="B441"/>
      <c r="D441"/>
      <c r="G441"/>
      <c r="L441"/>
    </row>
    <row r="442" spans="1:12" x14ac:dyDescent="0.25">
      <c r="A442"/>
      <c r="B442"/>
      <c r="D442"/>
      <c r="G442"/>
      <c r="L442"/>
    </row>
    <row r="443" spans="1:12" x14ac:dyDescent="0.25">
      <c r="A443"/>
      <c r="B443"/>
      <c r="D443"/>
      <c r="G443"/>
      <c r="L443"/>
    </row>
    <row r="444" spans="1:12" x14ac:dyDescent="0.25">
      <c r="A444"/>
      <c r="B444"/>
      <c r="D444"/>
      <c r="G444"/>
      <c r="L444"/>
    </row>
    <row r="445" spans="1:12" x14ac:dyDescent="0.25">
      <c r="A445"/>
      <c r="B445"/>
      <c r="D445"/>
      <c r="G445"/>
      <c r="L445"/>
    </row>
    <row r="446" spans="1:12" x14ac:dyDescent="0.25">
      <c r="A446"/>
      <c r="B446"/>
      <c r="D446"/>
      <c r="G446"/>
      <c r="L446"/>
    </row>
    <row r="447" spans="1:12" x14ac:dyDescent="0.25">
      <c r="A447"/>
      <c r="B447"/>
      <c r="D447"/>
      <c r="G447"/>
      <c r="L447"/>
    </row>
    <row r="448" spans="1:12" x14ac:dyDescent="0.25">
      <c r="A448"/>
      <c r="B448"/>
      <c r="D448"/>
      <c r="G448"/>
      <c r="L448"/>
    </row>
    <row r="449" spans="1:12" x14ac:dyDescent="0.25">
      <c r="A449"/>
      <c r="B449"/>
      <c r="D449"/>
      <c r="G449"/>
      <c r="L449"/>
    </row>
    <row r="450" spans="1:12" x14ac:dyDescent="0.25">
      <c r="A450"/>
      <c r="B450"/>
      <c r="D450"/>
      <c r="G450"/>
      <c r="L450"/>
    </row>
    <row r="451" spans="1:12" x14ac:dyDescent="0.25">
      <c r="A451"/>
      <c r="B451"/>
      <c r="D451"/>
      <c r="G451"/>
      <c r="L451"/>
    </row>
    <row r="452" spans="1:12" x14ac:dyDescent="0.25">
      <c r="A452"/>
      <c r="B452"/>
      <c r="D452"/>
      <c r="G452"/>
      <c r="L452"/>
    </row>
    <row r="453" spans="1:12" x14ac:dyDescent="0.25">
      <c r="A453"/>
      <c r="B453"/>
      <c r="D453"/>
      <c r="G453"/>
      <c r="L453"/>
    </row>
    <row r="454" spans="1:12" x14ac:dyDescent="0.25">
      <c r="A454"/>
      <c r="B454"/>
      <c r="D454"/>
      <c r="G454"/>
      <c r="L454"/>
    </row>
    <row r="455" spans="1:12" x14ac:dyDescent="0.25">
      <c r="A455"/>
      <c r="B455"/>
      <c r="D455"/>
      <c r="G455"/>
      <c r="L455"/>
    </row>
    <row r="456" spans="1:12" x14ac:dyDescent="0.25">
      <c r="A456"/>
      <c r="B456"/>
      <c r="D456"/>
      <c r="G456"/>
      <c r="L456"/>
    </row>
    <row r="457" spans="1:12" x14ac:dyDescent="0.25">
      <c r="A457"/>
      <c r="B457"/>
      <c r="D457"/>
      <c r="G457"/>
      <c r="L457"/>
    </row>
    <row r="458" spans="1:12" x14ac:dyDescent="0.25">
      <c r="A458"/>
      <c r="B458"/>
      <c r="D458"/>
      <c r="G458"/>
      <c r="L458"/>
    </row>
    <row r="459" spans="1:12" x14ac:dyDescent="0.25">
      <c r="A459"/>
      <c r="B459"/>
      <c r="D459"/>
      <c r="G459"/>
      <c r="L459"/>
    </row>
    <row r="460" spans="1:12" x14ac:dyDescent="0.25">
      <c r="A460"/>
      <c r="B460"/>
      <c r="D460"/>
      <c r="G460"/>
      <c r="L460"/>
    </row>
    <row r="461" spans="1:12" x14ac:dyDescent="0.25">
      <c r="A461"/>
      <c r="B461"/>
      <c r="D461"/>
      <c r="G461"/>
      <c r="L461"/>
    </row>
    <row r="462" spans="1:12" x14ac:dyDescent="0.25">
      <c r="A462"/>
      <c r="B462"/>
      <c r="D462"/>
      <c r="G462"/>
      <c r="L462"/>
    </row>
    <row r="463" spans="1:12" x14ac:dyDescent="0.25">
      <c r="A463"/>
      <c r="B463"/>
      <c r="D463"/>
      <c r="G463"/>
      <c r="L463"/>
    </row>
    <row r="464" spans="1:12" x14ac:dyDescent="0.25">
      <c r="A464"/>
      <c r="B464"/>
      <c r="D464"/>
      <c r="G464"/>
      <c r="L464"/>
    </row>
    <row r="465" spans="1:12" x14ac:dyDescent="0.25">
      <c r="A465"/>
      <c r="B465"/>
      <c r="D465"/>
      <c r="G465"/>
      <c r="L465"/>
    </row>
    <row r="466" spans="1:12" x14ac:dyDescent="0.25">
      <c r="A466"/>
      <c r="B466"/>
      <c r="D466"/>
      <c r="G466"/>
      <c r="L466"/>
    </row>
    <row r="467" spans="1:12" x14ac:dyDescent="0.25">
      <c r="A467"/>
      <c r="B467"/>
      <c r="D467"/>
      <c r="G467"/>
      <c r="L467"/>
    </row>
    <row r="468" spans="1:12" x14ac:dyDescent="0.25">
      <c r="A468"/>
      <c r="B468"/>
      <c r="D468"/>
      <c r="G468"/>
      <c r="L468"/>
    </row>
    <row r="469" spans="1:12" x14ac:dyDescent="0.25">
      <c r="A469"/>
      <c r="B469"/>
      <c r="D469"/>
      <c r="G469"/>
      <c r="L469"/>
    </row>
    <row r="470" spans="1:12" x14ac:dyDescent="0.25">
      <c r="A470"/>
      <c r="B470"/>
      <c r="D470"/>
      <c r="G470"/>
      <c r="L470"/>
    </row>
    <row r="471" spans="1:12" x14ac:dyDescent="0.25">
      <c r="A471"/>
      <c r="B471"/>
      <c r="D471"/>
      <c r="G471"/>
      <c r="L471"/>
    </row>
    <row r="472" spans="1:12" x14ac:dyDescent="0.25">
      <c r="A472"/>
      <c r="B472"/>
      <c r="D472"/>
      <c r="G472"/>
      <c r="L472"/>
    </row>
    <row r="473" spans="1:12" x14ac:dyDescent="0.25">
      <c r="A473"/>
      <c r="B473"/>
      <c r="D473"/>
      <c r="G473"/>
      <c r="L473"/>
    </row>
    <row r="474" spans="1:12" x14ac:dyDescent="0.25">
      <c r="A474"/>
      <c r="B474"/>
      <c r="D474"/>
      <c r="G474"/>
      <c r="L474"/>
    </row>
    <row r="475" spans="1:12" x14ac:dyDescent="0.25">
      <c r="A475"/>
      <c r="B475"/>
      <c r="D475"/>
      <c r="G475"/>
      <c r="L475"/>
    </row>
    <row r="476" spans="1:12" x14ac:dyDescent="0.25">
      <c r="A476"/>
      <c r="B476"/>
      <c r="D476"/>
      <c r="G476"/>
      <c r="L476"/>
    </row>
    <row r="477" spans="1:12" x14ac:dyDescent="0.25">
      <c r="A477"/>
      <c r="B477"/>
      <c r="D477"/>
      <c r="G477"/>
      <c r="L477"/>
    </row>
    <row r="478" spans="1:12" x14ac:dyDescent="0.25">
      <c r="A478"/>
      <c r="B478"/>
      <c r="D478"/>
      <c r="G478"/>
      <c r="L478"/>
    </row>
    <row r="479" spans="1:12" x14ac:dyDescent="0.25">
      <c r="A479"/>
      <c r="B479"/>
      <c r="D479"/>
      <c r="G479"/>
      <c r="L479"/>
    </row>
    <row r="480" spans="1:12" x14ac:dyDescent="0.25">
      <c r="A480"/>
      <c r="B480"/>
      <c r="D480"/>
      <c r="G480"/>
      <c r="L480"/>
    </row>
    <row r="481" spans="1:12" x14ac:dyDescent="0.25">
      <c r="A481"/>
      <c r="B481"/>
      <c r="D481"/>
      <c r="G481"/>
      <c r="L481"/>
    </row>
    <row r="482" spans="1:12" x14ac:dyDescent="0.25">
      <c r="A482"/>
      <c r="B482"/>
      <c r="D482"/>
      <c r="G482"/>
      <c r="L482"/>
    </row>
    <row r="483" spans="1:12" x14ac:dyDescent="0.25">
      <c r="A483"/>
      <c r="B483"/>
      <c r="D483"/>
      <c r="G483"/>
      <c r="L483"/>
    </row>
    <row r="484" spans="1:12" x14ac:dyDescent="0.25">
      <c r="A484"/>
      <c r="B484"/>
      <c r="D484"/>
      <c r="G484"/>
      <c r="L484"/>
    </row>
    <row r="485" spans="1:12" x14ac:dyDescent="0.25">
      <c r="A485"/>
      <c r="B485"/>
      <c r="D485"/>
      <c r="G485"/>
      <c r="L485"/>
    </row>
    <row r="486" spans="1:12" x14ac:dyDescent="0.25">
      <c r="A486"/>
      <c r="B486"/>
      <c r="D486"/>
      <c r="G486"/>
      <c r="L486"/>
    </row>
    <row r="487" spans="1:12" x14ac:dyDescent="0.25">
      <c r="A487"/>
      <c r="B487"/>
      <c r="D487"/>
      <c r="G487"/>
      <c r="L487"/>
    </row>
    <row r="488" spans="1:12" x14ac:dyDescent="0.25">
      <c r="A488"/>
      <c r="B488"/>
      <c r="D488"/>
      <c r="G488"/>
      <c r="L488"/>
    </row>
    <row r="489" spans="1:12" x14ac:dyDescent="0.25">
      <c r="A489"/>
      <c r="B489"/>
      <c r="D489"/>
      <c r="G489"/>
      <c r="L489"/>
    </row>
    <row r="490" spans="1:12" x14ac:dyDescent="0.25">
      <c r="A490"/>
      <c r="B490"/>
      <c r="D490"/>
      <c r="G490"/>
      <c r="L490"/>
    </row>
    <row r="491" spans="1:12" x14ac:dyDescent="0.25">
      <c r="A491"/>
      <c r="B491"/>
      <c r="D491"/>
      <c r="G491"/>
      <c r="L491"/>
    </row>
    <row r="492" spans="1:12" x14ac:dyDescent="0.25">
      <c r="A492"/>
      <c r="B492"/>
      <c r="D492"/>
      <c r="G492"/>
      <c r="L492"/>
    </row>
    <row r="493" spans="1:12" x14ac:dyDescent="0.25">
      <c r="A493"/>
      <c r="B493"/>
      <c r="D493"/>
      <c r="G493"/>
      <c r="L493"/>
    </row>
    <row r="494" spans="1:12" x14ac:dyDescent="0.25">
      <c r="A494"/>
      <c r="B494"/>
      <c r="D494"/>
      <c r="G494"/>
      <c r="L494"/>
    </row>
    <row r="495" spans="1:12" x14ac:dyDescent="0.25">
      <c r="A495"/>
      <c r="B495"/>
      <c r="D495"/>
      <c r="G495"/>
      <c r="L495"/>
    </row>
    <row r="496" spans="1:12" x14ac:dyDescent="0.25">
      <c r="A496"/>
      <c r="B496"/>
      <c r="D496"/>
      <c r="G496"/>
      <c r="L496"/>
    </row>
    <row r="497" spans="1:12" x14ac:dyDescent="0.25">
      <c r="A497"/>
      <c r="B497"/>
      <c r="D497"/>
      <c r="G497"/>
      <c r="L497"/>
    </row>
    <row r="498" spans="1:12" x14ac:dyDescent="0.25">
      <c r="A498"/>
      <c r="B498"/>
      <c r="D498"/>
      <c r="G498"/>
      <c r="L498"/>
    </row>
    <row r="499" spans="1:12" x14ac:dyDescent="0.25">
      <c r="A499"/>
      <c r="B499"/>
      <c r="D499"/>
      <c r="G499"/>
      <c r="L499"/>
    </row>
    <row r="500" spans="1:12" x14ac:dyDescent="0.25">
      <c r="A500"/>
      <c r="B500"/>
      <c r="D500"/>
      <c r="G500"/>
      <c r="L500"/>
    </row>
    <row r="501" spans="1:12" x14ac:dyDescent="0.25">
      <c r="A501"/>
      <c r="B501"/>
      <c r="D501"/>
      <c r="G501"/>
      <c r="L501"/>
    </row>
    <row r="502" spans="1:12" x14ac:dyDescent="0.25">
      <c r="A502"/>
      <c r="B502"/>
      <c r="D502"/>
      <c r="G502"/>
      <c r="L502"/>
    </row>
    <row r="503" spans="1:12" x14ac:dyDescent="0.25">
      <c r="A503"/>
      <c r="B503"/>
      <c r="D503"/>
      <c r="G503"/>
      <c r="L503"/>
    </row>
    <row r="504" spans="1:12" x14ac:dyDescent="0.25">
      <c r="A504"/>
      <c r="B504"/>
      <c r="D504"/>
      <c r="G504"/>
      <c r="L504"/>
    </row>
    <row r="505" spans="1:12" x14ac:dyDescent="0.25">
      <c r="A505"/>
      <c r="B505"/>
      <c r="D505"/>
      <c r="G505"/>
      <c r="L505"/>
    </row>
    <row r="506" spans="1:12" x14ac:dyDescent="0.25">
      <c r="A506"/>
      <c r="B506"/>
      <c r="D506"/>
      <c r="G506"/>
      <c r="L506"/>
    </row>
    <row r="507" spans="1:12" x14ac:dyDescent="0.25">
      <c r="A507"/>
      <c r="B507"/>
      <c r="D507"/>
      <c r="G507"/>
      <c r="L507"/>
    </row>
    <row r="508" spans="1:12" x14ac:dyDescent="0.25">
      <c r="A508"/>
      <c r="B508"/>
      <c r="D508"/>
      <c r="G508"/>
      <c r="L508"/>
    </row>
    <row r="509" spans="1:12" x14ac:dyDescent="0.25">
      <c r="A509"/>
      <c r="B509"/>
      <c r="D509"/>
      <c r="G509"/>
      <c r="L509"/>
    </row>
    <row r="510" spans="1:12" x14ac:dyDescent="0.25">
      <c r="A510"/>
      <c r="B510"/>
      <c r="D510"/>
      <c r="G510"/>
      <c r="L510"/>
    </row>
    <row r="511" spans="1:12" x14ac:dyDescent="0.25">
      <c r="A511"/>
      <c r="B511"/>
      <c r="D511"/>
      <c r="G511"/>
      <c r="L511"/>
    </row>
    <row r="512" spans="1:12" x14ac:dyDescent="0.25">
      <c r="A512"/>
      <c r="B512"/>
      <c r="D512"/>
      <c r="G512"/>
      <c r="L512"/>
    </row>
    <row r="513" spans="1:12" x14ac:dyDescent="0.25">
      <c r="A513"/>
      <c r="B513"/>
      <c r="D513"/>
      <c r="G513"/>
      <c r="L513"/>
    </row>
    <row r="514" spans="1:12" x14ac:dyDescent="0.25">
      <c r="A514"/>
      <c r="B514"/>
      <c r="D514"/>
      <c r="G514"/>
      <c r="L514"/>
    </row>
    <row r="515" spans="1:12" x14ac:dyDescent="0.25">
      <c r="A515"/>
      <c r="B515"/>
      <c r="D515"/>
      <c r="G515"/>
      <c r="L515"/>
    </row>
    <row r="516" spans="1:12" x14ac:dyDescent="0.25">
      <c r="A516"/>
      <c r="B516"/>
      <c r="D516"/>
      <c r="G516"/>
      <c r="L516"/>
    </row>
    <row r="517" spans="1:12" x14ac:dyDescent="0.25">
      <c r="A517"/>
      <c r="B517"/>
      <c r="D517"/>
      <c r="G517"/>
      <c r="L517"/>
    </row>
    <row r="518" spans="1:12" x14ac:dyDescent="0.25">
      <c r="A518"/>
      <c r="B518"/>
      <c r="D518"/>
      <c r="G518"/>
      <c r="L518"/>
    </row>
    <row r="519" spans="1:12" x14ac:dyDescent="0.25">
      <c r="A519"/>
      <c r="B519"/>
      <c r="D519"/>
      <c r="G519"/>
      <c r="L519"/>
    </row>
    <row r="520" spans="1:12" x14ac:dyDescent="0.25">
      <c r="A520"/>
      <c r="B520"/>
      <c r="D520"/>
      <c r="G520"/>
      <c r="L520"/>
    </row>
    <row r="521" spans="1:12" x14ac:dyDescent="0.25">
      <c r="A521"/>
      <c r="B521"/>
      <c r="D521"/>
      <c r="G521"/>
      <c r="L521"/>
    </row>
    <row r="522" spans="1:12" x14ac:dyDescent="0.25">
      <c r="A522"/>
      <c r="B522"/>
      <c r="D522"/>
      <c r="G522"/>
      <c r="L522"/>
    </row>
    <row r="523" spans="1:12" x14ac:dyDescent="0.25">
      <c r="A523"/>
      <c r="B523"/>
      <c r="D523"/>
      <c r="G523"/>
      <c r="L523"/>
    </row>
    <row r="524" spans="1:12" x14ac:dyDescent="0.25">
      <c r="A524"/>
      <c r="B524"/>
      <c r="D524"/>
      <c r="G524"/>
      <c r="L524"/>
    </row>
    <row r="525" spans="1:12" x14ac:dyDescent="0.25">
      <c r="A525"/>
      <c r="B525"/>
      <c r="D525"/>
      <c r="G525"/>
      <c r="L525"/>
    </row>
    <row r="526" spans="1:12" x14ac:dyDescent="0.25">
      <c r="A526"/>
      <c r="B526"/>
      <c r="D526"/>
      <c r="G526"/>
      <c r="L526"/>
    </row>
    <row r="527" spans="1:12" x14ac:dyDescent="0.25">
      <c r="A527"/>
      <c r="B527"/>
      <c r="D527"/>
      <c r="G527"/>
      <c r="L527"/>
    </row>
    <row r="528" spans="1:12" x14ac:dyDescent="0.25">
      <c r="A528"/>
      <c r="B528"/>
      <c r="D528"/>
      <c r="G528"/>
      <c r="L528"/>
    </row>
    <row r="529" spans="1:12" x14ac:dyDescent="0.25">
      <c r="A529"/>
      <c r="B529"/>
      <c r="D529"/>
      <c r="G529"/>
      <c r="L529"/>
    </row>
    <row r="530" spans="1:12" x14ac:dyDescent="0.25">
      <c r="A530"/>
      <c r="B530"/>
      <c r="D530"/>
      <c r="G530"/>
      <c r="L530"/>
    </row>
    <row r="531" spans="1:12" x14ac:dyDescent="0.25">
      <c r="A531"/>
      <c r="B531"/>
      <c r="D531"/>
      <c r="G531"/>
      <c r="L531"/>
    </row>
    <row r="532" spans="1:12" x14ac:dyDescent="0.25">
      <c r="A532"/>
      <c r="B532"/>
      <c r="D532"/>
      <c r="G532"/>
      <c r="L532"/>
    </row>
    <row r="533" spans="1:12" x14ac:dyDescent="0.25">
      <c r="A533"/>
      <c r="B533"/>
      <c r="D533"/>
      <c r="G533"/>
      <c r="L533"/>
    </row>
    <row r="534" spans="1:12" x14ac:dyDescent="0.25">
      <c r="A534"/>
      <c r="B534"/>
      <c r="D534"/>
      <c r="G534"/>
      <c r="L534"/>
    </row>
    <row r="535" spans="1:12" x14ac:dyDescent="0.25">
      <c r="A535"/>
      <c r="B535"/>
      <c r="D535"/>
      <c r="G535"/>
      <c r="L535"/>
    </row>
    <row r="536" spans="1:12" x14ac:dyDescent="0.25">
      <c r="A536"/>
      <c r="B536"/>
      <c r="D536"/>
      <c r="G536"/>
      <c r="L536"/>
    </row>
    <row r="537" spans="1:12" x14ac:dyDescent="0.25">
      <c r="A537"/>
      <c r="B537"/>
      <c r="D537"/>
      <c r="G537"/>
      <c r="L537"/>
    </row>
    <row r="538" spans="1:12" x14ac:dyDescent="0.25">
      <c r="A538"/>
      <c r="B538"/>
      <c r="D538"/>
      <c r="G538"/>
      <c r="L538"/>
    </row>
    <row r="539" spans="1:12" x14ac:dyDescent="0.25">
      <c r="A539"/>
      <c r="B539"/>
      <c r="D539"/>
      <c r="G539"/>
      <c r="L539"/>
    </row>
    <row r="540" spans="1:12" x14ac:dyDescent="0.25">
      <c r="A540"/>
      <c r="B540"/>
      <c r="D540"/>
      <c r="G540"/>
      <c r="L540"/>
    </row>
    <row r="541" spans="1:12" x14ac:dyDescent="0.25">
      <c r="A541"/>
      <c r="B541"/>
      <c r="D541"/>
      <c r="G541"/>
      <c r="L541"/>
    </row>
    <row r="542" spans="1:12" x14ac:dyDescent="0.25">
      <c r="A542"/>
      <c r="B542"/>
      <c r="D542"/>
      <c r="G542"/>
      <c r="L542"/>
    </row>
    <row r="543" spans="1:12" x14ac:dyDescent="0.25">
      <c r="A543"/>
      <c r="B543"/>
      <c r="D543"/>
      <c r="G543"/>
      <c r="L543"/>
    </row>
    <row r="544" spans="1:12" x14ac:dyDescent="0.25">
      <c r="A544"/>
      <c r="B544"/>
      <c r="D544"/>
      <c r="G544"/>
      <c r="L544"/>
    </row>
    <row r="545" spans="1:12" x14ac:dyDescent="0.25">
      <c r="A545"/>
      <c r="B545"/>
      <c r="D545"/>
      <c r="G545"/>
      <c r="L545"/>
    </row>
    <row r="546" spans="1:12" x14ac:dyDescent="0.25">
      <c r="A546"/>
      <c r="B546"/>
      <c r="D546"/>
      <c r="G546"/>
      <c r="L546"/>
    </row>
    <row r="547" spans="1:12" x14ac:dyDescent="0.25">
      <c r="A547"/>
      <c r="B547"/>
      <c r="D547"/>
      <c r="G547"/>
      <c r="L547"/>
    </row>
    <row r="548" spans="1:12" x14ac:dyDescent="0.25">
      <c r="A548"/>
      <c r="B548"/>
      <c r="D548"/>
      <c r="G548"/>
      <c r="L548"/>
    </row>
    <row r="549" spans="1:12" x14ac:dyDescent="0.25">
      <c r="A549"/>
      <c r="B549"/>
      <c r="D549"/>
      <c r="G549"/>
      <c r="L549"/>
    </row>
    <row r="550" spans="1:12" x14ac:dyDescent="0.25">
      <c r="A550"/>
      <c r="B550"/>
      <c r="D550"/>
      <c r="G550"/>
      <c r="L550"/>
    </row>
    <row r="551" spans="1:12" x14ac:dyDescent="0.25">
      <c r="A551"/>
      <c r="B551"/>
      <c r="D551"/>
      <c r="G551"/>
      <c r="L551"/>
    </row>
    <row r="552" spans="1:12" x14ac:dyDescent="0.25">
      <c r="A552"/>
      <c r="B552"/>
      <c r="D552"/>
      <c r="G552"/>
      <c r="L552"/>
    </row>
    <row r="553" spans="1:12" x14ac:dyDescent="0.25">
      <c r="A553"/>
      <c r="B553"/>
      <c r="D553"/>
      <c r="G553"/>
      <c r="L553"/>
    </row>
    <row r="554" spans="1:12" x14ac:dyDescent="0.25">
      <c r="A554"/>
      <c r="B554"/>
      <c r="D554"/>
      <c r="G554"/>
      <c r="L554"/>
    </row>
    <row r="555" spans="1:12" x14ac:dyDescent="0.25">
      <c r="A555"/>
      <c r="B555"/>
      <c r="D555"/>
      <c r="G555"/>
      <c r="L555"/>
    </row>
    <row r="556" spans="1:12" x14ac:dyDescent="0.25">
      <c r="A556"/>
      <c r="B556"/>
      <c r="D556"/>
      <c r="G556"/>
      <c r="L556"/>
    </row>
    <row r="557" spans="1:12" x14ac:dyDescent="0.25">
      <c r="A557"/>
      <c r="B557"/>
      <c r="D557"/>
      <c r="G557"/>
      <c r="L557"/>
    </row>
    <row r="558" spans="1:12" x14ac:dyDescent="0.25">
      <c r="A558"/>
      <c r="B558"/>
      <c r="D558"/>
      <c r="G558"/>
      <c r="L558"/>
    </row>
    <row r="559" spans="1:12" x14ac:dyDescent="0.25">
      <c r="A559"/>
      <c r="B559"/>
      <c r="D559"/>
      <c r="G559"/>
      <c r="L559"/>
    </row>
    <row r="560" spans="1:12" x14ac:dyDescent="0.25">
      <c r="A560"/>
      <c r="B560"/>
      <c r="D560"/>
      <c r="G560"/>
      <c r="L560"/>
    </row>
    <row r="561" spans="1:12" x14ac:dyDescent="0.25">
      <c r="A561"/>
      <c r="B561"/>
      <c r="D561"/>
      <c r="G561"/>
      <c r="L561"/>
    </row>
    <row r="562" spans="1:12" x14ac:dyDescent="0.25">
      <c r="A562"/>
      <c r="B562"/>
      <c r="D562"/>
      <c r="G562"/>
      <c r="L562"/>
    </row>
    <row r="563" spans="1:12" x14ac:dyDescent="0.25">
      <c r="A563"/>
      <c r="B563"/>
      <c r="D563"/>
      <c r="G563"/>
      <c r="L563"/>
    </row>
    <row r="564" spans="1:12" x14ac:dyDescent="0.25">
      <c r="A564"/>
      <c r="B564"/>
      <c r="D564"/>
      <c r="G564"/>
      <c r="L564"/>
    </row>
    <row r="565" spans="1:12" x14ac:dyDescent="0.25">
      <c r="A565"/>
      <c r="B565"/>
      <c r="D565"/>
      <c r="G565"/>
      <c r="L565"/>
    </row>
    <row r="566" spans="1:12" x14ac:dyDescent="0.25">
      <c r="A566"/>
      <c r="B566"/>
      <c r="D566"/>
      <c r="G566"/>
      <c r="L566"/>
    </row>
    <row r="567" spans="1:12" x14ac:dyDescent="0.25">
      <c r="A567"/>
      <c r="B567"/>
      <c r="D567"/>
      <c r="G567"/>
      <c r="L567"/>
    </row>
    <row r="568" spans="1:12" x14ac:dyDescent="0.25">
      <c r="A568"/>
      <c r="B568"/>
      <c r="D568"/>
      <c r="G568"/>
      <c r="L568"/>
    </row>
    <row r="569" spans="1:12" x14ac:dyDescent="0.25">
      <c r="A569"/>
      <c r="B569"/>
      <c r="D569"/>
      <c r="G569"/>
      <c r="L569"/>
    </row>
    <row r="570" spans="1:12" x14ac:dyDescent="0.25">
      <c r="A570"/>
      <c r="B570"/>
      <c r="D570"/>
      <c r="G570"/>
      <c r="L570"/>
    </row>
    <row r="571" spans="1:12" x14ac:dyDescent="0.25">
      <c r="A571"/>
      <c r="B571"/>
      <c r="D571"/>
      <c r="G571"/>
      <c r="L571"/>
    </row>
    <row r="572" spans="1:12" x14ac:dyDescent="0.25">
      <c r="A572"/>
      <c r="B572"/>
      <c r="D572"/>
      <c r="G572"/>
      <c r="L572"/>
    </row>
    <row r="573" spans="1:12" x14ac:dyDescent="0.25">
      <c r="A573"/>
      <c r="B573"/>
      <c r="D573"/>
      <c r="G573"/>
      <c r="L573"/>
    </row>
    <row r="574" spans="1:12" x14ac:dyDescent="0.25">
      <c r="A574"/>
      <c r="B574"/>
      <c r="D574"/>
      <c r="G574"/>
      <c r="L574"/>
    </row>
    <row r="575" spans="1:12" x14ac:dyDescent="0.25">
      <c r="A575"/>
      <c r="B575"/>
      <c r="D575"/>
      <c r="G575"/>
      <c r="L575"/>
    </row>
    <row r="576" spans="1:12" x14ac:dyDescent="0.25">
      <c r="A576"/>
      <c r="B576"/>
      <c r="D576"/>
      <c r="G576"/>
      <c r="L576"/>
    </row>
    <row r="577" spans="1:12" x14ac:dyDescent="0.25">
      <c r="A577"/>
      <c r="B577"/>
      <c r="D577"/>
      <c r="G577"/>
      <c r="L577"/>
    </row>
    <row r="578" spans="1:12" x14ac:dyDescent="0.25">
      <c r="A578"/>
      <c r="B578"/>
      <c r="D578"/>
      <c r="G578"/>
      <c r="L578"/>
    </row>
    <row r="579" spans="1:12" x14ac:dyDescent="0.25">
      <c r="A579"/>
      <c r="B579"/>
      <c r="D579"/>
      <c r="G579"/>
      <c r="L579"/>
    </row>
    <row r="580" spans="1:12" x14ac:dyDescent="0.25">
      <c r="A580"/>
      <c r="B580"/>
      <c r="D580"/>
      <c r="G580"/>
      <c r="L580"/>
    </row>
    <row r="581" spans="1:12" x14ac:dyDescent="0.25">
      <c r="A581"/>
      <c r="B581"/>
      <c r="D581"/>
      <c r="G581"/>
      <c r="L581"/>
    </row>
    <row r="582" spans="1:12" x14ac:dyDescent="0.25">
      <c r="A582"/>
      <c r="B582"/>
      <c r="D582"/>
      <c r="G582"/>
      <c r="L582"/>
    </row>
    <row r="583" spans="1:12" x14ac:dyDescent="0.25">
      <c r="A583"/>
      <c r="B583"/>
      <c r="D583"/>
      <c r="G583"/>
      <c r="L583"/>
    </row>
    <row r="584" spans="1:12" x14ac:dyDescent="0.25">
      <c r="A584"/>
      <c r="B584"/>
      <c r="D584"/>
      <c r="G584"/>
      <c r="L584"/>
    </row>
    <row r="585" spans="1:12" x14ac:dyDescent="0.25">
      <c r="A585"/>
      <c r="B585"/>
      <c r="D585"/>
      <c r="G585"/>
      <c r="L585"/>
    </row>
    <row r="586" spans="1:12" x14ac:dyDescent="0.25">
      <c r="A586"/>
      <c r="B586"/>
      <c r="D586"/>
      <c r="G586"/>
      <c r="L586"/>
    </row>
    <row r="587" spans="1:12" x14ac:dyDescent="0.25">
      <c r="A587"/>
      <c r="B587"/>
      <c r="D587"/>
      <c r="G587"/>
      <c r="L587"/>
    </row>
    <row r="588" spans="1:12" x14ac:dyDescent="0.25">
      <c r="A588"/>
      <c r="B588"/>
      <c r="D588"/>
      <c r="G588"/>
      <c r="L588"/>
    </row>
    <row r="589" spans="1:12" x14ac:dyDescent="0.25">
      <c r="A589"/>
      <c r="B589"/>
      <c r="D589"/>
      <c r="G589"/>
      <c r="L589"/>
    </row>
    <row r="590" spans="1:12" x14ac:dyDescent="0.25">
      <c r="A590"/>
      <c r="B590"/>
      <c r="D590"/>
      <c r="G590"/>
      <c r="L590"/>
    </row>
    <row r="591" spans="1:12" x14ac:dyDescent="0.25">
      <c r="A591"/>
      <c r="B591"/>
      <c r="D591"/>
      <c r="G591"/>
      <c r="L591"/>
    </row>
    <row r="592" spans="1:12" x14ac:dyDescent="0.25">
      <c r="A592"/>
      <c r="B592"/>
      <c r="D592"/>
      <c r="G592"/>
      <c r="L592"/>
    </row>
    <row r="593" spans="1:12" x14ac:dyDescent="0.25">
      <c r="A593"/>
      <c r="B593"/>
      <c r="D593"/>
      <c r="G593"/>
      <c r="L593"/>
    </row>
    <row r="594" spans="1:12" x14ac:dyDescent="0.25">
      <c r="A594"/>
      <c r="B594"/>
      <c r="D594"/>
      <c r="G594"/>
      <c r="L594"/>
    </row>
    <row r="595" spans="1:12" x14ac:dyDescent="0.25">
      <c r="A595"/>
      <c r="B595"/>
      <c r="D595"/>
      <c r="G595"/>
      <c r="L595"/>
    </row>
    <row r="596" spans="1:12" x14ac:dyDescent="0.25">
      <c r="A596"/>
      <c r="B596"/>
      <c r="D596"/>
      <c r="G596"/>
      <c r="L596"/>
    </row>
    <row r="597" spans="1:12" x14ac:dyDescent="0.25">
      <c r="A597"/>
      <c r="B597"/>
      <c r="D597"/>
      <c r="G597"/>
      <c r="L597"/>
    </row>
    <row r="598" spans="1:12" x14ac:dyDescent="0.25">
      <c r="A598"/>
      <c r="B598"/>
      <c r="D598"/>
      <c r="G598"/>
      <c r="L598"/>
    </row>
    <row r="599" spans="1:12" x14ac:dyDescent="0.25">
      <c r="A599"/>
      <c r="B599"/>
      <c r="D599"/>
      <c r="G599"/>
      <c r="L599"/>
    </row>
    <row r="600" spans="1:12" x14ac:dyDescent="0.25">
      <c r="A600"/>
      <c r="B600"/>
      <c r="D600"/>
      <c r="G600"/>
      <c r="L600"/>
    </row>
    <row r="601" spans="1:12" x14ac:dyDescent="0.25">
      <c r="A601"/>
      <c r="B601"/>
      <c r="D601"/>
      <c r="G601"/>
      <c r="L601"/>
    </row>
    <row r="602" spans="1:12" x14ac:dyDescent="0.25">
      <c r="A602"/>
      <c r="B602"/>
      <c r="D602"/>
      <c r="G602"/>
      <c r="L602"/>
    </row>
    <row r="603" spans="1:12" x14ac:dyDescent="0.25">
      <c r="A603"/>
      <c r="B603"/>
      <c r="D603"/>
      <c r="G603"/>
      <c r="L603"/>
    </row>
    <row r="604" spans="1:12" x14ac:dyDescent="0.25">
      <c r="A604"/>
      <c r="B604"/>
      <c r="D604"/>
      <c r="G604"/>
      <c r="L604"/>
    </row>
    <row r="605" spans="1:12" x14ac:dyDescent="0.25">
      <c r="A605"/>
      <c r="B605"/>
      <c r="D605"/>
      <c r="G605"/>
      <c r="L605"/>
    </row>
    <row r="606" spans="1:12" x14ac:dyDescent="0.25">
      <c r="A606"/>
      <c r="B606"/>
      <c r="D606"/>
      <c r="G606"/>
      <c r="L606"/>
    </row>
    <row r="607" spans="1:12" x14ac:dyDescent="0.25">
      <c r="A607"/>
      <c r="B607"/>
      <c r="D607"/>
      <c r="G607"/>
      <c r="L607"/>
    </row>
    <row r="608" spans="1:12" x14ac:dyDescent="0.25">
      <c r="A608"/>
      <c r="B608"/>
      <c r="D608"/>
      <c r="G608"/>
      <c r="L608"/>
    </row>
    <row r="609" spans="1:12" x14ac:dyDescent="0.25">
      <c r="A609"/>
      <c r="B609"/>
      <c r="D609"/>
      <c r="G609"/>
      <c r="L609"/>
    </row>
    <row r="610" spans="1:12" x14ac:dyDescent="0.25">
      <c r="A610"/>
      <c r="B610"/>
      <c r="D610"/>
      <c r="G610"/>
      <c r="L610"/>
    </row>
    <row r="611" spans="1:12" x14ac:dyDescent="0.25">
      <c r="A611"/>
      <c r="B611"/>
      <c r="D611"/>
      <c r="G611"/>
      <c r="L611"/>
    </row>
    <row r="612" spans="1:12" x14ac:dyDescent="0.25">
      <c r="A612"/>
      <c r="B612"/>
      <c r="D612"/>
      <c r="G612"/>
      <c r="L612"/>
    </row>
    <row r="613" spans="1:12" x14ac:dyDescent="0.25">
      <c r="A613"/>
      <c r="B613"/>
      <c r="D613"/>
      <c r="G613"/>
      <c r="L613"/>
    </row>
    <row r="614" spans="1:12" x14ac:dyDescent="0.25">
      <c r="A614"/>
      <c r="B614"/>
      <c r="D614"/>
      <c r="G614"/>
      <c r="L614"/>
    </row>
    <row r="615" spans="1:12" x14ac:dyDescent="0.25">
      <c r="A615"/>
      <c r="B615"/>
      <c r="D615"/>
      <c r="G615"/>
      <c r="L615"/>
    </row>
    <row r="616" spans="1:12" x14ac:dyDescent="0.25">
      <c r="A616"/>
      <c r="B616"/>
      <c r="D616"/>
      <c r="G616"/>
      <c r="L616"/>
    </row>
    <row r="617" spans="1:12" x14ac:dyDescent="0.25">
      <c r="A617"/>
      <c r="B617"/>
      <c r="D617"/>
      <c r="G617"/>
      <c r="L617"/>
    </row>
    <row r="618" spans="1:12" x14ac:dyDescent="0.25">
      <c r="A618"/>
      <c r="B618"/>
      <c r="D618"/>
      <c r="G618"/>
      <c r="L618"/>
    </row>
    <row r="619" spans="1:12" x14ac:dyDescent="0.25">
      <c r="A619"/>
      <c r="B619"/>
      <c r="D619"/>
      <c r="G619"/>
      <c r="L619"/>
    </row>
    <row r="620" spans="1:12" x14ac:dyDescent="0.25">
      <c r="A620"/>
      <c r="B620"/>
      <c r="D620"/>
      <c r="G620"/>
      <c r="L620"/>
    </row>
    <row r="621" spans="1:12" x14ac:dyDescent="0.25">
      <c r="A621"/>
      <c r="B621"/>
      <c r="D621"/>
      <c r="G621"/>
      <c r="L621"/>
    </row>
    <row r="622" spans="1:12" x14ac:dyDescent="0.25">
      <c r="A622"/>
      <c r="B622"/>
      <c r="D622"/>
      <c r="G622"/>
      <c r="L622"/>
    </row>
    <row r="623" spans="1:12" x14ac:dyDescent="0.25">
      <c r="A623"/>
      <c r="B623"/>
      <c r="D623"/>
      <c r="G623"/>
      <c r="L623"/>
    </row>
    <row r="624" spans="1:12" x14ac:dyDescent="0.25">
      <c r="A624"/>
      <c r="B624"/>
      <c r="D624"/>
      <c r="G624"/>
      <c r="L624"/>
    </row>
    <row r="625" spans="1:12" x14ac:dyDescent="0.25">
      <c r="A625"/>
      <c r="B625"/>
      <c r="D625"/>
      <c r="G625"/>
      <c r="L625"/>
    </row>
    <row r="626" spans="1:12" x14ac:dyDescent="0.25">
      <c r="A626"/>
      <c r="B626"/>
      <c r="D626"/>
      <c r="G626"/>
      <c r="L626"/>
    </row>
    <row r="627" spans="1:12" x14ac:dyDescent="0.25">
      <c r="A627"/>
      <c r="B627"/>
      <c r="D627"/>
      <c r="G627"/>
      <c r="L627"/>
    </row>
    <row r="628" spans="1:12" x14ac:dyDescent="0.25">
      <c r="A628"/>
      <c r="B628"/>
      <c r="D628"/>
      <c r="G628"/>
      <c r="L628"/>
    </row>
    <row r="629" spans="1:12" x14ac:dyDescent="0.25">
      <c r="A629"/>
      <c r="B629"/>
      <c r="D629"/>
      <c r="G629"/>
      <c r="L629"/>
    </row>
    <row r="630" spans="1:12" x14ac:dyDescent="0.25">
      <c r="A630"/>
      <c r="B630"/>
      <c r="D630"/>
      <c r="G630"/>
      <c r="L630"/>
    </row>
    <row r="631" spans="1:12" x14ac:dyDescent="0.25">
      <c r="A631"/>
      <c r="B631"/>
      <c r="D631"/>
      <c r="G631"/>
      <c r="L631"/>
    </row>
    <row r="632" spans="1:12" x14ac:dyDescent="0.25">
      <c r="A632"/>
      <c r="B632"/>
      <c r="D632"/>
      <c r="G632"/>
      <c r="L632"/>
    </row>
    <row r="633" spans="1:12" x14ac:dyDescent="0.25">
      <c r="A633"/>
      <c r="B633"/>
      <c r="D633"/>
      <c r="G633"/>
      <c r="L633"/>
    </row>
    <row r="634" spans="1:12" x14ac:dyDescent="0.25">
      <c r="A634"/>
      <c r="B634"/>
      <c r="D634"/>
      <c r="G634"/>
      <c r="L634"/>
    </row>
    <row r="635" spans="1:12" x14ac:dyDescent="0.25">
      <c r="A635"/>
      <c r="B635"/>
      <c r="D635"/>
      <c r="G635"/>
      <c r="L635"/>
    </row>
    <row r="636" spans="1:12" x14ac:dyDescent="0.25">
      <c r="A636"/>
      <c r="B636"/>
      <c r="D636"/>
      <c r="G636"/>
      <c r="L636"/>
    </row>
    <row r="637" spans="1:12" x14ac:dyDescent="0.25">
      <c r="A637"/>
      <c r="B637"/>
      <c r="D637"/>
      <c r="G637"/>
      <c r="L637"/>
    </row>
    <row r="638" spans="1:12" x14ac:dyDescent="0.25">
      <c r="A638"/>
      <c r="B638"/>
      <c r="D638"/>
      <c r="G638"/>
      <c r="L638"/>
    </row>
    <row r="639" spans="1:12" x14ac:dyDescent="0.25">
      <c r="A639"/>
      <c r="B639"/>
      <c r="D639"/>
      <c r="G639"/>
      <c r="L639"/>
    </row>
    <row r="640" spans="1:12" x14ac:dyDescent="0.25">
      <c r="A640"/>
      <c r="B640"/>
      <c r="D640"/>
      <c r="G640"/>
      <c r="L640"/>
    </row>
    <row r="641" spans="1:12" x14ac:dyDescent="0.25">
      <c r="A641"/>
      <c r="B641"/>
      <c r="D641"/>
      <c r="G641"/>
      <c r="L641"/>
    </row>
    <row r="642" spans="1:12" x14ac:dyDescent="0.25">
      <c r="A642"/>
      <c r="B642"/>
      <c r="D642"/>
      <c r="G642"/>
      <c r="L642"/>
    </row>
    <row r="643" spans="1:12" x14ac:dyDescent="0.25">
      <c r="A643"/>
      <c r="B643"/>
      <c r="D643"/>
      <c r="G643"/>
      <c r="L643"/>
    </row>
    <row r="644" spans="1:12" x14ac:dyDescent="0.25">
      <c r="A644"/>
      <c r="B644"/>
      <c r="D644"/>
      <c r="G644"/>
      <c r="L644"/>
    </row>
    <row r="645" spans="1:12" x14ac:dyDescent="0.25">
      <c r="A645"/>
      <c r="B645"/>
      <c r="D645"/>
      <c r="G645"/>
      <c r="L645"/>
    </row>
    <row r="646" spans="1:12" x14ac:dyDescent="0.25">
      <c r="A646"/>
      <c r="B646"/>
      <c r="D646"/>
      <c r="G646"/>
      <c r="L646"/>
    </row>
    <row r="647" spans="1:12" x14ac:dyDescent="0.25">
      <c r="A647"/>
      <c r="B647"/>
      <c r="D647"/>
      <c r="G647"/>
      <c r="L647"/>
    </row>
    <row r="648" spans="1:12" x14ac:dyDescent="0.25">
      <c r="A648"/>
      <c r="B648"/>
      <c r="D648"/>
      <c r="G648"/>
      <c r="L648"/>
    </row>
    <row r="649" spans="1:12" x14ac:dyDescent="0.25">
      <c r="A649"/>
      <c r="B649"/>
      <c r="D649"/>
      <c r="G649"/>
      <c r="L649"/>
    </row>
    <row r="650" spans="1:12" x14ac:dyDescent="0.25">
      <c r="A650"/>
      <c r="B650"/>
      <c r="D650"/>
      <c r="G650"/>
      <c r="L650"/>
    </row>
    <row r="651" spans="1:12" x14ac:dyDescent="0.25">
      <c r="A651"/>
      <c r="B651"/>
      <c r="D651"/>
      <c r="G651"/>
      <c r="L651"/>
    </row>
    <row r="652" spans="1:12" x14ac:dyDescent="0.25">
      <c r="A652"/>
      <c r="B652"/>
      <c r="D652"/>
      <c r="G652"/>
      <c r="L652"/>
    </row>
    <row r="653" spans="1:12" x14ac:dyDescent="0.25">
      <c r="A653"/>
      <c r="B653"/>
      <c r="D653"/>
      <c r="G653"/>
      <c r="L653"/>
    </row>
    <row r="654" spans="1:12" x14ac:dyDescent="0.25">
      <c r="A654"/>
      <c r="B654"/>
      <c r="D654"/>
      <c r="G654"/>
      <c r="L654"/>
    </row>
    <row r="655" spans="1:12" x14ac:dyDescent="0.25">
      <c r="A655"/>
      <c r="B655"/>
      <c r="D655"/>
      <c r="G655"/>
      <c r="L655"/>
    </row>
    <row r="656" spans="1:12" x14ac:dyDescent="0.25">
      <c r="A656"/>
      <c r="B656"/>
      <c r="D656"/>
      <c r="G656"/>
      <c r="L656"/>
    </row>
    <row r="657" spans="1:12" x14ac:dyDescent="0.25">
      <c r="A657"/>
      <c r="B657"/>
      <c r="D657"/>
      <c r="G657"/>
      <c r="L657"/>
    </row>
    <row r="658" spans="1:12" x14ac:dyDescent="0.25">
      <c r="A658"/>
      <c r="B658"/>
      <c r="D658"/>
      <c r="G658"/>
      <c r="L658"/>
    </row>
    <row r="659" spans="1:12" x14ac:dyDescent="0.25">
      <c r="A659"/>
      <c r="B659"/>
      <c r="D659"/>
      <c r="G659"/>
      <c r="L659"/>
    </row>
    <row r="660" spans="1:12" x14ac:dyDescent="0.25">
      <c r="A660"/>
      <c r="B660"/>
      <c r="D660"/>
      <c r="G660"/>
      <c r="L660"/>
    </row>
    <row r="661" spans="1:12" x14ac:dyDescent="0.25">
      <c r="A661"/>
      <c r="B661"/>
      <c r="D661"/>
      <c r="G661"/>
      <c r="L661"/>
    </row>
    <row r="662" spans="1:12" x14ac:dyDescent="0.25">
      <c r="A662"/>
      <c r="B662"/>
      <c r="D662"/>
      <c r="G662"/>
      <c r="L662"/>
    </row>
    <row r="663" spans="1:12" x14ac:dyDescent="0.25">
      <c r="A663"/>
      <c r="B663"/>
      <c r="D663"/>
      <c r="G663"/>
      <c r="L663"/>
    </row>
    <row r="664" spans="1:12" x14ac:dyDescent="0.25">
      <c r="A664"/>
      <c r="B664"/>
      <c r="D664"/>
      <c r="G664"/>
      <c r="L664"/>
    </row>
    <row r="665" spans="1:12" x14ac:dyDescent="0.25">
      <c r="A665"/>
      <c r="B665"/>
      <c r="D665"/>
      <c r="G665"/>
      <c r="L665"/>
    </row>
    <row r="666" spans="1:12" x14ac:dyDescent="0.25">
      <c r="A666"/>
      <c r="B666"/>
      <c r="D666"/>
      <c r="G666"/>
      <c r="L666"/>
    </row>
    <row r="667" spans="1:12" x14ac:dyDescent="0.25">
      <c r="A667"/>
      <c r="B667"/>
      <c r="D667"/>
      <c r="G667"/>
      <c r="L667"/>
    </row>
    <row r="668" spans="1:12" x14ac:dyDescent="0.25">
      <c r="A668"/>
      <c r="B668"/>
      <c r="D668"/>
      <c r="G668"/>
      <c r="L668"/>
    </row>
    <row r="669" spans="1:12" x14ac:dyDescent="0.25">
      <c r="A669"/>
      <c r="B669"/>
      <c r="D669"/>
      <c r="G669"/>
      <c r="L669"/>
    </row>
    <row r="670" spans="1:12" x14ac:dyDescent="0.25">
      <c r="A670"/>
      <c r="B670"/>
      <c r="D670"/>
      <c r="G670"/>
      <c r="L670"/>
    </row>
    <row r="671" spans="1:12" x14ac:dyDescent="0.25">
      <c r="A671"/>
      <c r="B671"/>
      <c r="D671"/>
      <c r="G671"/>
      <c r="L671"/>
    </row>
    <row r="672" spans="1:12" x14ac:dyDescent="0.25">
      <c r="A672"/>
      <c r="B672"/>
      <c r="D672"/>
      <c r="G672"/>
      <c r="L672"/>
    </row>
    <row r="673" spans="1:12" x14ac:dyDescent="0.25">
      <c r="A673"/>
      <c r="B673"/>
      <c r="D673"/>
      <c r="G673"/>
      <c r="L673"/>
    </row>
    <row r="674" spans="1:12" x14ac:dyDescent="0.25">
      <c r="A674"/>
      <c r="B674"/>
      <c r="D674"/>
      <c r="G674"/>
      <c r="L674"/>
    </row>
    <row r="675" spans="1:12" x14ac:dyDescent="0.25">
      <c r="A675"/>
      <c r="B675"/>
      <c r="D675"/>
      <c r="G675"/>
      <c r="L675"/>
    </row>
    <row r="676" spans="1:12" x14ac:dyDescent="0.25">
      <c r="A676"/>
      <c r="B676"/>
      <c r="D676"/>
      <c r="G676"/>
      <c r="L676"/>
    </row>
    <row r="677" spans="1:12" x14ac:dyDescent="0.25">
      <c r="A677"/>
      <c r="B677"/>
      <c r="D677"/>
      <c r="G677"/>
      <c r="L677"/>
    </row>
    <row r="678" spans="1:12" x14ac:dyDescent="0.25">
      <c r="A678"/>
      <c r="B678"/>
      <c r="D678"/>
      <c r="G678"/>
      <c r="L678"/>
    </row>
    <row r="679" spans="1:12" x14ac:dyDescent="0.25">
      <c r="A679"/>
      <c r="B679"/>
      <c r="D679"/>
      <c r="G679"/>
      <c r="L679"/>
    </row>
    <row r="680" spans="1:12" x14ac:dyDescent="0.25">
      <c r="A680"/>
      <c r="B680"/>
      <c r="D680"/>
      <c r="G680"/>
      <c r="L680"/>
    </row>
    <row r="681" spans="1:12" x14ac:dyDescent="0.25">
      <c r="A681"/>
      <c r="B681"/>
      <c r="D681"/>
      <c r="G681"/>
      <c r="L681"/>
    </row>
    <row r="682" spans="1:12" x14ac:dyDescent="0.25">
      <c r="A682"/>
      <c r="B682"/>
      <c r="D682"/>
      <c r="G682"/>
      <c r="L682"/>
    </row>
    <row r="683" spans="1:12" x14ac:dyDescent="0.25">
      <c r="A683"/>
      <c r="B683"/>
      <c r="D683"/>
      <c r="G683"/>
      <c r="L683"/>
    </row>
    <row r="684" spans="1:12" x14ac:dyDescent="0.25">
      <c r="A684"/>
      <c r="B684"/>
      <c r="D684"/>
      <c r="G684"/>
      <c r="L684"/>
    </row>
    <row r="685" spans="1:12" x14ac:dyDescent="0.25">
      <c r="A685"/>
      <c r="B685"/>
      <c r="D685"/>
      <c r="G685"/>
      <c r="L685"/>
    </row>
    <row r="686" spans="1:12" x14ac:dyDescent="0.25">
      <c r="A686"/>
      <c r="B686"/>
      <c r="D686"/>
      <c r="G686"/>
      <c r="L686"/>
    </row>
    <row r="687" spans="1:12" x14ac:dyDescent="0.25">
      <c r="A687"/>
      <c r="B687"/>
      <c r="D687"/>
      <c r="G687"/>
      <c r="L687"/>
    </row>
    <row r="688" spans="1:12" x14ac:dyDescent="0.25">
      <c r="A688"/>
      <c r="B688"/>
      <c r="D688"/>
      <c r="G688"/>
      <c r="L688"/>
    </row>
    <row r="689" spans="1:12" x14ac:dyDescent="0.25">
      <c r="A689"/>
      <c r="B689"/>
      <c r="D689"/>
      <c r="G689"/>
      <c r="L689"/>
    </row>
    <row r="690" spans="1:12" x14ac:dyDescent="0.25">
      <c r="A690"/>
      <c r="B690"/>
      <c r="D690"/>
      <c r="G690"/>
      <c r="L690"/>
    </row>
    <row r="691" spans="1:12" x14ac:dyDescent="0.25">
      <c r="A691"/>
      <c r="B691"/>
      <c r="D691"/>
      <c r="G691"/>
      <c r="L691"/>
    </row>
    <row r="692" spans="1:12" x14ac:dyDescent="0.25">
      <c r="A692"/>
      <c r="B692"/>
      <c r="D692"/>
      <c r="G692"/>
      <c r="L692"/>
    </row>
    <row r="693" spans="1:12" x14ac:dyDescent="0.25">
      <c r="A693"/>
      <c r="B693"/>
      <c r="D693"/>
      <c r="G693"/>
      <c r="L693"/>
    </row>
    <row r="694" spans="1:12" x14ac:dyDescent="0.25">
      <c r="A694"/>
      <c r="B694"/>
      <c r="D694"/>
      <c r="G694"/>
      <c r="L694"/>
    </row>
    <row r="695" spans="1:12" x14ac:dyDescent="0.25">
      <c r="A695"/>
      <c r="B695"/>
      <c r="D695"/>
      <c r="G695"/>
      <c r="L695"/>
    </row>
    <row r="696" spans="1:12" x14ac:dyDescent="0.25">
      <c r="A696"/>
      <c r="B696"/>
      <c r="D696"/>
      <c r="G696"/>
      <c r="L696"/>
    </row>
    <row r="697" spans="1:12" x14ac:dyDescent="0.25">
      <c r="A697"/>
      <c r="B697"/>
      <c r="D697"/>
      <c r="G697"/>
      <c r="L697"/>
    </row>
    <row r="698" spans="1:12" x14ac:dyDescent="0.25">
      <c r="A698"/>
      <c r="B698"/>
      <c r="D698"/>
      <c r="G698"/>
      <c r="L698"/>
    </row>
    <row r="699" spans="1:12" x14ac:dyDescent="0.25">
      <c r="A699"/>
      <c r="B699"/>
      <c r="D699"/>
      <c r="G699"/>
      <c r="L699"/>
    </row>
    <row r="700" spans="1:12" x14ac:dyDescent="0.25">
      <c r="A700"/>
      <c r="B700"/>
      <c r="D700"/>
      <c r="G700"/>
      <c r="L700"/>
    </row>
    <row r="701" spans="1:12" x14ac:dyDescent="0.25">
      <c r="A701"/>
      <c r="B701"/>
      <c r="D701"/>
      <c r="G701"/>
      <c r="L701"/>
    </row>
    <row r="702" spans="1:12" x14ac:dyDescent="0.25">
      <c r="A702"/>
      <c r="B702"/>
      <c r="D702"/>
      <c r="G702"/>
      <c r="L702"/>
    </row>
    <row r="703" spans="1:12" x14ac:dyDescent="0.25">
      <c r="A703"/>
      <c r="B703"/>
      <c r="D703"/>
      <c r="G703"/>
      <c r="L703"/>
    </row>
    <row r="704" spans="1:12" x14ac:dyDescent="0.25">
      <c r="A704"/>
      <c r="B704"/>
      <c r="D704"/>
      <c r="G704"/>
      <c r="L704"/>
    </row>
    <row r="705" spans="1:12" x14ac:dyDescent="0.25">
      <c r="A705"/>
      <c r="B705"/>
      <c r="D705"/>
      <c r="G705"/>
      <c r="L705"/>
    </row>
    <row r="706" spans="1:12" x14ac:dyDescent="0.25">
      <c r="A706"/>
      <c r="B706"/>
      <c r="D706"/>
      <c r="G706"/>
      <c r="L706"/>
    </row>
    <row r="707" spans="1:12" x14ac:dyDescent="0.25">
      <c r="A707"/>
      <c r="B707"/>
      <c r="D707"/>
      <c r="G707"/>
      <c r="L707"/>
    </row>
    <row r="708" spans="1:12" x14ac:dyDescent="0.25">
      <c r="A708"/>
      <c r="B708"/>
      <c r="D708"/>
      <c r="G708"/>
      <c r="L708"/>
    </row>
    <row r="709" spans="1:12" x14ac:dyDescent="0.25">
      <c r="A709"/>
      <c r="B709"/>
      <c r="D709"/>
      <c r="G709"/>
      <c r="L709"/>
    </row>
    <row r="710" spans="1:12" x14ac:dyDescent="0.25">
      <c r="A710"/>
      <c r="B710"/>
      <c r="D710"/>
      <c r="G710"/>
      <c r="L710"/>
    </row>
    <row r="711" spans="1:12" x14ac:dyDescent="0.25">
      <c r="A711"/>
      <c r="B711"/>
      <c r="D711"/>
      <c r="G711"/>
      <c r="L711"/>
    </row>
    <row r="712" spans="1:12" x14ac:dyDescent="0.25">
      <c r="A712"/>
      <c r="B712"/>
      <c r="D712"/>
      <c r="G712"/>
      <c r="L712"/>
    </row>
    <row r="713" spans="1:12" x14ac:dyDescent="0.25">
      <c r="A713"/>
      <c r="B713"/>
      <c r="D713"/>
      <c r="G713"/>
      <c r="L713"/>
    </row>
    <row r="714" spans="1:12" x14ac:dyDescent="0.25">
      <c r="A714"/>
      <c r="B714"/>
      <c r="D714"/>
      <c r="G714"/>
      <c r="L714"/>
    </row>
    <row r="715" spans="1:12" x14ac:dyDescent="0.25">
      <c r="A715"/>
      <c r="B715"/>
      <c r="D715"/>
      <c r="G715"/>
      <c r="L715"/>
    </row>
    <row r="716" spans="1:12" x14ac:dyDescent="0.25">
      <c r="A716"/>
      <c r="B716"/>
      <c r="D716"/>
      <c r="G716"/>
      <c r="L716"/>
    </row>
    <row r="717" spans="1:12" x14ac:dyDescent="0.25">
      <c r="A717"/>
      <c r="B717"/>
      <c r="D717"/>
      <c r="G717"/>
      <c r="L717"/>
    </row>
    <row r="718" spans="1:12" x14ac:dyDescent="0.25">
      <c r="A718"/>
      <c r="B718"/>
      <c r="D718"/>
      <c r="G718"/>
      <c r="L718"/>
    </row>
    <row r="719" spans="1:12" x14ac:dyDescent="0.25">
      <c r="A719"/>
      <c r="B719"/>
      <c r="D719"/>
      <c r="G719"/>
      <c r="L719"/>
    </row>
    <row r="720" spans="1:12" x14ac:dyDescent="0.25">
      <c r="A720"/>
      <c r="B720"/>
      <c r="D720"/>
      <c r="G720"/>
      <c r="L720"/>
    </row>
    <row r="721" spans="1:12" x14ac:dyDescent="0.25">
      <c r="A721"/>
      <c r="B721"/>
      <c r="D721"/>
      <c r="G721"/>
      <c r="L721"/>
    </row>
    <row r="722" spans="1:12" x14ac:dyDescent="0.25">
      <c r="A722"/>
      <c r="B722"/>
      <c r="D722"/>
      <c r="G722"/>
      <c r="L722"/>
    </row>
    <row r="723" spans="1:12" x14ac:dyDescent="0.25">
      <c r="A723"/>
      <c r="B723"/>
      <c r="D723"/>
      <c r="G723"/>
      <c r="L723"/>
    </row>
    <row r="724" spans="1:12" x14ac:dyDescent="0.25">
      <c r="A724"/>
      <c r="B724"/>
      <c r="D724"/>
      <c r="G724"/>
      <c r="L724"/>
    </row>
    <row r="725" spans="1:12" x14ac:dyDescent="0.25">
      <c r="A725"/>
      <c r="B725"/>
      <c r="D725"/>
      <c r="G725"/>
      <c r="L725"/>
    </row>
    <row r="726" spans="1:12" x14ac:dyDescent="0.25">
      <c r="A726"/>
      <c r="B726"/>
      <c r="D726"/>
      <c r="G726"/>
      <c r="L726"/>
    </row>
    <row r="727" spans="1:12" x14ac:dyDescent="0.25">
      <c r="A727"/>
      <c r="B727"/>
      <c r="D727"/>
      <c r="G727"/>
      <c r="L727"/>
    </row>
    <row r="728" spans="1:12" x14ac:dyDescent="0.25">
      <c r="A728"/>
      <c r="B728"/>
      <c r="D728"/>
      <c r="G728"/>
      <c r="L728"/>
    </row>
    <row r="729" spans="1:12" x14ac:dyDescent="0.25">
      <c r="A729"/>
      <c r="B729"/>
      <c r="D729"/>
      <c r="G729"/>
      <c r="L729"/>
    </row>
    <row r="730" spans="1:12" x14ac:dyDescent="0.25">
      <c r="A730"/>
      <c r="B730"/>
      <c r="D730"/>
      <c r="G730"/>
      <c r="L730"/>
    </row>
    <row r="731" spans="1:12" x14ac:dyDescent="0.25">
      <c r="A731"/>
      <c r="B731"/>
      <c r="D731"/>
      <c r="G731"/>
      <c r="L731"/>
    </row>
    <row r="732" spans="1:12" x14ac:dyDescent="0.25">
      <c r="A732"/>
      <c r="B732"/>
      <c r="D732"/>
      <c r="G732"/>
      <c r="L732"/>
    </row>
    <row r="733" spans="1:12" x14ac:dyDescent="0.25">
      <c r="A733"/>
      <c r="B733"/>
      <c r="D733"/>
      <c r="G733"/>
      <c r="L733"/>
    </row>
    <row r="734" spans="1:12" x14ac:dyDescent="0.25">
      <c r="A734"/>
      <c r="B734"/>
      <c r="D734"/>
      <c r="G734"/>
      <c r="L734"/>
    </row>
    <row r="735" spans="1:12" x14ac:dyDescent="0.25">
      <c r="A735"/>
      <c r="B735"/>
      <c r="D735"/>
      <c r="G735"/>
      <c r="L735"/>
    </row>
    <row r="736" spans="1:12" x14ac:dyDescent="0.25">
      <c r="A736"/>
      <c r="B736"/>
      <c r="D736"/>
      <c r="G736"/>
      <c r="L736"/>
    </row>
    <row r="737" spans="1:12" x14ac:dyDescent="0.25">
      <c r="A737"/>
      <c r="B737"/>
      <c r="D737"/>
      <c r="G737"/>
      <c r="L737"/>
    </row>
    <row r="738" spans="1:12" x14ac:dyDescent="0.25">
      <c r="A738"/>
      <c r="B738"/>
      <c r="D738"/>
      <c r="G738"/>
      <c r="L738"/>
    </row>
    <row r="739" spans="1:12" x14ac:dyDescent="0.25">
      <c r="A739"/>
      <c r="B739"/>
      <c r="D739"/>
      <c r="G739"/>
      <c r="L739"/>
    </row>
    <row r="740" spans="1:12" x14ac:dyDescent="0.25">
      <c r="A740"/>
      <c r="B740"/>
      <c r="D740"/>
      <c r="G740"/>
      <c r="L740"/>
    </row>
    <row r="741" spans="1:12" x14ac:dyDescent="0.25">
      <c r="A741"/>
      <c r="B741"/>
      <c r="D741"/>
      <c r="G741"/>
      <c r="L741"/>
    </row>
    <row r="742" spans="1:12" x14ac:dyDescent="0.25">
      <c r="A742"/>
      <c r="B742"/>
      <c r="D742"/>
      <c r="G742"/>
      <c r="L742"/>
    </row>
    <row r="743" spans="1:12" x14ac:dyDescent="0.25">
      <c r="A743"/>
      <c r="B743"/>
      <c r="D743"/>
      <c r="G743"/>
      <c r="L743"/>
    </row>
    <row r="744" spans="1:12" x14ac:dyDescent="0.25">
      <c r="A744"/>
      <c r="B744"/>
      <c r="D744"/>
      <c r="G744"/>
      <c r="L744"/>
    </row>
    <row r="745" spans="1:12" x14ac:dyDescent="0.25">
      <c r="A745"/>
      <c r="B745"/>
      <c r="D745"/>
      <c r="G745"/>
      <c r="L745"/>
    </row>
    <row r="746" spans="1:12" x14ac:dyDescent="0.25">
      <c r="A746"/>
      <c r="B746"/>
      <c r="D746"/>
      <c r="G746"/>
      <c r="L746"/>
    </row>
    <row r="747" spans="1:12" x14ac:dyDescent="0.25">
      <c r="A747"/>
      <c r="B747"/>
      <c r="D747"/>
      <c r="G747"/>
      <c r="L747"/>
    </row>
    <row r="748" spans="1:12" x14ac:dyDescent="0.25">
      <c r="A748"/>
      <c r="B748"/>
      <c r="D748"/>
      <c r="G748"/>
      <c r="L748"/>
    </row>
    <row r="749" spans="1:12" x14ac:dyDescent="0.25">
      <c r="A749"/>
      <c r="B749"/>
      <c r="D749"/>
      <c r="G749"/>
      <c r="L749"/>
    </row>
    <row r="750" spans="1:12" x14ac:dyDescent="0.25">
      <c r="A750"/>
      <c r="B750"/>
      <c r="D750"/>
      <c r="G750"/>
      <c r="L750"/>
    </row>
    <row r="751" spans="1:12" x14ac:dyDescent="0.25">
      <c r="A751"/>
      <c r="B751"/>
      <c r="D751"/>
      <c r="G751"/>
      <c r="L751"/>
    </row>
    <row r="752" spans="1:12" x14ac:dyDescent="0.25">
      <c r="A752"/>
      <c r="B752"/>
      <c r="D752"/>
      <c r="G752"/>
      <c r="L752"/>
    </row>
    <row r="753" spans="1:12" x14ac:dyDescent="0.25">
      <c r="A753"/>
      <c r="B753"/>
      <c r="D753"/>
      <c r="G753"/>
      <c r="L753"/>
    </row>
    <row r="754" spans="1:12" x14ac:dyDescent="0.25">
      <c r="A754"/>
      <c r="B754"/>
      <c r="D754"/>
      <c r="G754"/>
      <c r="L754"/>
    </row>
    <row r="755" spans="1:12" x14ac:dyDescent="0.25">
      <c r="A755"/>
      <c r="B755"/>
      <c r="D755"/>
      <c r="G755"/>
      <c r="L755"/>
    </row>
    <row r="756" spans="1:12" x14ac:dyDescent="0.25">
      <c r="A756"/>
      <c r="B756"/>
      <c r="D756"/>
      <c r="G756"/>
      <c r="L756"/>
    </row>
    <row r="757" spans="1:12" x14ac:dyDescent="0.25">
      <c r="A757"/>
      <c r="B757"/>
      <c r="D757"/>
      <c r="G757"/>
      <c r="L757"/>
    </row>
    <row r="758" spans="1:12" x14ac:dyDescent="0.25">
      <c r="A758"/>
      <c r="B758"/>
      <c r="D758"/>
      <c r="G758"/>
      <c r="L758"/>
    </row>
    <row r="759" spans="1:12" x14ac:dyDescent="0.25">
      <c r="A759"/>
      <c r="B759"/>
      <c r="D759"/>
      <c r="G759"/>
      <c r="L759"/>
    </row>
    <row r="760" spans="1:12" x14ac:dyDescent="0.25">
      <c r="A760"/>
      <c r="B760"/>
      <c r="D760"/>
      <c r="G760"/>
      <c r="L760"/>
    </row>
    <row r="761" spans="1:12" x14ac:dyDescent="0.25">
      <c r="A761"/>
      <c r="B761"/>
      <c r="D761"/>
      <c r="G761"/>
      <c r="L761"/>
    </row>
    <row r="762" spans="1:12" x14ac:dyDescent="0.25">
      <c r="A762"/>
      <c r="B762"/>
      <c r="D762"/>
      <c r="G762"/>
      <c r="L762"/>
    </row>
    <row r="763" spans="1:12" x14ac:dyDescent="0.25">
      <c r="A763"/>
      <c r="B763"/>
      <c r="D763"/>
      <c r="G763"/>
      <c r="L763"/>
    </row>
    <row r="764" spans="1:12" x14ac:dyDescent="0.25">
      <c r="A764"/>
      <c r="B764"/>
      <c r="D764"/>
      <c r="G764"/>
      <c r="L764"/>
    </row>
    <row r="765" spans="1:12" x14ac:dyDescent="0.25">
      <c r="A765"/>
      <c r="B765"/>
      <c r="D765"/>
      <c r="G765"/>
      <c r="L765"/>
    </row>
    <row r="766" spans="1:12" x14ac:dyDescent="0.25">
      <c r="A766"/>
      <c r="B766"/>
      <c r="D766"/>
      <c r="G766"/>
      <c r="L766"/>
    </row>
    <row r="767" spans="1:12" x14ac:dyDescent="0.25">
      <c r="A767"/>
      <c r="B767"/>
      <c r="D767"/>
      <c r="G767"/>
      <c r="L767"/>
    </row>
    <row r="768" spans="1:12" x14ac:dyDescent="0.25">
      <c r="A768"/>
      <c r="B768"/>
      <c r="D768"/>
      <c r="G768"/>
      <c r="L768"/>
    </row>
    <row r="769" spans="1:12" x14ac:dyDescent="0.25">
      <c r="A769"/>
      <c r="B769"/>
      <c r="D769"/>
      <c r="G769"/>
      <c r="L769"/>
    </row>
    <row r="770" spans="1:12" x14ac:dyDescent="0.25">
      <c r="A770"/>
      <c r="B770"/>
      <c r="D770"/>
      <c r="G770"/>
      <c r="L770"/>
    </row>
    <row r="771" spans="1:12" x14ac:dyDescent="0.25">
      <c r="A771"/>
      <c r="B771"/>
      <c r="D771"/>
      <c r="G771"/>
      <c r="L771"/>
    </row>
    <row r="772" spans="1:12" x14ac:dyDescent="0.25">
      <c r="A772"/>
      <c r="B772"/>
      <c r="D772"/>
      <c r="G772"/>
      <c r="L772"/>
    </row>
    <row r="773" spans="1:12" x14ac:dyDescent="0.25">
      <c r="A773"/>
      <c r="B773"/>
      <c r="D773"/>
      <c r="G773"/>
      <c r="L773"/>
    </row>
    <row r="774" spans="1:12" x14ac:dyDescent="0.25">
      <c r="A774"/>
      <c r="B774"/>
      <c r="D774"/>
      <c r="G774"/>
      <c r="L774"/>
    </row>
    <row r="775" spans="1:12" x14ac:dyDescent="0.25">
      <c r="A775"/>
      <c r="B775"/>
      <c r="D775"/>
      <c r="G775"/>
      <c r="L775"/>
    </row>
    <row r="776" spans="1:12" x14ac:dyDescent="0.25">
      <c r="A776"/>
      <c r="B776"/>
      <c r="D776"/>
      <c r="G776"/>
      <c r="L776"/>
    </row>
    <row r="777" spans="1:12" x14ac:dyDescent="0.25">
      <c r="A777"/>
      <c r="B777"/>
      <c r="D777"/>
      <c r="G777"/>
      <c r="L777"/>
    </row>
    <row r="778" spans="1:12" x14ac:dyDescent="0.25">
      <c r="A778"/>
      <c r="B778"/>
      <c r="D778"/>
      <c r="G778"/>
      <c r="L778"/>
    </row>
    <row r="779" spans="1:12" x14ac:dyDescent="0.25">
      <c r="A779"/>
      <c r="B779"/>
      <c r="D779"/>
      <c r="G779"/>
      <c r="L779"/>
    </row>
    <row r="780" spans="1:12" x14ac:dyDescent="0.25">
      <c r="A780"/>
      <c r="B780"/>
      <c r="D780"/>
      <c r="G780"/>
      <c r="L780"/>
    </row>
    <row r="781" spans="1:12" x14ac:dyDescent="0.25">
      <c r="A781"/>
      <c r="B781"/>
      <c r="D781"/>
      <c r="G781"/>
      <c r="L781"/>
    </row>
    <row r="782" spans="1:12" x14ac:dyDescent="0.25">
      <c r="A782"/>
      <c r="B782"/>
      <c r="D782"/>
      <c r="G782"/>
      <c r="L782"/>
    </row>
    <row r="783" spans="1:12" x14ac:dyDescent="0.25">
      <c r="A783"/>
      <c r="B783"/>
      <c r="D783"/>
      <c r="G783"/>
      <c r="L783"/>
    </row>
    <row r="784" spans="1:12" x14ac:dyDescent="0.25">
      <c r="A784"/>
      <c r="B784"/>
      <c r="D784"/>
      <c r="G784"/>
      <c r="L784"/>
    </row>
    <row r="785" spans="1:12" x14ac:dyDescent="0.25">
      <c r="A785"/>
      <c r="B785"/>
      <c r="D785"/>
      <c r="G785"/>
      <c r="L785"/>
    </row>
    <row r="786" spans="1:12" x14ac:dyDescent="0.25">
      <c r="A786"/>
      <c r="B786"/>
      <c r="D786"/>
      <c r="G786"/>
      <c r="L786"/>
    </row>
    <row r="787" spans="1:12" x14ac:dyDescent="0.25">
      <c r="A787"/>
      <c r="B787"/>
      <c r="D787"/>
      <c r="G787"/>
      <c r="L787"/>
    </row>
    <row r="788" spans="1:12" x14ac:dyDescent="0.25">
      <c r="A788"/>
      <c r="B788"/>
      <c r="D788"/>
      <c r="G788"/>
      <c r="L788"/>
    </row>
    <row r="789" spans="1:12" x14ac:dyDescent="0.25">
      <c r="A789"/>
      <c r="B789"/>
      <c r="D789"/>
      <c r="G789"/>
      <c r="L789"/>
    </row>
    <row r="790" spans="1:12" x14ac:dyDescent="0.25">
      <c r="A790"/>
      <c r="B790"/>
      <c r="D790"/>
      <c r="G790"/>
      <c r="L790"/>
    </row>
    <row r="791" spans="1:12" x14ac:dyDescent="0.25">
      <c r="A791"/>
      <c r="B791"/>
      <c r="D791"/>
      <c r="G791"/>
      <c r="L791"/>
    </row>
    <row r="792" spans="1:12" x14ac:dyDescent="0.25">
      <c r="A792"/>
      <c r="B792"/>
      <c r="D792"/>
      <c r="G792"/>
      <c r="L792"/>
    </row>
    <row r="793" spans="1:12" x14ac:dyDescent="0.25">
      <c r="A793"/>
      <c r="B793"/>
      <c r="D793"/>
      <c r="G793"/>
      <c r="L793"/>
    </row>
    <row r="794" spans="1:12" x14ac:dyDescent="0.25">
      <c r="A794"/>
      <c r="B794"/>
      <c r="D794"/>
      <c r="G794"/>
      <c r="L794"/>
    </row>
    <row r="795" spans="1:12" x14ac:dyDescent="0.25">
      <c r="A795"/>
      <c r="B795"/>
      <c r="D795"/>
      <c r="G795"/>
      <c r="L795"/>
    </row>
    <row r="796" spans="1:12" x14ac:dyDescent="0.25">
      <c r="A796"/>
      <c r="B796"/>
      <c r="D796"/>
      <c r="G796"/>
      <c r="L796"/>
    </row>
    <row r="797" spans="1:12" x14ac:dyDescent="0.25">
      <c r="A797"/>
      <c r="B797"/>
      <c r="D797"/>
      <c r="G797"/>
      <c r="L797"/>
    </row>
    <row r="798" spans="1:12" x14ac:dyDescent="0.25">
      <c r="A798"/>
      <c r="B798"/>
      <c r="D798"/>
      <c r="G798"/>
      <c r="L798"/>
    </row>
    <row r="799" spans="1:12" x14ac:dyDescent="0.25">
      <c r="A799"/>
      <c r="B799"/>
      <c r="D799"/>
      <c r="G799"/>
      <c r="L799"/>
    </row>
    <row r="800" spans="1:12" x14ac:dyDescent="0.25">
      <c r="A800"/>
      <c r="B800"/>
      <c r="D800"/>
      <c r="G800"/>
      <c r="L800"/>
    </row>
    <row r="801" spans="1:12" x14ac:dyDescent="0.25">
      <c r="A801"/>
      <c r="B801"/>
      <c r="D801"/>
      <c r="G801"/>
      <c r="L801"/>
    </row>
    <row r="802" spans="1:12" x14ac:dyDescent="0.25">
      <c r="A802"/>
      <c r="B802"/>
      <c r="D802"/>
      <c r="G802"/>
      <c r="L802"/>
    </row>
    <row r="803" spans="1:12" x14ac:dyDescent="0.25">
      <c r="A803"/>
      <c r="B803"/>
      <c r="D803"/>
      <c r="G803"/>
      <c r="L803"/>
    </row>
    <row r="804" spans="1:12" x14ac:dyDescent="0.25">
      <c r="A804"/>
      <c r="B804"/>
      <c r="D804"/>
      <c r="G804"/>
      <c r="L804"/>
    </row>
    <row r="805" spans="1:12" x14ac:dyDescent="0.25">
      <c r="A805"/>
      <c r="B805"/>
      <c r="D805"/>
      <c r="G805"/>
      <c r="L805"/>
    </row>
    <row r="806" spans="1:12" x14ac:dyDescent="0.25">
      <c r="A806"/>
      <c r="B806"/>
      <c r="D806"/>
      <c r="G806"/>
      <c r="L806"/>
    </row>
    <row r="807" spans="1:12" x14ac:dyDescent="0.25">
      <c r="A807"/>
      <c r="B807"/>
      <c r="D807"/>
      <c r="G807"/>
      <c r="L807"/>
    </row>
    <row r="808" spans="1:12" x14ac:dyDescent="0.25">
      <c r="A808"/>
      <c r="B808"/>
      <c r="D808"/>
      <c r="G808"/>
      <c r="L808"/>
    </row>
    <row r="809" spans="1:12" x14ac:dyDescent="0.25">
      <c r="A809"/>
      <c r="B809"/>
      <c r="D809"/>
      <c r="G809"/>
      <c r="L809"/>
    </row>
    <row r="810" spans="1:12" x14ac:dyDescent="0.25">
      <c r="A810"/>
      <c r="B810"/>
      <c r="D810"/>
      <c r="G810"/>
      <c r="L810"/>
    </row>
    <row r="811" spans="1:12" x14ac:dyDescent="0.25">
      <c r="A811"/>
      <c r="B811"/>
      <c r="D811"/>
      <c r="G811"/>
      <c r="L811"/>
    </row>
    <row r="812" spans="1:12" x14ac:dyDescent="0.25">
      <c r="A812"/>
      <c r="B812"/>
      <c r="D812"/>
      <c r="G812"/>
      <c r="L812"/>
    </row>
    <row r="813" spans="1:12" x14ac:dyDescent="0.25">
      <c r="A813"/>
      <c r="B813"/>
      <c r="D813"/>
      <c r="G813"/>
      <c r="L813"/>
    </row>
    <row r="814" spans="1:12" x14ac:dyDescent="0.25">
      <c r="A814"/>
      <c r="B814"/>
      <c r="D814"/>
      <c r="G814"/>
      <c r="L814"/>
    </row>
    <row r="815" spans="1:12" x14ac:dyDescent="0.25">
      <c r="A815"/>
      <c r="B815"/>
      <c r="D815"/>
      <c r="G815"/>
      <c r="L815"/>
    </row>
    <row r="816" spans="1:12" x14ac:dyDescent="0.25">
      <c r="A816"/>
      <c r="B816"/>
      <c r="D816"/>
      <c r="G816"/>
      <c r="L816"/>
    </row>
    <row r="817" spans="1:12" x14ac:dyDescent="0.25">
      <c r="A817"/>
      <c r="B817"/>
      <c r="D817"/>
      <c r="G817"/>
      <c r="L817"/>
    </row>
    <row r="818" spans="1:12" x14ac:dyDescent="0.25">
      <c r="A818"/>
      <c r="B818"/>
      <c r="D818"/>
      <c r="G818"/>
      <c r="L818"/>
    </row>
    <row r="819" spans="1:12" x14ac:dyDescent="0.25">
      <c r="A819"/>
      <c r="B819"/>
      <c r="D819"/>
      <c r="G819"/>
      <c r="L819"/>
    </row>
    <row r="820" spans="1:12" x14ac:dyDescent="0.25">
      <c r="A820"/>
      <c r="B820"/>
      <c r="D820"/>
      <c r="G820"/>
      <c r="L820"/>
    </row>
    <row r="821" spans="1:12" x14ac:dyDescent="0.25">
      <c r="A821"/>
      <c r="B821"/>
      <c r="D821"/>
      <c r="G821"/>
      <c r="L821"/>
    </row>
    <row r="822" spans="1:12" x14ac:dyDescent="0.25">
      <c r="A822"/>
      <c r="B822"/>
      <c r="D822"/>
      <c r="G822"/>
      <c r="L822"/>
    </row>
    <row r="823" spans="1:12" x14ac:dyDescent="0.25">
      <c r="A823"/>
      <c r="B823"/>
      <c r="D823"/>
      <c r="G823"/>
      <c r="L823"/>
    </row>
    <row r="824" spans="1:12" x14ac:dyDescent="0.25">
      <c r="A824"/>
      <c r="B824"/>
      <c r="D824"/>
      <c r="G824"/>
      <c r="L824"/>
    </row>
    <row r="825" spans="1:12" x14ac:dyDescent="0.25">
      <c r="A825"/>
      <c r="B825"/>
      <c r="D825"/>
      <c r="G825"/>
      <c r="L825"/>
    </row>
    <row r="826" spans="1:12" x14ac:dyDescent="0.25">
      <c r="A826"/>
      <c r="B826"/>
      <c r="D826"/>
      <c r="G826"/>
      <c r="L826"/>
    </row>
    <row r="827" spans="1:12" x14ac:dyDescent="0.25">
      <c r="A827"/>
      <c r="B827"/>
      <c r="D827"/>
      <c r="G827"/>
      <c r="L827"/>
    </row>
    <row r="828" spans="1:12" x14ac:dyDescent="0.25">
      <c r="A828"/>
      <c r="B828"/>
      <c r="D828"/>
      <c r="G828"/>
      <c r="L828"/>
    </row>
    <row r="829" spans="1:12" x14ac:dyDescent="0.25">
      <c r="A829"/>
      <c r="B829"/>
      <c r="D829"/>
      <c r="G829"/>
      <c r="L829"/>
    </row>
    <row r="830" spans="1:12" x14ac:dyDescent="0.25">
      <c r="A830"/>
      <c r="B830"/>
      <c r="D830"/>
      <c r="G830"/>
      <c r="L830"/>
    </row>
    <row r="831" spans="1:12" x14ac:dyDescent="0.25">
      <c r="A831"/>
      <c r="B831"/>
      <c r="D831"/>
      <c r="G831"/>
      <c r="L831"/>
    </row>
    <row r="832" spans="1:12" x14ac:dyDescent="0.25">
      <c r="A832"/>
      <c r="B832"/>
      <c r="D832"/>
      <c r="G832"/>
      <c r="L832"/>
    </row>
    <row r="833" spans="1:12" x14ac:dyDescent="0.25">
      <c r="A833"/>
      <c r="B833"/>
      <c r="D833"/>
      <c r="G833"/>
      <c r="L833"/>
    </row>
    <row r="834" spans="1:12" x14ac:dyDescent="0.25">
      <c r="A834"/>
      <c r="B834"/>
      <c r="D834"/>
      <c r="G834"/>
      <c r="L834"/>
    </row>
    <row r="835" spans="1:12" x14ac:dyDescent="0.25">
      <c r="A835"/>
      <c r="B835"/>
      <c r="D835"/>
      <c r="G835"/>
      <c r="L835"/>
    </row>
    <row r="836" spans="1:12" x14ac:dyDescent="0.25">
      <c r="A836"/>
      <c r="B836"/>
      <c r="D836"/>
      <c r="G836"/>
      <c r="L836"/>
    </row>
    <row r="837" spans="1:12" x14ac:dyDescent="0.25">
      <c r="A837"/>
      <c r="B837"/>
      <c r="D837"/>
      <c r="G837"/>
      <c r="L837"/>
    </row>
    <row r="838" spans="1:12" x14ac:dyDescent="0.25">
      <c r="A838"/>
      <c r="B838"/>
      <c r="D838"/>
      <c r="G838"/>
      <c r="L838"/>
    </row>
    <row r="839" spans="1:12" x14ac:dyDescent="0.25">
      <c r="A839"/>
      <c r="B839"/>
      <c r="D839"/>
      <c r="G839"/>
      <c r="L839"/>
    </row>
    <row r="840" spans="1:12" x14ac:dyDescent="0.25">
      <c r="A840"/>
      <c r="B840"/>
      <c r="D840"/>
      <c r="G840"/>
      <c r="L840"/>
    </row>
    <row r="841" spans="1:12" x14ac:dyDescent="0.25">
      <c r="A841"/>
      <c r="B841"/>
      <c r="D841"/>
      <c r="G841"/>
      <c r="L841"/>
    </row>
    <row r="842" spans="1:12" x14ac:dyDescent="0.25">
      <c r="A842"/>
      <c r="B842"/>
      <c r="D842"/>
      <c r="G842"/>
      <c r="L842"/>
    </row>
    <row r="843" spans="1:12" x14ac:dyDescent="0.25">
      <c r="A843"/>
      <c r="B843"/>
      <c r="D843"/>
      <c r="G843"/>
      <c r="L843"/>
    </row>
    <row r="844" spans="1:12" x14ac:dyDescent="0.25">
      <c r="A844"/>
      <c r="B844"/>
      <c r="D844"/>
      <c r="G844"/>
      <c r="L844"/>
    </row>
    <row r="845" spans="1:12" x14ac:dyDescent="0.25">
      <c r="A845"/>
      <c r="B845"/>
      <c r="D845"/>
      <c r="G845"/>
      <c r="L845"/>
    </row>
    <row r="846" spans="1:12" x14ac:dyDescent="0.25">
      <c r="A846"/>
      <c r="B846"/>
      <c r="D846"/>
      <c r="G846"/>
      <c r="L846"/>
    </row>
    <row r="847" spans="1:12" x14ac:dyDescent="0.25">
      <c r="A847"/>
      <c r="B847"/>
      <c r="D847"/>
      <c r="G847"/>
      <c r="L847"/>
    </row>
    <row r="848" spans="1:12" x14ac:dyDescent="0.25">
      <c r="A848"/>
      <c r="B848"/>
      <c r="D848"/>
      <c r="G848"/>
      <c r="L848"/>
    </row>
    <row r="849" spans="1:12" x14ac:dyDescent="0.25">
      <c r="A849"/>
      <c r="B849"/>
      <c r="D849"/>
      <c r="G849"/>
      <c r="L849"/>
    </row>
    <row r="850" spans="1:12" x14ac:dyDescent="0.25">
      <c r="A850"/>
      <c r="B850"/>
      <c r="D850"/>
      <c r="G850"/>
      <c r="L850"/>
    </row>
    <row r="851" spans="1:12" x14ac:dyDescent="0.25">
      <c r="A851"/>
      <c r="B851"/>
      <c r="D851"/>
      <c r="G851"/>
      <c r="L851"/>
    </row>
    <row r="852" spans="1:12" x14ac:dyDescent="0.25">
      <c r="A852"/>
      <c r="B852"/>
      <c r="D852"/>
      <c r="G852"/>
      <c r="L852"/>
    </row>
    <row r="853" spans="1:12" x14ac:dyDescent="0.25">
      <c r="A853"/>
      <c r="B853"/>
      <c r="D853"/>
      <c r="G853"/>
      <c r="L853"/>
    </row>
    <row r="854" spans="1:12" x14ac:dyDescent="0.25">
      <c r="A854"/>
      <c r="B854"/>
      <c r="D854"/>
      <c r="G854"/>
      <c r="L854"/>
    </row>
    <row r="855" spans="1:12" x14ac:dyDescent="0.25">
      <c r="A855"/>
      <c r="B855"/>
      <c r="D855"/>
      <c r="G855"/>
      <c r="L855"/>
    </row>
    <row r="856" spans="1:12" x14ac:dyDescent="0.25">
      <c r="A856"/>
      <c r="B856"/>
      <c r="D856"/>
      <c r="G856"/>
      <c r="L856"/>
    </row>
    <row r="857" spans="1:12" x14ac:dyDescent="0.25">
      <c r="A857"/>
      <c r="B857"/>
      <c r="D857"/>
      <c r="G857"/>
      <c r="L857"/>
    </row>
    <row r="858" spans="1:12" x14ac:dyDescent="0.25">
      <c r="A858"/>
      <c r="B858"/>
      <c r="D858"/>
      <c r="G858"/>
      <c r="L858"/>
    </row>
    <row r="859" spans="1:12" x14ac:dyDescent="0.25">
      <c r="A859"/>
      <c r="B859"/>
      <c r="D859"/>
      <c r="G859"/>
      <c r="L859"/>
    </row>
    <row r="860" spans="1:12" x14ac:dyDescent="0.25">
      <c r="A860"/>
      <c r="B860"/>
      <c r="D860"/>
      <c r="G860"/>
      <c r="L860"/>
    </row>
    <row r="861" spans="1:12" x14ac:dyDescent="0.25">
      <c r="A861"/>
      <c r="B861"/>
      <c r="D861"/>
      <c r="G861"/>
      <c r="L861"/>
    </row>
    <row r="862" spans="1:12" x14ac:dyDescent="0.25">
      <c r="A862"/>
      <c r="B862"/>
      <c r="D862"/>
      <c r="G862"/>
      <c r="L862"/>
    </row>
    <row r="863" spans="1:12" x14ac:dyDescent="0.25">
      <c r="A863"/>
      <c r="B863"/>
      <c r="D863"/>
      <c r="G863"/>
      <c r="L863"/>
    </row>
    <row r="864" spans="1:12" x14ac:dyDescent="0.25">
      <c r="A864"/>
      <c r="B864"/>
      <c r="D864"/>
      <c r="G864"/>
      <c r="L864"/>
    </row>
    <row r="865" spans="1:12" x14ac:dyDescent="0.25">
      <c r="A865"/>
      <c r="B865"/>
      <c r="D865"/>
      <c r="G865"/>
      <c r="L865"/>
    </row>
    <row r="866" spans="1:12" x14ac:dyDescent="0.25">
      <c r="A866"/>
      <c r="B866"/>
      <c r="D866"/>
      <c r="G866"/>
      <c r="L866"/>
    </row>
    <row r="867" spans="1:12" x14ac:dyDescent="0.25">
      <c r="A867"/>
      <c r="B867"/>
      <c r="D867"/>
      <c r="G867"/>
      <c r="L867"/>
    </row>
    <row r="868" spans="1:12" x14ac:dyDescent="0.25">
      <c r="A868"/>
      <c r="B868"/>
      <c r="D868"/>
      <c r="G868"/>
      <c r="L868"/>
    </row>
    <row r="869" spans="1:12" x14ac:dyDescent="0.25">
      <c r="A869"/>
      <c r="B869"/>
      <c r="D869"/>
      <c r="G869"/>
      <c r="L869"/>
    </row>
    <row r="870" spans="1:12" x14ac:dyDescent="0.25">
      <c r="A870"/>
      <c r="B870"/>
      <c r="D870"/>
      <c r="G870"/>
      <c r="L870"/>
    </row>
    <row r="871" spans="1:12" x14ac:dyDescent="0.25">
      <c r="A871"/>
      <c r="B871"/>
      <c r="D871"/>
      <c r="G871"/>
      <c r="L871"/>
    </row>
    <row r="872" spans="1:12" x14ac:dyDescent="0.25">
      <c r="A872"/>
      <c r="B872"/>
      <c r="D872"/>
      <c r="G872"/>
      <c r="L872"/>
    </row>
    <row r="873" spans="1:12" x14ac:dyDescent="0.25">
      <c r="A873"/>
      <c r="B873"/>
      <c r="D873"/>
      <c r="G873"/>
      <c r="L873"/>
    </row>
    <row r="874" spans="1:12" x14ac:dyDescent="0.25">
      <c r="A874"/>
      <c r="B874"/>
      <c r="D874"/>
      <c r="G874"/>
      <c r="L874"/>
    </row>
    <row r="875" spans="1:12" x14ac:dyDescent="0.25">
      <c r="A875"/>
      <c r="B875"/>
      <c r="D875"/>
      <c r="G875"/>
      <c r="L875"/>
    </row>
    <row r="876" spans="1:12" x14ac:dyDescent="0.25">
      <c r="A876"/>
      <c r="B876"/>
      <c r="D876"/>
      <c r="G876"/>
      <c r="L876"/>
    </row>
    <row r="877" spans="1:12" x14ac:dyDescent="0.25">
      <c r="A877"/>
      <c r="B877"/>
      <c r="D877"/>
      <c r="G877"/>
      <c r="L877"/>
    </row>
    <row r="878" spans="1:12" x14ac:dyDescent="0.25">
      <c r="A878"/>
      <c r="B878"/>
      <c r="D878"/>
      <c r="G878"/>
      <c r="L878"/>
    </row>
    <row r="879" spans="1:12" x14ac:dyDescent="0.25">
      <c r="A879"/>
      <c r="B879"/>
      <c r="D879"/>
      <c r="G879"/>
      <c r="L879"/>
    </row>
    <row r="880" spans="1:12" x14ac:dyDescent="0.25">
      <c r="A880"/>
      <c r="B880"/>
      <c r="D880"/>
      <c r="G880"/>
      <c r="L880"/>
    </row>
    <row r="881" spans="1:12" x14ac:dyDescent="0.25">
      <c r="A881"/>
      <c r="B881"/>
      <c r="D881"/>
      <c r="G881"/>
      <c r="L881"/>
    </row>
    <row r="882" spans="1:12" x14ac:dyDescent="0.25">
      <c r="A882"/>
      <c r="B882"/>
      <c r="D882"/>
      <c r="G882"/>
      <c r="L882"/>
    </row>
    <row r="883" spans="1:12" x14ac:dyDescent="0.25">
      <c r="A883"/>
      <c r="B883"/>
      <c r="D883"/>
      <c r="G883"/>
      <c r="L883"/>
    </row>
    <row r="884" spans="1:12" x14ac:dyDescent="0.25">
      <c r="A884"/>
      <c r="B884"/>
      <c r="D884"/>
      <c r="G884"/>
      <c r="L884"/>
    </row>
    <row r="885" spans="1:12" x14ac:dyDescent="0.25">
      <c r="A885"/>
      <c r="B885"/>
      <c r="D885"/>
      <c r="G885"/>
      <c r="L885"/>
    </row>
    <row r="886" spans="1:12" x14ac:dyDescent="0.25">
      <c r="A886"/>
      <c r="B886"/>
      <c r="D886"/>
      <c r="G886"/>
      <c r="L886"/>
    </row>
    <row r="887" spans="1:12" x14ac:dyDescent="0.25">
      <c r="A887"/>
      <c r="B887"/>
      <c r="D887"/>
      <c r="G887"/>
      <c r="L887"/>
    </row>
    <row r="888" spans="1:12" x14ac:dyDescent="0.25">
      <c r="A888"/>
      <c r="B888"/>
      <c r="D888"/>
      <c r="G888"/>
      <c r="L888"/>
    </row>
    <row r="889" spans="1:12" x14ac:dyDescent="0.25">
      <c r="A889"/>
      <c r="B889"/>
      <c r="D889"/>
      <c r="G889"/>
      <c r="L889"/>
    </row>
    <row r="890" spans="1:12" x14ac:dyDescent="0.25">
      <c r="A890"/>
      <c r="B890"/>
      <c r="D890"/>
      <c r="G890"/>
      <c r="L890"/>
    </row>
    <row r="891" spans="1:12" x14ac:dyDescent="0.25">
      <c r="A891"/>
      <c r="B891"/>
      <c r="D891"/>
      <c r="G891"/>
      <c r="L891"/>
    </row>
    <row r="892" spans="1:12" x14ac:dyDescent="0.25">
      <c r="A892"/>
      <c r="B892"/>
      <c r="D892"/>
      <c r="G892"/>
      <c r="L892"/>
    </row>
    <row r="893" spans="1:12" x14ac:dyDescent="0.25">
      <c r="A893"/>
      <c r="B893"/>
      <c r="D893"/>
      <c r="G893"/>
      <c r="L893"/>
    </row>
    <row r="894" spans="1:12" x14ac:dyDescent="0.25">
      <c r="A894"/>
      <c r="B894"/>
      <c r="D894"/>
      <c r="G894"/>
      <c r="L894"/>
    </row>
    <row r="895" spans="1:12" x14ac:dyDescent="0.25">
      <c r="A895"/>
      <c r="B895"/>
      <c r="D895"/>
      <c r="G895"/>
      <c r="L895"/>
    </row>
    <row r="896" spans="1:12" x14ac:dyDescent="0.25">
      <c r="A896"/>
      <c r="B896"/>
      <c r="D896"/>
      <c r="G896"/>
      <c r="L896"/>
    </row>
    <row r="897" spans="1:12" x14ac:dyDescent="0.25">
      <c r="A897"/>
      <c r="B897"/>
      <c r="D897"/>
      <c r="G897"/>
      <c r="L897"/>
    </row>
    <row r="898" spans="1:12" x14ac:dyDescent="0.25">
      <c r="A898"/>
      <c r="B898"/>
      <c r="D898"/>
      <c r="G898"/>
      <c r="L898"/>
    </row>
    <row r="899" spans="1:12" x14ac:dyDescent="0.25">
      <c r="A899"/>
      <c r="B899"/>
      <c r="D899"/>
      <c r="G899"/>
      <c r="L899"/>
    </row>
    <row r="900" spans="1:12" x14ac:dyDescent="0.25">
      <c r="A900"/>
      <c r="B900"/>
      <c r="D900"/>
      <c r="G900"/>
      <c r="L900"/>
    </row>
    <row r="901" spans="1:12" x14ac:dyDescent="0.25">
      <c r="A901"/>
      <c r="B901"/>
      <c r="D901"/>
      <c r="G901"/>
      <c r="L901"/>
    </row>
    <row r="902" spans="1:12" x14ac:dyDescent="0.25">
      <c r="A902"/>
      <c r="B902"/>
      <c r="D902"/>
      <c r="G902"/>
      <c r="L902"/>
    </row>
    <row r="903" spans="1:12" x14ac:dyDescent="0.25">
      <c r="A903"/>
      <c r="B903"/>
      <c r="D903"/>
      <c r="G903"/>
      <c r="L903"/>
    </row>
    <row r="904" spans="1:12" x14ac:dyDescent="0.25">
      <c r="A904"/>
      <c r="B904"/>
      <c r="D904"/>
      <c r="G904"/>
      <c r="L904"/>
    </row>
    <row r="905" spans="1:12" x14ac:dyDescent="0.25">
      <c r="A905"/>
      <c r="B905"/>
      <c r="D905"/>
      <c r="G905"/>
      <c r="L905"/>
    </row>
    <row r="906" spans="1:12" x14ac:dyDescent="0.25">
      <c r="A906"/>
      <c r="B906"/>
      <c r="D906"/>
      <c r="G906"/>
      <c r="L906"/>
    </row>
    <row r="907" spans="1:12" x14ac:dyDescent="0.25">
      <c r="A907"/>
      <c r="B907"/>
      <c r="D907"/>
      <c r="G907"/>
      <c r="L907"/>
    </row>
    <row r="908" spans="1:12" x14ac:dyDescent="0.25">
      <c r="A908"/>
      <c r="B908"/>
      <c r="D908"/>
      <c r="G908"/>
      <c r="L908"/>
    </row>
    <row r="909" spans="1:12" x14ac:dyDescent="0.25">
      <c r="A909"/>
      <c r="B909"/>
      <c r="D909"/>
      <c r="G909"/>
      <c r="L909"/>
    </row>
    <row r="910" spans="1:12" x14ac:dyDescent="0.25">
      <c r="A910"/>
      <c r="B910"/>
      <c r="D910"/>
      <c r="G910"/>
      <c r="L910"/>
    </row>
    <row r="911" spans="1:12" x14ac:dyDescent="0.25">
      <c r="A911"/>
      <c r="B911"/>
      <c r="D911"/>
      <c r="G911"/>
      <c r="L911"/>
    </row>
    <row r="912" spans="1:12" x14ac:dyDescent="0.25">
      <c r="A912"/>
      <c r="B912"/>
      <c r="D912"/>
      <c r="G912"/>
      <c r="L912"/>
    </row>
    <row r="913" spans="1:12" x14ac:dyDescent="0.25">
      <c r="A913"/>
      <c r="B913"/>
      <c r="D913"/>
      <c r="G913"/>
      <c r="L913"/>
    </row>
    <row r="914" spans="1:12" x14ac:dyDescent="0.25">
      <c r="A914"/>
      <c r="B914"/>
      <c r="D914"/>
      <c r="G914"/>
      <c r="L914"/>
    </row>
    <row r="915" spans="1:12" x14ac:dyDescent="0.25">
      <c r="A915"/>
      <c r="B915"/>
      <c r="D915"/>
      <c r="G915"/>
      <c r="L915"/>
    </row>
    <row r="916" spans="1:12" x14ac:dyDescent="0.25">
      <c r="A916"/>
      <c r="B916"/>
      <c r="D916"/>
      <c r="G916"/>
      <c r="L916"/>
    </row>
    <row r="917" spans="1:12" x14ac:dyDescent="0.25">
      <c r="A917"/>
      <c r="B917"/>
      <c r="D917"/>
      <c r="G917"/>
      <c r="L917"/>
    </row>
    <row r="918" spans="1:12" x14ac:dyDescent="0.25">
      <c r="A918"/>
      <c r="B918"/>
      <c r="D918"/>
      <c r="G918"/>
      <c r="L918"/>
    </row>
    <row r="919" spans="1:12" x14ac:dyDescent="0.25">
      <c r="A919"/>
      <c r="B919"/>
      <c r="D919"/>
      <c r="G919"/>
      <c r="L919"/>
    </row>
    <row r="920" spans="1:12" x14ac:dyDescent="0.25">
      <c r="A920"/>
      <c r="B920"/>
      <c r="D920"/>
      <c r="G920"/>
      <c r="L920"/>
    </row>
    <row r="921" spans="1:12" x14ac:dyDescent="0.25">
      <c r="A921"/>
      <c r="B921"/>
      <c r="D921"/>
      <c r="G921"/>
      <c r="L921"/>
    </row>
    <row r="922" spans="1:12" x14ac:dyDescent="0.25">
      <c r="A922"/>
      <c r="B922"/>
      <c r="D922"/>
      <c r="G922"/>
      <c r="L922"/>
    </row>
    <row r="923" spans="1:12" x14ac:dyDescent="0.25">
      <c r="A923"/>
      <c r="B923"/>
      <c r="D923"/>
      <c r="G923"/>
      <c r="L923"/>
    </row>
    <row r="924" spans="1:12" x14ac:dyDescent="0.25">
      <c r="A924"/>
      <c r="B924"/>
      <c r="D924"/>
      <c r="G924"/>
      <c r="L924"/>
    </row>
    <row r="925" spans="1:12" x14ac:dyDescent="0.25">
      <c r="A925"/>
      <c r="B925"/>
      <c r="D925"/>
      <c r="G925"/>
      <c r="L925"/>
    </row>
    <row r="926" spans="1:12" x14ac:dyDescent="0.25">
      <c r="A926"/>
      <c r="B926"/>
      <c r="D926"/>
      <c r="G926"/>
      <c r="L926"/>
    </row>
    <row r="927" spans="1:12" x14ac:dyDescent="0.25">
      <c r="A927"/>
      <c r="B927"/>
      <c r="D927"/>
      <c r="G927"/>
      <c r="L927"/>
    </row>
    <row r="928" spans="1:12" x14ac:dyDescent="0.25">
      <c r="A928"/>
      <c r="B928"/>
      <c r="D928"/>
      <c r="G928"/>
      <c r="L928"/>
    </row>
    <row r="929" spans="1:12" x14ac:dyDescent="0.25">
      <c r="A929"/>
      <c r="B929"/>
      <c r="D929"/>
      <c r="G929"/>
      <c r="L929"/>
    </row>
    <row r="930" spans="1:12" x14ac:dyDescent="0.25">
      <c r="A930"/>
      <c r="B930"/>
      <c r="D930"/>
      <c r="G930"/>
      <c r="L930"/>
    </row>
    <row r="931" spans="1:12" x14ac:dyDescent="0.25">
      <c r="A931"/>
      <c r="B931"/>
      <c r="D931"/>
      <c r="G931"/>
      <c r="L931"/>
    </row>
    <row r="932" spans="1:12" x14ac:dyDescent="0.25">
      <c r="A932"/>
      <c r="B932"/>
      <c r="D932"/>
      <c r="G932"/>
      <c r="L932"/>
    </row>
    <row r="933" spans="1:12" x14ac:dyDescent="0.25">
      <c r="A933"/>
      <c r="B933"/>
      <c r="D933"/>
      <c r="G933"/>
      <c r="L933"/>
    </row>
    <row r="934" spans="1:12" x14ac:dyDescent="0.25">
      <c r="A934"/>
      <c r="B934"/>
      <c r="D934"/>
      <c r="G934"/>
      <c r="L934"/>
    </row>
    <row r="935" spans="1:12" x14ac:dyDescent="0.25">
      <c r="A935"/>
      <c r="B935"/>
      <c r="D935"/>
      <c r="G935"/>
      <c r="L935"/>
    </row>
    <row r="936" spans="1:12" x14ac:dyDescent="0.25">
      <c r="A936"/>
      <c r="B936"/>
      <c r="D936"/>
      <c r="G936"/>
      <c r="L936"/>
    </row>
    <row r="937" spans="1:12" x14ac:dyDescent="0.25">
      <c r="A937"/>
      <c r="B937"/>
      <c r="D937"/>
      <c r="G937"/>
      <c r="L937"/>
    </row>
    <row r="938" spans="1:12" x14ac:dyDescent="0.25">
      <c r="A938"/>
      <c r="B938"/>
      <c r="D938"/>
      <c r="G938"/>
      <c r="L938"/>
    </row>
    <row r="939" spans="1:12" x14ac:dyDescent="0.25">
      <c r="A939"/>
      <c r="B939"/>
      <c r="D939"/>
      <c r="G939"/>
      <c r="L939"/>
    </row>
    <row r="940" spans="1:12" x14ac:dyDescent="0.25">
      <c r="A940"/>
      <c r="B940"/>
      <c r="D940"/>
      <c r="G940"/>
      <c r="L940"/>
    </row>
    <row r="941" spans="1:12" x14ac:dyDescent="0.25">
      <c r="A941"/>
      <c r="B941"/>
      <c r="D941"/>
      <c r="G941"/>
      <c r="L941"/>
    </row>
    <row r="942" spans="1:12" x14ac:dyDescent="0.25">
      <c r="A942"/>
      <c r="B942"/>
      <c r="D942"/>
      <c r="G942"/>
      <c r="L942"/>
    </row>
    <row r="943" spans="1:12" x14ac:dyDescent="0.25">
      <c r="A943"/>
      <c r="B943"/>
      <c r="D943"/>
      <c r="G943"/>
      <c r="L943"/>
    </row>
    <row r="944" spans="1:12" x14ac:dyDescent="0.25">
      <c r="A944"/>
      <c r="B944"/>
      <c r="D944"/>
      <c r="G944"/>
      <c r="L944"/>
    </row>
    <row r="945" spans="1:12" x14ac:dyDescent="0.25">
      <c r="A945"/>
      <c r="B945"/>
      <c r="D945"/>
      <c r="G945"/>
      <c r="L945"/>
    </row>
    <row r="946" spans="1:12" x14ac:dyDescent="0.25">
      <c r="A946"/>
      <c r="B946"/>
      <c r="D946"/>
      <c r="G946"/>
      <c r="L946"/>
    </row>
    <row r="947" spans="1:12" x14ac:dyDescent="0.25">
      <c r="A947"/>
      <c r="B947"/>
      <c r="D947"/>
      <c r="G947"/>
      <c r="L947"/>
    </row>
    <row r="948" spans="1:12" x14ac:dyDescent="0.25">
      <c r="A948"/>
      <c r="B948"/>
      <c r="D948"/>
      <c r="G948"/>
      <c r="L948"/>
    </row>
    <row r="949" spans="1:12" x14ac:dyDescent="0.25">
      <c r="A949"/>
      <c r="B949"/>
      <c r="D949"/>
      <c r="G949"/>
      <c r="L949"/>
    </row>
    <row r="950" spans="1:12" x14ac:dyDescent="0.25">
      <c r="A950"/>
      <c r="B950"/>
      <c r="D950"/>
      <c r="G950"/>
      <c r="L950"/>
    </row>
    <row r="951" spans="1:12" x14ac:dyDescent="0.25">
      <c r="A951"/>
      <c r="B951"/>
      <c r="D951"/>
      <c r="G951"/>
      <c r="L951"/>
    </row>
    <row r="952" spans="1:12" x14ac:dyDescent="0.25">
      <c r="A952"/>
      <c r="B952"/>
      <c r="D952"/>
      <c r="G952"/>
      <c r="L952"/>
    </row>
    <row r="953" spans="1:12" x14ac:dyDescent="0.25">
      <c r="A953"/>
      <c r="B953"/>
      <c r="D953"/>
      <c r="G953"/>
      <c r="L953"/>
    </row>
    <row r="954" spans="1:12" x14ac:dyDescent="0.25">
      <c r="A954"/>
      <c r="B954"/>
      <c r="D954"/>
      <c r="G954"/>
      <c r="L954"/>
    </row>
    <row r="955" spans="1:12" x14ac:dyDescent="0.25">
      <c r="A955"/>
      <c r="B955"/>
      <c r="D955"/>
      <c r="G955"/>
      <c r="L955"/>
    </row>
    <row r="956" spans="1:12" x14ac:dyDescent="0.25">
      <c r="A956"/>
      <c r="B956"/>
      <c r="D956"/>
      <c r="G956"/>
      <c r="L956"/>
    </row>
    <row r="957" spans="1:12" x14ac:dyDescent="0.25">
      <c r="A957"/>
      <c r="B957"/>
      <c r="D957"/>
      <c r="G957"/>
      <c r="L957"/>
    </row>
    <row r="958" spans="1:12" x14ac:dyDescent="0.25">
      <c r="A958"/>
      <c r="B958"/>
      <c r="D958"/>
      <c r="G958"/>
      <c r="L958"/>
    </row>
    <row r="959" spans="1:12" x14ac:dyDescent="0.25">
      <c r="A959"/>
      <c r="B959"/>
      <c r="D959"/>
      <c r="G959"/>
      <c r="L959"/>
    </row>
    <row r="960" spans="1:12" x14ac:dyDescent="0.25">
      <c r="A960"/>
      <c r="B960"/>
      <c r="D960"/>
      <c r="G960"/>
      <c r="L960"/>
    </row>
    <row r="961" spans="1:12" x14ac:dyDescent="0.25">
      <c r="A961"/>
      <c r="B961"/>
      <c r="D961"/>
      <c r="G961"/>
      <c r="L961"/>
    </row>
    <row r="962" spans="1:12" x14ac:dyDescent="0.25">
      <c r="A962"/>
      <c r="B962"/>
      <c r="D962"/>
      <c r="G962"/>
      <c r="L962"/>
    </row>
    <row r="963" spans="1:12" x14ac:dyDescent="0.25">
      <c r="A963"/>
      <c r="B963"/>
      <c r="D963"/>
      <c r="G963"/>
      <c r="L963"/>
    </row>
    <row r="964" spans="1:12" x14ac:dyDescent="0.25">
      <c r="A964"/>
      <c r="B964"/>
      <c r="D964"/>
      <c r="G964"/>
      <c r="L964"/>
    </row>
    <row r="965" spans="1:12" x14ac:dyDescent="0.25">
      <c r="A965"/>
      <c r="B965"/>
      <c r="D965"/>
      <c r="G965"/>
      <c r="L965"/>
    </row>
    <row r="966" spans="1:12" x14ac:dyDescent="0.25">
      <c r="A966"/>
      <c r="B966"/>
      <c r="D966"/>
      <c r="G966"/>
      <c r="L966"/>
    </row>
    <row r="967" spans="1:12" x14ac:dyDescent="0.25">
      <c r="A967"/>
      <c r="B967"/>
      <c r="D967"/>
      <c r="G967"/>
      <c r="L967"/>
    </row>
    <row r="968" spans="1:12" x14ac:dyDescent="0.25">
      <c r="A968"/>
      <c r="B968"/>
      <c r="D968"/>
      <c r="G968"/>
      <c r="L968"/>
    </row>
    <row r="969" spans="1:12" x14ac:dyDescent="0.25">
      <c r="A969"/>
      <c r="B969"/>
      <c r="D969"/>
      <c r="G969"/>
      <c r="L969"/>
    </row>
    <row r="970" spans="1:12" x14ac:dyDescent="0.25">
      <c r="A970"/>
      <c r="B970"/>
      <c r="D970"/>
      <c r="G970"/>
      <c r="L970"/>
    </row>
    <row r="971" spans="1:12" x14ac:dyDescent="0.25">
      <c r="A971"/>
      <c r="B971"/>
      <c r="D971"/>
      <c r="G971"/>
      <c r="L971"/>
    </row>
    <row r="972" spans="1:12" x14ac:dyDescent="0.25">
      <c r="A972"/>
      <c r="B972"/>
      <c r="D972"/>
      <c r="G972"/>
      <c r="L972"/>
    </row>
    <row r="973" spans="1:12" x14ac:dyDescent="0.25">
      <c r="A973"/>
      <c r="B973"/>
      <c r="D973"/>
      <c r="G973"/>
      <c r="L973"/>
    </row>
    <row r="974" spans="1:12" x14ac:dyDescent="0.25">
      <c r="A974"/>
      <c r="B974"/>
      <c r="D974"/>
      <c r="G974"/>
      <c r="L974"/>
    </row>
    <row r="975" spans="1:12" x14ac:dyDescent="0.25">
      <c r="A975"/>
      <c r="B975"/>
      <c r="D975"/>
      <c r="G975"/>
      <c r="L975"/>
    </row>
    <row r="976" spans="1:12" x14ac:dyDescent="0.25">
      <c r="A976"/>
      <c r="B976"/>
      <c r="D976"/>
      <c r="G976"/>
      <c r="L976"/>
    </row>
    <row r="977" spans="1:12" x14ac:dyDescent="0.25">
      <c r="A977"/>
      <c r="B977"/>
      <c r="D977"/>
      <c r="G977"/>
      <c r="L977"/>
    </row>
    <row r="978" spans="1:12" x14ac:dyDescent="0.25">
      <c r="A978"/>
      <c r="B978"/>
      <c r="D978"/>
      <c r="G978"/>
      <c r="L978"/>
    </row>
    <row r="979" spans="1:12" x14ac:dyDescent="0.25">
      <c r="A979"/>
      <c r="B979"/>
      <c r="D979"/>
      <c r="G979"/>
      <c r="L979"/>
    </row>
    <row r="980" spans="1:12" x14ac:dyDescent="0.25">
      <c r="A980"/>
      <c r="B980"/>
      <c r="D980"/>
      <c r="G980"/>
      <c r="L980"/>
    </row>
    <row r="981" spans="1:12" x14ac:dyDescent="0.25">
      <c r="A981"/>
      <c r="B981"/>
      <c r="D981"/>
      <c r="G981"/>
      <c r="L981"/>
    </row>
    <row r="982" spans="1:12" x14ac:dyDescent="0.25">
      <c r="A982"/>
      <c r="B982"/>
      <c r="D982"/>
      <c r="G982"/>
      <c r="L982"/>
    </row>
    <row r="983" spans="1:12" x14ac:dyDescent="0.25">
      <c r="A983"/>
      <c r="B983"/>
      <c r="D983"/>
      <c r="G983"/>
      <c r="L983"/>
    </row>
    <row r="984" spans="1:12" x14ac:dyDescent="0.25">
      <c r="A984"/>
      <c r="B984"/>
      <c r="D984"/>
      <c r="G984"/>
      <c r="L984"/>
    </row>
    <row r="985" spans="1:12" x14ac:dyDescent="0.25">
      <c r="A985"/>
      <c r="B985"/>
      <c r="D985"/>
      <c r="G985"/>
      <c r="L985"/>
    </row>
    <row r="986" spans="1:12" x14ac:dyDescent="0.25">
      <c r="A986"/>
      <c r="B986"/>
      <c r="D986"/>
      <c r="G986"/>
      <c r="L986"/>
    </row>
    <row r="987" spans="1:12" x14ac:dyDescent="0.25">
      <c r="A987"/>
      <c r="B987"/>
      <c r="D987"/>
      <c r="G987"/>
      <c r="L987"/>
    </row>
    <row r="988" spans="1:12" x14ac:dyDescent="0.25">
      <c r="A988"/>
      <c r="B988"/>
      <c r="D988"/>
      <c r="G988"/>
      <c r="L988"/>
    </row>
    <row r="989" spans="1:12" x14ac:dyDescent="0.25">
      <c r="A989"/>
      <c r="B989"/>
      <c r="D989"/>
      <c r="G989"/>
      <c r="L989"/>
    </row>
    <row r="990" spans="1:12" x14ac:dyDescent="0.25">
      <c r="A990"/>
      <c r="B990"/>
      <c r="D990"/>
      <c r="G990"/>
      <c r="L990"/>
    </row>
    <row r="991" spans="1:12" x14ac:dyDescent="0.25">
      <c r="A991"/>
      <c r="B991"/>
      <c r="D991"/>
      <c r="G991"/>
      <c r="L991"/>
    </row>
    <row r="992" spans="1:12" x14ac:dyDescent="0.25">
      <c r="A992"/>
      <c r="B992"/>
      <c r="D992"/>
      <c r="G992"/>
      <c r="L992"/>
    </row>
    <row r="993" spans="1:12" x14ac:dyDescent="0.25">
      <c r="A993"/>
      <c r="B993"/>
      <c r="D993"/>
      <c r="G993"/>
      <c r="L993"/>
    </row>
    <row r="994" spans="1:12" x14ac:dyDescent="0.25">
      <c r="A994"/>
      <c r="B994"/>
      <c r="D994"/>
      <c r="G994"/>
      <c r="L994"/>
    </row>
    <row r="995" spans="1:12" x14ac:dyDescent="0.25">
      <c r="A995"/>
      <c r="B995"/>
      <c r="D995"/>
      <c r="G995"/>
      <c r="L995"/>
    </row>
    <row r="996" spans="1:12" x14ac:dyDescent="0.25">
      <c r="A996"/>
      <c r="B996"/>
      <c r="D996"/>
      <c r="G996"/>
      <c r="L996"/>
    </row>
    <row r="997" spans="1:12" x14ac:dyDescent="0.25">
      <c r="A997"/>
      <c r="B997"/>
      <c r="D997"/>
      <c r="G997"/>
      <c r="L997"/>
    </row>
    <row r="998" spans="1:12" x14ac:dyDescent="0.25">
      <c r="A998"/>
      <c r="B998"/>
      <c r="D998"/>
      <c r="G998"/>
      <c r="L998"/>
    </row>
    <row r="999" spans="1:12" x14ac:dyDescent="0.25">
      <c r="A999"/>
      <c r="B999"/>
      <c r="D999"/>
      <c r="G999"/>
      <c r="L999"/>
    </row>
    <row r="1000" spans="1:12" x14ac:dyDescent="0.25">
      <c r="A1000"/>
      <c r="B1000"/>
      <c r="D1000"/>
      <c r="G1000"/>
      <c r="L1000"/>
    </row>
    <row r="1001" spans="1:12" x14ac:dyDescent="0.25">
      <c r="A1001"/>
      <c r="B1001"/>
      <c r="D1001"/>
      <c r="G1001"/>
      <c r="L1001"/>
    </row>
    <row r="1002" spans="1:12" x14ac:dyDescent="0.25">
      <c r="A1002"/>
      <c r="B1002"/>
      <c r="D1002"/>
      <c r="G1002"/>
      <c r="L1002"/>
    </row>
    <row r="1003" spans="1:12" x14ac:dyDescent="0.25">
      <c r="A1003"/>
      <c r="B1003"/>
      <c r="D1003"/>
      <c r="G1003"/>
      <c r="L1003"/>
    </row>
    <row r="1004" spans="1:12" x14ac:dyDescent="0.25">
      <c r="A1004"/>
      <c r="B1004"/>
      <c r="D1004"/>
      <c r="G1004"/>
      <c r="L1004"/>
    </row>
    <row r="1005" spans="1:12" x14ac:dyDescent="0.25">
      <c r="A1005"/>
      <c r="B1005"/>
      <c r="D1005"/>
      <c r="G1005"/>
      <c r="L1005"/>
    </row>
    <row r="1006" spans="1:12" x14ac:dyDescent="0.25">
      <c r="A1006"/>
      <c r="B1006"/>
      <c r="D1006"/>
      <c r="G1006"/>
      <c r="L1006"/>
    </row>
    <row r="1007" spans="1:12" x14ac:dyDescent="0.25">
      <c r="A1007"/>
      <c r="B1007"/>
      <c r="D1007"/>
      <c r="G1007"/>
      <c r="L1007"/>
    </row>
    <row r="1008" spans="1:12" x14ac:dyDescent="0.25">
      <c r="A1008"/>
      <c r="B1008"/>
      <c r="D1008"/>
      <c r="G1008"/>
      <c r="L1008"/>
    </row>
    <row r="1009" spans="1:12" x14ac:dyDescent="0.25">
      <c r="A1009"/>
      <c r="B1009"/>
      <c r="D1009"/>
      <c r="G1009"/>
      <c r="L1009"/>
    </row>
    <row r="1010" spans="1:12" x14ac:dyDescent="0.25">
      <c r="A1010"/>
      <c r="B1010"/>
      <c r="D1010"/>
      <c r="G1010"/>
      <c r="L1010"/>
    </row>
    <row r="1011" spans="1:12" x14ac:dyDescent="0.25">
      <c r="A1011"/>
      <c r="B1011"/>
      <c r="D1011"/>
      <c r="G1011"/>
      <c r="L1011"/>
    </row>
    <row r="1012" spans="1:12" x14ac:dyDescent="0.25">
      <c r="A1012"/>
      <c r="B1012"/>
      <c r="D1012"/>
      <c r="G1012"/>
      <c r="L1012"/>
    </row>
    <row r="1013" spans="1:12" x14ac:dyDescent="0.25">
      <c r="A1013"/>
      <c r="B1013"/>
      <c r="D1013"/>
      <c r="G1013"/>
      <c r="L1013"/>
    </row>
    <row r="1014" spans="1:12" x14ac:dyDescent="0.25">
      <c r="A1014"/>
      <c r="B1014"/>
      <c r="D1014"/>
      <c r="G1014"/>
      <c r="L1014"/>
    </row>
    <row r="1015" spans="1:12" x14ac:dyDescent="0.25">
      <c r="A1015"/>
      <c r="B1015"/>
      <c r="D1015"/>
      <c r="G1015"/>
      <c r="L1015"/>
    </row>
    <row r="1016" spans="1:12" x14ac:dyDescent="0.25">
      <c r="A1016"/>
      <c r="B1016"/>
      <c r="D1016"/>
      <c r="G1016"/>
      <c r="L1016"/>
    </row>
    <row r="1017" spans="1:12" x14ac:dyDescent="0.25">
      <c r="A1017"/>
      <c r="B1017"/>
      <c r="D1017"/>
      <c r="G1017"/>
      <c r="L1017"/>
    </row>
    <row r="1018" spans="1:12" x14ac:dyDescent="0.25">
      <c r="A1018"/>
      <c r="B1018"/>
      <c r="D1018"/>
      <c r="G1018"/>
      <c r="L1018"/>
    </row>
    <row r="1019" spans="1:12" x14ac:dyDescent="0.25">
      <c r="A1019"/>
      <c r="B1019"/>
      <c r="D1019"/>
      <c r="G1019"/>
      <c r="L1019"/>
    </row>
    <row r="1020" spans="1:12" x14ac:dyDescent="0.25">
      <c r="A1020"/>
      <c r="B1020"/>
      <c r="D1020"/>
      <c r="G1020"/>
      <c r="L1020"/>
    </row>
    <row r="1021" spans="1:12" x14ac:dyDescent="0.25">
      <c r="A1021"/>
      <c r="B1021"/>
      <c r="D1021"/>
      <c r="G1021"/>
      <c r="L1021"/>
    </row>
    <row r="1022" spans="1:12" x14ac:dyDescent="0.25">
      <c r="A1022"/>
      <c r="B1022"/>
      <c r="D1022"/>
      <c r="G1022"/>
      <c r="L1022"/>
    </row>
    <row r="1023" spans="1:12" x14ac:dyDescent="0.25">
      <c r="A1023"/>
      <c r="B1023"/>
      <c r="D1023"/>
      <c r="G1023"/>
      <c r="L1023"/>
    </row>
    <row r="1024" spans="1:12" x14ac:dyDescent="0.25">
      <c r="A1024"/>
      <c r="B1024"/>
      <c r="D1024"/>
      <c r="G1024"/>
      <c r="L1024"/>
    </row>
    <row r="1025" spans="1:12" x14ac:dyDescent="0.25">
      <c r="A1025"/>
      <c r="B1025"/>
      <c r="D1025"/>
      <c r="G1025"/>
      <c r="L1025"/>
    </row>
    <row r="1026" spans="1:12" x14ac:dyDescent="0.25">
      <c r="A1026"/>
      <c r="B1026"/>
      <c r="D1026"/>
      <c r="G1026"/>
      <c r="L1026"/>
    </row>
    <row r="1027" spans="1:12" x14ac:dyDescent="0.25">
      <c r="A1027"/>
      <c r="B1027"/>
      <c r="D1027"/>
      <c r="G1027"/>
      <c r="L1027"/>
    </row>
    <row r="1028" spans="1:12" x14ac:dyDescent="0.25">
      <c r="A1028"/>
      <c r="B1028"/>
      <c r="D1028"/>
      <c r="G1028"/>
      <c r="L1028"/>
    </row>
    <row r="1029" spans="1:12" x14ac:dyDescent="0.25">
      <c r="A1029"/>
      <c r="B1029"/>
      <c r="D1029"/>
      <c r="G1029"/>
      <c r="L1029"/>
    </row>
    <row r="1030" spans="1:12" x14ac:dyDescent="0.25">
      <c r="A1030"/>
      <c r="B1030"/>
      <c r="D1030"/>
      <c r="G1030"/>
      <c r="L1030"/>
    </row>
    <row r="1031" spans="1:12" x14ac:dyDescent="0.25">
      <c r="A1031"/>
      <c r="B1031"/>
      <c r="D1031"/>
      <c r="G1031"/>
      <c r="L1031"/>
    </row>
    <row r="1032" spans="1:12" x14ac:dyDescent="0.25">
      <c r="A1032"/>
      <c r="B1032"/>
      <c r="D1032"/>
      <c r="G1032"/>
      <c r="L1032"/>
    </row>
    <row r="1033" spans="1:12" x14ac:dyDescent="0.25">
      <c r="A1033"/>
      <c r="B1033"/>
      <c r="D1033"/>
      <c r="G1033"/>
      <c r="L1033"/>
    </row>
    <row r="1034" spans="1:12" x14ac:dyDescent="0.25">
      <c r="A1034"/>
      <c r="B1034"/>
      <c r="D1034"/>
      <c r="G1034"/>
      <c r="L1034"/>
    </row>
    <row r="1035" spans="1:12" x14ac:dyDescent="0.25">
      <c r="A1035"/>
      <c r="B1035"/>
      <c r="D1035"/>
      <c r="G1035"/>
      <c r="L1035"/>
    </row>
    <row r="1036" spans="1:12" x14ac:dyDescent="0.25">
      <c r="A1036"/>
      <c r="B1036"/>
      <c r="D1036"/>
      <c r="G1036"/>
      <c r="L1036"/>
    </row>
    <row r="1037" spans="1:12" x14ac:dyDescent="0.25">
      <c r="A1037"/>
      <c r="B1037"/>
      <c r="D1037"/>
      <c r="G1037"/>
      <c r="L1037"/>
    </row>
    <row r="1038" spans="1:12" x14ac:dyDescent="0.25">
      <c r="A1038"/>
      <c r="B1038"/>
      <c r="D1038"/>
      <c r="G1038"/>
      <c r="L1038"/>
    </row>
    <row r="1039" spans="1:12" x14ac:dyDescent="0.25">
      <c r="A1039"/>
      <c r="B1039"/>
      <c r="D1039"/>
      <c r="G1039"/>
      <c r="L1039"/>
    </row>
    <row r="1040" spans="1:12" x14ac:dyDescent="0.25">
      <c r="A1040"/>
      <c r="B1040"/>
      <c r="D1040"/>
      <c r="G1040"/>
      <c r="L1040"/>
    </row>
    <row r="1041" spans="1:12" x14ac:dyDescent="0.25">
      <c r="A1041"/>
      <c r="B1041"/>
      <c r="D1041"/>
      <c r="G1041"/>
      <c r="L1041"/>
    </row>
    <row r="1042" spans="1:12" x14ac:dyDescent="0.25">
      <c r="A1042"/>
      <c r="B1042"/>
      <c r="D1042"/>
      <c r="G1042"/>
      <c r="L1042"/>
    </row>
    <row r="1043" spans="1:12" x14ac:dyDescent="0.25">
      <c r="A1043"/>
      <c r="B1043"/>
      <c r="D1043"/>
      <c r="G1043"/>
      <c r="L1043"/>
    </row>
    <row r="1044" spans="1:12" x14ac:dyDescent="0.25">
      <c r="A1044"/>
      <c r="B1044"/>
      <c r="D1044"/>
      <c r="G1044"/>
      <c r="L1044"/>
    </row>
    <row r="1045" spans="1:12" x14ac:dyDescent="0.25">
      <c r="A1045"/>
      <c r="B1045"/>
      <c r="D1045"/>
      <c r="G1045"/>
      <c r="L1045"/>
    </row>
    <row r="1046" spans="1:12" x14ac:dyDescent="0.25">
      <c r="A1046"/>
      <c r="B1046"/>
      <c r="D1046"/>
      <c r="G1046"/>
      <c r="L1046"/>
    </row>
    <row r="1047" spans="1:12" x14ac:dyDescent="0.25">
      <c r="A1047"/>
      <c r="B1047"/>
      <c r="D1047"/>
      <c r="G1047"/>
      <c r="L1047"/>
    </row>
    <row r="1048" spans="1:12" x14ac:dyDescent="0.25">
      <c r="A1048"/>
      <c r="B1048"/>
      <c r="D1048"/>
      <c r="G1048"/>
      <c r="L1048"/>
    </row>
    <row r="1049" spans="1:12" x14ac:dyDescent="0.25">
      <c r="A1049"/>
      <c r="B1049"/>
      <c r="D1049"/>
      <c r="G1049"/>
      <c r="L1049"/>
    </row>
    <row r="1050" spans="1:12" x14ac:dyDescent="0.25">
      <c r="A1050"/>
      <c r="B1050"/>
      <c r="D1050"/>
      <c r="G1050"/>
      <c r="L1050"/>
    </row>
    <row r="1051" spans="1:12" x14ac:dyDescent="0.25">
      <c r="A1051"/>
      <c r="B1051"/>
      <c r="D1051"/>
      <c r="G1051"/>
      <c r="L1051"/>
    </row>
    <row r="1052" spans="1:12" x14ac:dyDescent="0.25">
      <c r="A1052"/>
      <c r="B1052"/>
      <c r="D1052"/>
      <c r="G1052"/>
      <c r="L1052"/>
    </row>
    <row r="1053" spans="1:12" x14ac:dyDescent="0.25">
      <c r="A1053"/>
      <c r="B1053"/>
      <c r="D1053"/>
      <c r="G1053"/>
      <c r="L1053"/>
    </row>
    <row r="1054" spans="1:12" x14ac:dyDescent="0.25">
      <c r="A1054"/>
      <c r="B1054"/>
      <c r="D1054"/>
      <c r="G1054"/>
      <c r="L1054"/>
    </row>
    <row r="1055" spans="1:12" x14ac:dyDescent="0.25">
      <c r="A1055"/>
      <c r="B1055"/>
      <c r="D1055"/>
      <c r="G1055"/>
      <c r="L1055"/>
    </row>
    <row r="1056" spans="1:12" x14ac:dyDescent="0.25">
      <c r="A1056"/>
      <c r="B1056"/>
      <c r="D1056"/>
      <c r="G1056"/>
      <c r="L1056"/>
    </row>
    <row r="1057" spans="1:12" x14ac:dyDescent="0.25">
      <c r="A1057"/>
      <c r="B1057"/>
      <c r="D1057"/>
      <c r="G1057"/>
      <c r="L1057"/>
    </row>
    <row r="1058" spans="1:12" x14ac:dyDescent="0.25">
      <c r="A1058"/>
      <c r="B1058"/>
      <c r="D1058"/>
      <c r="G1058"/>
      <c r="L1058"/>
    </row>
    <row r="1059" spans="1:12" x14ac:dyDescent="0.25">
      <c r="A1059"/>
      <c r="B1059"/>
      <c r="D1059"/>
      <c r="G1059"/>
      <c r="L1059"/>
    </row>
    <row r="1060" spans="1:12" x14ac:dyDescent="0.25">
      <c r="A1060"/>
      <c r="B1060"/>
      <c r="D1060"/>
      <c r="G1060"/>
      <c r="L1060"/>
    </row>
    <row r="1061" spans="1:12" x14ac:dyDescent="0.25">
      <c r="A1061"/>
      <c r="B1061"/>
      <c r="D1061"/>
      <c r="G1061"/>
      <c r="L1061"/>
    </row>
    <row r="1062" spans="1:12" x14ac:dyDescent="0.25">
      <c r="A1062"/>
      <c r="B1062"/>
      <c r="D1062"/>
      <c r="G1062"/>
      <c r="L1062"/>
    </row>
    <row r="1063" spans="1:12" x14ac:dyDescent="0.25">
      <c r="A1063"/>
      <c r="B1063"/>
      <c r="D1063"/>
      <c r="G1063"/>
      <c r="L1063"/>
    </row>
    <row r="1064" spans="1:12" x14ac:dyDescent="0.25">
      <c r="A1064"/>
      <c r="B1064"/>
      <c r="D1064"/>
      <c r="G1064"/>
      <c r="L1064"/>
    </row>
    <row r="1065" spans="1:12" x14ac:dyDescent="0.25">
      <c r="A1065"/>
      <c r="B1065"/>
      <c r="D1065"/>
      <c r="G1065"/>
      <c r="L1065"/>
    </row>
    <row r="1066" spans="1:12" x14ac:dyDescent="0.25">
      <c r="A1066"/>
      <c r="B1066"/>
      <c r="D1066"/>
      <c r="G1066"/>
      <c r="L1066"/>
    </row>
    <row r="1067" spans="1:12" x14ac:dyDescent="0.25">
      <c r="A1067"/>
      <c r="B1067"/>
      <c r="D1067"/>
      <c r="G1067"/>
      <c r="L1067"/>
    </row>
    <row r="1068" spans="1:12" x14ac:dyDescent="0.25">
      <c r="A1068"/>
      <c r="B1068"/>
      <c r="D1068"/>
      <c r="G1068"/>
      <c r="L1068"/>
    </row>
    <row r="1069" spans="1:12" x14ac:dyDescent="0.25">
      <c r="A1069"/>
      <c r="B1069"/>
      <c r="D1069"/>
      <c r="G1069"/>
      <c r="L1069"/>
    </row>
    <row r="1070" spans="1:12" x14ac:dyDescent="0.25">
      <c r="A1070"/>
      <c r="B1070"/>
      <c r="D1070"/>
      <c r="G1070"/>
      <c r="L1070"/>
    </row>
    <row r="1071" spans="1:12" x14ac:dyDescent="0.25">
      <c r="A1071"/>
      <c r="B1071"/>
      <c r="D1071"/>
      <c r="G1071"/>
      <c r="L1071"/>
    </row>
    <row r="1072" spans="1:12" x14ac:dyDescent="0.25">
      <c r="A1072"/>
      <c r="B1072"/>
      <c r="D1072"/>
      <c r="G1072"/>
      <c r="L1072"/>
    </row>
    <row r="1073" spans="1:12" x14ac:dyDescent="0.25">
      <c r="A1073"/>
      <c r="B1073"/>
      <c r="D1073"/>
      <c r="G1073"/>
      <c r="L1073"/>
    </row>
    <row r="1074" spans="1:12" x14ac:dyDescent="0.25">
      <c r="A1074"/>
      <c r="B1074"/>
      <c r="D1074"/>
      <c r="G1074"/>
      <c r="L1074"/>
    </row>
    <row r="1075" spans="1:12" x14ac:dyDescent="0.25">
      <c r="A1075"/>
      <c r="B1075"/>
      <c r="D1075"/>
      <c r="G1075"/>
      <c r="L1075"/>
    </row>
    <row r="1076" spans="1:12" x14ac:dyDescent="0.25">
      <c r="A1076"/>
      <c r="B1076"/>
      <c r="D1076"/>
      <c r="G1076"/>
      <c r="L1076"/>
    </row>
    <row r="1077" spans="1:12" x14ac:dyDescent="0.25">
      <c r="A1077"/>
      <c r="B1077"/>
      <c r="D1077"/>
      <c r="G1077"/>
      <c r="L1077"/>
    </row>
    <row r="1078" spans="1:12" x14ac:dyDescent="0.25">
      <c r="A1078"/>
      <c r="B1078"/>
      <c r="D1078"/>
      <c r="G1078"/>
      <c r="L1078"/>
    </row>
    <row r="1079" spans="1:12" x14ac:dyDescent="0.25">
      <c r="A1079"/>
      <c r="B1079"/>
      <c r="D1079"/>
      <c r="G1079"/>
      <c r="L1079"/>
    </row>
    <row r="1080" spans="1:12" x14ac:dyDescent="0.25">
      <c r="A1080"/>
      <c r="B1080"/>
      <c r="D1080"/>
      <c r="G1080"/>
      <c r="L1080"/>
    </row>
    <row r="1081" spans="1:12" x14ac:dyDescent="0.25">
      <c r="A1081"/>
      <c r="B1081"/>
      <c r="D1081"/>
      <c r="G1081"/>
      <c r="L1081"/>
    </row>
    <row r="1082" spans="1:12" x14ac:dyDescent="0.25">
      <c r="A1082"/>
      <c r="B1082"/>
      <c r="D1082"/>
      <c r="G1082"/>
      <c r="L1082"/>
    </row>
    <row r="1083" spans="1:12" x14ac:dyDescent="0.25">
      <c r="A1083"/>
      <c r="B1083"/>
      <c r="D1083"/>
      <c r="G1083"/>
      <c r="L1083"/>
    </row>
    <row r="1084" spans="1:12" x14ac:dyDescent="0.25">
      <c r="A1084"/>
      <c r="B1084"/>
      <c r="D1084"/>
      <c r="G1084"/>
      <c r="L1084"/>
    </row>
    <row r="1085" spans="1:12" x14ac:dyDescent="0.25">
      <c r="A1085"/>
      <c r="B1085"/>
      <c r="D1085"/>
      <c r="G1085"/>
      <c r="L1085"/>
    </row>
    <row r="1086" spans="1:12" x14ac:dyDescent="0.25">
      <c r="A1086"/>
      <c r="B1086"/>
      <c r="D1086"/>
      <c r="G1086"/>
      <c r="L1086"/>
    </row>
    <row r="1087" spans="1:12" x14ac:dyDescent="0.25">
      <c r="A1087"/>
      <c r="B1087"/>
      <c r="D1087"/>
      <c r="G1087"/>
      <c r="L1087"/>
    </row>
    <row r="1088" spans="1:12" x14ac:dyDescent="0.25">
      <c r="A1088"/>
      <c r="B1088"/>
      <c r="D1088"/>
      <c r="G1088"/>
      <c r="L1088"/>
    </row>
    <row r="1089" spans="1:12" x14ac:dyDescent="0.25">
      <c r="A1089"/>
      <c r="B1089"/>
      <c r="D1089"/>
      <c r="G1089"/>
      <c r="L1089"/>
    </row>
    <row r="1090" spans="1:12" x14ac:dyDescent="0.25">
      <c r="A1090"/>
      <c r="B1090"/>
      <c r="D1090"/>
      <c r="G1090"/>
      <c r="L1090"/>
    </row>
    <row r="1091" spans="1:12" x14ac:dyDescent="0.25">
      <c r="A1091"/>
      <c r="B1091"/>
      <c r="D1091"/>
      <c r="G1091"/>
      <c r="L1091"/>
    </row>
    <row r="1092" spans="1:12" x14ac:dyDescent="0.25">
      <c r="A1092"/>
      <c r="B1092"/>
      <c r="D1092"/>
      <c r="G1092"/>
      <c r="L1092"/>
    </row>
    <row r="1093" spans="1:12" x14ac:dyDescent="0.25">
      <c r="A1093"/>
      <c r="B1093"/>
      <c r="D1093"/>
      <c r="G1093"/>
      <c r="L1093"/>
    </row>
    <row r="1094" spans="1:12" x14ac:dyDescent="0.25">
      <c r="A1094"/>
      <c r="B1094"/>
      <c r="D1094"/>
      <c r="G1094"/>
      <c r="L1094"/>
    </row>
    <row r="1095" spans="1:12" x14ac:dyDescent="0.25">
      <c r="A1095"/>
      <c r="B1095"/>
      <c r="D1095"/>
      <c r="G1095"/>
      <c r="L1095"/>
    </row>
    <row r="1096" spans="1:12" x14ac:dyDescent="0.25">
      <c r="A1096"/>
      <c r="B1096"/>
      <c r="D1096"/>
      <c r="G1096"/>
      <c r="L1096"/>
    </row>
    <row r="1097" spans="1:12" x14ac:dyDescent="0.25">
      <c r="A1097"/>
      <c r="B1097"/>
      <c r="D1097"/>
      <c r="G1097"/>
      <c r="L1097"/>
    </row>
    <row r="1098" spans="1:12" x14ac:dyDescent="0.25">
      <c r="A1098"/>
      <c r="B1098"/>
      <c r="D1098"/>
      <c r="G1098"/>
      <c r="L1098"/>
    </row>
    <row r="1099" spans="1:12" x14ac:dyDescent="0.25">
      <c r="A1099"/>
      <c r="B1099"/>
      <c r="D1099"/>
      <c r="G1099"/>
      <c r="L1099"/>
    </row>
    <row r="1100" spans="1:12" x14ac:dyDescent="0.25">
      <c r="A1100"/>
      <c r="B1100"/>
      <c r="D1100"/>
      <c r="G1100"/>
      <c r="L1100"/>
    </row>
    <row r="1101" spans="1:12" x14ac:dyDescent="0.25">
      <c r="A1101"/>
      <c r="B1101"/>
      <c r="D1101"/>
      <c r="G1101"/>
      <c r="L1101"/>
    </row>
    <row r="1102" spans="1:12" x14ac:dyDescent="0.25">
      <c r="A1102"/>
      <c r="B1102"/>
      <c r="D1102"/>
      <c r="G1102"/>
      <c r="L1102"/>
    </row>
    <row r="1103" spans="1:12" x14ac:dyDescent="0.25">
      <c r="A1103"/>
      <c r="B1103"/>
      <c r="D1103"/>
      <c r="G1103"/>
      <c r="L1103"/>
    </row>
    <row r="1104" spans="1:12" x14ac:dyDescent="0.25">
      <c r="A1104"/>
      <c r="B1104"/>
      <c r="D1104"/>
      <c r="G1104"/>
      <c r="L1104"/>
    </row>
    <row r="1105" spans="1:12" x14ac:dyDescent="0.25">
      <c r="A1105"/>
      <c r="B1105"/>
      <c r="D1105"/>
      <c r="G1105"/>
      <c r="L1105"/>
    </row>
    <row r="1106" spans="1:12" x14ac:dyDescent="0.25">
      <c r="A1106"/>
      <c r="B1106"/>
      <c r="D1106"/>
      <c r="G1106"/>
      <c r="L1106"/>
    </row>
    <row r="1107" spans="1:12" x14ac:dyDescent="0.25">
      <c r="A1107"/>
      <c r="B1107"/>
      <c r="D1107"/>
      <c r="G1107"/>
      <c r="L1107"/>
    </row>
    <row r="1108" spans="1:12" x14ac:dyDescent="0.25">
      <c r="A1108"/>
      <c r="B1108"/>
      <c r="D1108"/>
      <c r="G1108"/>
      <c r="L1108"/>
    </row>
    <row r="1109" spans="1:12" x14ac:dyDescent="0.25">
      <c r="A1109"/>
      <c r="B1109"/>
      <c r="D1109"/>
      <c r="G1109"/>
      <c r="L1109"/>
    </row>
    <row r="1110" spans="1:12" x14ac:dyDescent="0.25">
      <c r="A1110"/>
      <c r="B1110"/>
      <c r="D1110"/>
      <c r="G1110"/>
      <c r="L1110"/>
    </row>
    <row r="1111" spans="1:12" x14ac:dyDescent="0.25">
      <c r="A1111"/>
      <c r="B1111"/>
      <c r="D1111"/>
      <c r="G1111"/>
      <c r="L1111"/>
    </row>
    <row r="1112" spans="1:12" x14ac:dyDescent="0.25">
      <c r="A1112"/>
      <c r="B1112"/>
      <c r="D1112"/>
      <c r="G1112"/>
      <c r="L1112"/>
    </row>
    <row r="1113" spans="1:12" x14ac:dyDescent="0.25">
      <c r="A1113"/>
      <c r="B1113"/>
      <c r="D1113"/>
      <c r="G1113"/>
      <c r="L1113"/>
    </row>
    <row r="1114" spans="1:12" x14ac:dyDescent="0.25">
      <c r="A1114"/>
      <c r="B1114"/>
      <c r="D1114"/>
      <c r="G1114"/>
      <c r="L1114"/>
    </row>
    <row r="1115" spans="1:12" x14ac:dyDescent="0.25">
      <c r="A1115"/>
      <c r="B1115"/>
      <c r="D1115"/>
      <c r="G1115"/>
      <c r="L1115"/>
    </row>
    <row r="1116" spans="1:12" x14ac:dyDescent="0.25">
      <c r="A1116"/>
      <c r="B1116"/>
      <c r="D1116"/>
      <c r="G1116"/>
      <c r="L1116"/>
    </row>
    <row r="1117" spans="1:12" x14ac:dyDescent="0.25">
      <c r="A1117"/>
      <c r="B1117"/>
      <c r="D1117"/>
      <c r="G1117"/>
      <c r="L1117"/>
    </row>
    <row r="1118" spans="1:12" x14ac:dyDescent="0.25">
      <c r="A1118"/>
      <c r="B1118"/>
      <c r="D1118"/>
      <c r="G1118"/>
      <c r="L1118"/>
    </row>
    <row r="1119" spans="1:12" x14ac:dyDescent="0.25">
      <c r="A1119"/>
      <c r="B1119"/>
      <c r="D1119"/>
      <c r="G1119"/>
      <c r="L1119"/>
    </row>
    <row r="1120" spans="1:12" x14ac:dyDescent="0.25">
      <c r="A1120"/>
      <c r="B1120"/>
      <c r="D1120"/>
      <c r="G1120"/>
      <c r="L1120"/>
    </row>
    <row r="1121" spans="1:12" x14ac:dyDescent="0.25">
      <c r="A1121"/>
      <c r="B1121"/>
      <c r="D1121"/>
      <c r="G1121"/>
      <c r="L1121"/>
    </row>
    <row r="1122" spans="1:12" x14ac:dyDescent="0.25">
      <c r="A1122"/>
      <c r="B1122"/>
      <c r="D1122"/>
      <c r="G1122"/>
      <c r="L1122"/>
    </row>
    <row r="1123" spans="1:12" x14ac:dyDescent="0.25">
      <c r="A1123"/>
      <c r="B1123"/>
      <c r="D1123"/>
      <c r="G1123"/>
      <c r="L1123"/>
    </row>
    <row r="1124" spans="1:12" x14ac:dyDescent="0.25">
      <c r="A1124"/>
      <c r="B1124"/>
      <c r="D1124"/>
      <c r="G1124"/>
      <c r="L1124"/>
    </row>
    <row r="1125" spans="1:12" x14ac:dyDescent="0.25">
      <c r="A1125"/>
      <c r="B1125"/>
      <c r="D1125"/>
      <c r="G1125"/>
      <c r="L1125"/>
    </row>
    <row r="1126" spans="1:12" x14ac:dyDescent="0.25">
      <c r="A1126"/>
      <c r="B1126"/>
      <c r="D1126"/>
      <c r="G1126"/>
      <c r="L1126"/>
    </row>
    <row r="1127" spans="1:12" x14ac:dyDescent="0.25">
      <c r="A1127"/>
      <c r="B1127"/>
      <c r="D1127"/>
      <c r="G1127"/>
      <c r="L1127"/>
    </row>
    <row r="1128" spans="1:12" x14ac:dyDescent="0.25">
      <c r="A1128"/>
      <c r="B1128"/>
      <c r="D1128"/>
      <c r="G1128"/>
      <c r="L1128"/>
    </row>
    <row r="1129" spans="1:12" x14ac:dyDescent="0.25">
      <c r="A1129"/>
      <c r="B1129"/>
      <c r="D1129"/>
      <c r="G1129"/>
      <c r="L1129"/>
    </row>
    <row r="1130" spans="1:12" x14ac:dyDescent="0.25">
      <c r="A1130"/>
      <c r="B1130"/>
      <c r="D1130"/>
      <c r="G1130"/>
      <c r="L1130"/>
    </row>
    <row r="1131" spans="1:12" x14ac:dyDescent="0.25">
      <c r="A1131"/>
      <c r="B1131"/>
      <c r="D1131"/>
      <c r="G1131"/>
      <c r="L1131"/>
    </row>
    <row r="1132" spans="1:12" x14ac:dyDescent="0.25">
      <c r="A1132"/>
      <c r="B1132"/>
      <c r="D1132"/>
      <c r="G1132"/>
      <c r="L1132"/>
    </row>
    <row r="1133" spans="1:12" x14ac:dyDescent="0.25">
      <c r="A1133"/>
      <c r="B1133"/>
      <c r="D1133"/>
      <c r="G1133"/>
      <c r="L1133"/>
    </row>
    <row r="1134" spans="1:12" x14ac:dyDescent="0.25">
      <c r="A1134"/>
      <c r="B1134"/>
      <c r="D1134"/>
      <c r="G1134"/>
      <c r="L1134"/>
    </row>
    <row r="1135" spans="1:12" x14ac:dyDescent="0.25">
      <c r="A1135"/>
      <c r="B1135"/>
      <c r="D1135"/>
      <c r="G1135"/>
      <c r="L1135"/>
    </row>
    <row r="1136" spans="1:12" x14ac:dyDescent="0.25">
      <c r="A1136"/>
      <c r="B1136"/>
      <c r="D1136"/>
      <c r="G1136"/>
      <c r="L1136"/>
    </row>
    <row r="1137" spans="1:12" x14ac:dyDescent="0.25">
      <c r="A1137"/>
      <c r="B1137"/>
      <c r="D1137"/>
      <c r="G1137"/>
      <c r="L1137"/>
    </row>
    <row r="1138" spans="1:12" x14ac:dyDescent="0.25">
      <c r="A1138"/>
      <c r="B1138"/>
      <c r="D1138"/>
      <c r="G1138"/>
      <c r="L1138"/>
    </row>
    <row r="1139" spans="1:12" x14ac:dyDescent="0.25">
      <c r="A1139"/>
      <c r="B1139"/>
      <c r="D1139"/>
      <c r="G1139"/>
      <c r="L1139"/>
    </row>
    <row r="1140" spans="1:12" x14ac:dyDescent="0.25">
      <c r="A1140"/>
      <c r="B1140"/>
      <c r="D1140"/>
      <c r="G1140"/>
      <c r="L1140"/>
    </row>
    <row r="1141" spans="1:12" x14ac:dyDescent="0.25">
      <c r="A1141"/>
      <c r="B1141"/>
      <c r="D1141"/>
      <c r="G1141"/>
      <c r="L1141"/>
    </row>
    <row r="1142" spans="1:12" x14ac:dyDescent="0.25">
      <c r="A1142"/>
      <c r="B1142"/>
      <c r="D1142"/>
      <c r="G1142"/>
      <c r="L1142"/>
    </row>
    <row r="1143" spans="1:12" x14ac:dyDescent="0.25">
      <c r="A1143"/>
      <c r="B1143"/>
      <c r="D1143"/>
      <c r="G1143"/>
      <c r="L1143"/>
    </row>
    <row r="1144" spans="1:12" x14ac:dyDescent="0.25">
      <c r="A1144"/>
      <c r="B1144"/>
      <c r="D1144"/>
      <c r="G1144"/>
      <c r="L1144"/>
    </row>
    <row r="1145" spans="1:12" x14ac:dyDescent="0.25">
      <c r="A1145"/>
      <c r="B1145"/>
      <c r="D1145"/>
      <c r="G1145"/>
      <c r="L1145"/>
    </row>
    <row r="1146" spans="1:12" x14ac:dyDescent="0.25">
      <c r="A1146"/>
      <c r="B1146"/>
      <c r="D1146"/>
      <c r="G1146"/>
      <c r="L1146"/>
    </row>
    <row r="1147" spans="1:12" x14ac:dyDescent="0.25">
      <c r="A1147"/>
      <c r="B1147"/>
      <c r="D1147"/>
      <c r="G1147"/>
      <c r="L1147"/>
    </row>
    <row r="1148" spans="1:12" x14ac:dyDescent="0.25">
      <c r="A1148"/>
      <c r="B1148"/>
      <c r="D1148"/>
      <c r="G1148"/>
      <c r="L1148"/>
    </row>
    <row r="1149" spans="1:12" x14ac:dyDescent="0.25">
      <c r="A1149"/>
      <c r="B1149"/>
      <c r="D1149"/>
      <c r="G1149"/>
      <c r="L1149"/>
    </row>
    <row r="1150" spans="1:12" x14ac:dyDescent="0.25">
      <c r="A1150"/>
      <c r="B1150"/>
      <c r="D1150"/>
      <c r="G1150"/>
      <c r="L1150"/>
    </row>
    <row r="1151" spans="1:12" x14ac:dyDescent="0.25">
      <c r="A1151"/>
      <c r="B1151"/>
      <c r="D1151"/>
      <c r="G1151"/>
      <c r="L1151"/>
    </row>
    <row r="1152" spans="1:12" x14ac:dyDescent="0.25">
      <c r="A1152"/>
      <c r="B1152"/>
      <c r="D1152"/>
      <c r="G1152"/>
      <c r="L1152"/>
    </row>
    <row r="1153" spans="1:12" x14ac:dyDescent="0.25">
      <c r="A1153"/>
      <c r="B1153"/>
      <c r="D1153"/>
      <c r="G1153"/>
      <c r="L1153"/>
    </row>
    <row r="1154" spans="1:12" x14ac:dyDescent="0.25">
      <c r="A1154"/>
      <c r="B1154"/>
      <c r="D1154"/>
      <c r="G1154"/>
      <c r="L1154"/>
    </row>
    <row r="1155" spans="1:12" x14ac:dyDescent="0.25">
      <c r="A1155"/>
      <c r="B1155"/>
      <c r="D1155"/>
      <c r="G1155"/>
      <c r="L1155"/>
    </row>
    <row r="1156" spans="1:12" x14ac:dyDescent="0.25">
      <c r="A1156"/>
      <c r="B1156"/>
      <c r="D1156"/>
      <c r="G1156"/>
      <c r="L1156"/>
    </row>
    <row r="1157" spans="1:12" x14ac:dyDescent="0.25">
      <c r="A1157"/>
      <c r="B1157"/>
      <c r="D1157"/>
      <c r="G1157"/>
      <c r="L1157"/>
    </row>
    <row r="1158" spans="1:12" x14ac:dyDescent="0.25">
      <c r="A1158"/>
      <c r="B1158"/>
      <c r="D1158"/>
      <c r="G1158"/>
      <c r="L1158"/>
    </row>
    <row r="1159" spans="1:12" x14ac:dyDescent="0.25">
      <c r="A1159"/>
      <c r="B1159"/>
      <c r="D1159"/>
      <c r="G1159"/>
      <c r="L1159"/>
    </row>
    <row r="1160" spans="1:12" x14ac:dyDescent="0.25">
      <c r="A1160"/>
      <c r="B1160"/>
      <c r="D1160"/>
      <c r="G1160"/>
      <c r="L1160"/>
    </row>
    <row r="1161" spans="1:12" x14ac:dyDescent="0.25">
      <c r="A1161"/>
      <c r="B1161"/>
      <c r="D1161"/>
      <c r="G1161"/>
      <c r="L1161"/>
    </row>
    <row r="1162" spans="1:12" x14ac:dyDescent="0.25">
      <c r="A1162"/>
      <c r="B1162"/>
      <c r="D1162"/>
      <c r="G1162"/>
      <c r="L1162"/>
    </row>
    <row r="1163" spans="1:12" x14ac:dyDescent="0.25">
      <c r="A1163"/>
      <c r="B1163"/>
      <c r="D1163"/>
      <c r="G1163"/>
      <c r="L1163"/>
    </row>
    <row r="1164" spans="1:12" x14ac:dyDescent="0.25">
      <c r="A1164"/>
      <c r="B1164"/>
      <c r="D1164"/>
      <c r="G1164"/>
      <c r="L1164"/>
    </row>
    <row r="1165" spans="1:12" x14ac:dyDescent="0.25">
      <c r="A1165"/>
      <c r="B1165"/>
      <c r="D1165"/>
      <c r="G1165"/>
      <c r="L1165"/>
    </row>
    <row r="1166" spans="1:12" x14ac:dyDescent="0.25">
      <c r="A1166"/>
      <c r="B1166"/>
      <c r="D1166"/>
      <c r="G1166"/>
      <c r="L1166"/>
    </row>
    <row r="1167" spans="1:12" x14ac:dyDescent="0.25">
      <c r="A1167"/>
      <c r="B1167"/>
      <c r="D1167"/>
      <c r="G1167"/>
      <c r="L1167"/>
    </row>
    <row r="1168" spans="1:12" x14ac:dyDescent="0.25">
      <c r="A1168"/>
      <c r="B1168"/>
      <c r="D1168"/>
      <c r="G1168"/>
      <c r="L1168"/>
    </row>
    <row r="1169" spans="1:12" x14ac:dyDescent="0.25">
      <c r="A1169"/>
      <c r="B1169"/>
      <c r="D1169"/>
      <c r="G1169"/>
      <c r="L1169"/>
    </row>
    <row r="1170" spans="1:12" x14ac:dyDescent="0.25">
      <c r="A1170"/>
      <c r="B1170"/>
      <c r="D1170"/>
      <c r="G1170"/>
      <c r="L1170"/>
    </row>
    <row r="1171" spans="1:12" x14ac:dyDescent="0.25">
      <c r="A1171"/>
      <c r="B1171"/>
      <c r="D1171"/>
      <c r="G1171"/>
      <c r="L1171"/>
    </row>
    <row r="1172" spans="1:12" x14ac:dyDescent="0.25">
      <c r="A1172"/>
      <c r="B1172"/>
      <c r="D1172"/>
      <c r="G1172"/>
      <c r="L1172"/>
    </row>
    <row r="1173" spans="1:12" x14ac:dyDescent="0.25">
      <c r="A1173"/>
      <c r="B1173"/>
      <c r="D1173"/>
      <c r="G1173"/>
      <c r="L1173"/>
    </row>
    <row r="1174" spans="1:12" x14ac:dyDescent="0.25">
      <c r="A1174"/>
      <c r="B1174"/>
      <c r="D1174"/>
      <c r="G1174"/>
      <c r="L1174"/>
    </row>
    <row r="1175" spans="1:12" x14ac:dyDescent="0.25">
      <c r="A1175"/>
      <c r="B1175"/>
      <c r="D1175"/>
      <c r="G1175"/>
      <c r="L1175"/>
    </row>
    <row r="1176" spans="1:12" x14ac:dyDescent="0.25">
      <c r="A1176"/>
      <c r="B1176"/>
      <c r="D1176"/>
      <c r="G1176"/>
      <c r="L1176"/>
    </row>
    <row r="1177" spans="1:12" x14ac:dyDescent="0.25">
      <c r="A1177"/>
      <c r="B1177"/>
      <c r="D1177"/>
      <c r="G1177"/>
      <c r="L1177"/>
    </row>
    <row r="1178" spans="1:12" x14ac:dyDescent="0.25">
      <c r="A1178"/>
      <c r="B1178"/>
      <c r="D1178"/>
      <c r="G1178"/>
      <c r="L1178"/>
    </row>
    <row r="1179" spans="1:12" x14ac:dyDescent="0.25">
      <c r="A1179"/>
      <c r="B1179"/>
      <c r="D1179"/>
      <c r="G1179"/>
      <c r="L1179"/>
    </row>
    <row r="1180" spans="1:12" x14ac:dyDescent="0.25">
      <c r="A1180"/>
      <c r="B1180"/>
      <c r="D1180"/>
      <c r="G1180"/>
      <c r="L1180"/>
    </row>
    <row r="1181" spans="1:12" x14ac:dyDescent="0.25">
      <c r="A1181"/>
      <c r="B1181"/>
      <c r="D1181"/>
      <c r="G1181"/>
      <c r="L1181"/>
    </row>
    <row r="1182" spans="1:12" x14ac:dyDescent="0.25">
      <c r="A1182"/>
      <c r="B1182"/>
      <c r="D1182"/>
      <c r="G1182"/>
      <c r="L1182"/>
    </row>
    <row r="1183" spans="1:12" x14ac:dyDescent="0.25">
      <c r="A1183"/>
      <c r="B1183"/>
      <c r="D1183"/>
      <c r="G1183"/>
      <c r="L1183"/>
    </row>
    <row r="1184" spans="1:12" x14ac:dyDescent="0.25">
      <c r="A1184"/>
      <c r="B1184"/>
      <c r="D1184"/>
      <c r="G1184"/>
      <c r="L1184"/>
    </row>
    <row r="1185" spans="1:12" x14ac:dyDescent="0.25">
      <c r="A1185"/>
      <c r="B1185"/>
      <c r="D1185"/>
      <c r="G1185"/>
      <c r="L1185"/>
    </row>
    <row r="1186" spans="1:12" x14ac:dyDescent="0.25">
      <c r="A1186"/>
      <c r="B1186"/>
      <c r="D1186"/>
      <c r="G1186"/>
      <c r="L1186"/>
    </row>
    <row r="1187" spans="1:12" x14ac:dyDescent="0.25">
      <c r="A1187"/>
      <c r="B1187"/>
      <c r="D1187"/>
      <c r="G1187"/>
      <c r="L1187"/>
    </row>
    <row r="1188" spans="1:12" x14ac:dyDescent="0.25">
      <c r="A1188"/>
      <c r="B1188"/>
      <c r="D1188"/>
      <c r="G1188"/>
      <c r="L1188"/>
    </row>
    <row r="1189" spans="1:12" x14ac:dyDescent="0.25">
      <c r="A1189"/>
      <c r="B1189"/>
      <c r="D1189"/>
      <c r="G1189"/>
      <c r="L1189"/>
    </row>
    <row r="1190" spans="1:12" x14ac:dyDescent="0.25">
      <c r="A1190"/>
      <c r="B1190"/>
      <c r="D1190"/>
      <c r="G1190"/>
      <c r="L1190"/>
    </row>
    <row r="1191" spans="1:12" x14ac:dyDescent="0.25">
      <c r="A1191"/>
      <c r="B1191"/>
      <c r="D1191"/>
      <c r="G1191"/>
      <c r="L1191"/>
    </row>
    <row r="1192" spans="1:12" x14ac:dyDescent="0.25">
      <c r="A1192"/>
      <c r="B1192"/>
      <c r="D1192"/>
      <c r="G1192"/>
      <c r="L1192"/>
    </row>
    <row r="1193" spans="1:12" x14ac:dyDescent="0.25">
      <c r="A1193"/>
      <c r="B1193"/>
      <c r="D1193"/>
      <c r="G1193"/>
      <c r="L1193"/>
    </row>
    <row r="1194" spans="1:12" x14ac:dyDescent="0.25">
      <c r="A1194"/>
      <c r="B1194"/>
      <c r="D1194"/>
      <c r="G1194"/>
      <c r="L1194"/>
    </row>
    <row r="1195" spans="1:12" x14ac:dyDescent="0.25">
      <c r="A1195"/>
      <c r="B1195"/>
      <c r="D1195"/>
      <c r="G1195"/>
      <c r="L1195"/>
    </row>
    <row r="1196" spans="1:12" x14ac:dyDescent="0.25">
      <c r="A1196"/>
      <c r="B1196"/>
      <c r="D1196"/>
      <c r="G1196"/>
      <c r="L1196"/>
    </row>
    <row r="1197" spans="1:12" x14ac:dyDescent="0.25">
      <c r="A1197"/>
      <c r="B1197"/>
      <c r="D1197"/>
      <c r="G1197"/>
      <c r="L1197"/>
    </row>
    <row r="1198" spans="1:12" x14ac:dyDescent="0.25">
      <c r="A1198"/>
      <c r="B1198"/>
      <c r="D1198"/>
      <c r="G1198"/>
      <c r="L1198"/>
    </row>
    <row r="1199" spans="1:12" x14ac:dyDescent="0.25">
      <c r="A1199"/>
      <c r="B1199"/>
      <c r="D1199"/>
      <c r="G1199"/>
      <c r="L1199"/>
    </row>
    <row r="1200" spans="1:12" x14ac:dyDescent="0.25">
      <c r="A1200"/>
      <c r="B1200"/>
      <c r="D1200"/>
      <c r="G1200"/>
      <c r="L1200"/>
    </row>
    <row r="1201" spans="1:12" x14ac:dyDescent="0.25">
      <c r="A1201"/>
      <c r="B1201"/>
      <c r="D1201"/>
      <c r="G1201"/>
      <c r="L1201"/>
    </row>
    <row r="1202" spans="1:12" x14ac:dyDescent="0.25">
      <c r="A1202"/>
      <c r="B1202"/>
      <c r="D1202"/>
      <c r="G1202"/>
      <c r="L1202"/>
    </row>
    <row r="1203" spans="1:12" x14ac:dyDescent="0.25">
      <c r="A1203"/>
      <c r="B1203"/>
      <c r="D1203"/>
      <c r="G1203"/>
      <c r="L1203"/>
    </row>
    <row r="1204" spans="1:12" x14ac:dyDescent="0.25">
      <c r="A1204"/>
      <c r="B1204"/>
      <c r="D1204"/>
      <c r="G1204"/>
      <c r="L1204"/>
    </row>
    <row r="1205" spans="1:12" x14ac:dyDescent="0.25">
      <c r="A1205"/>
      <c r="B1205"/>
      <c r="D1205"/>
      <c r="G1205"/>
      <c r="L1205"/>
    </row>
    <row r="1206" spans="1:12" x14ac:dyDescent="0.25">
      <c r="A1206"/>
      <c r="B1206"/>
      <c r="D1206"/>
      <c r="G1206"/>
      <c r="L1206"/>
    </row>
    <row r="1207" spans="1:12" x14ac:dyDescent="0.25">
      <c r="A1207"/>
      <c r="B1207"/>
      <c r="D1207"/>
      <c r="G1207"/>
      <c r="L1207"/>
    </row>
    <row r="1208" spans="1:12" x14ac:dyDescent="0.25">
      <c r="A1208"/>
      <c r="B1208"/>
      <c r="D1208"/>
      <c r="G1208"/>
      <c r="L1208"/>
    </row>
    <row r="1209" spans="1:12" x14ac:dyDescent="0.25">
      <c r="A1209"/>
      <c r="B1209"/>
      <c r="D1209"/>
      <c r="G1209"/>
      <c r="L1209"/>
    </row>
    <row r="1210" spans="1:12" x14ac:dyDescent="0.25">
      <c r="A1210"/>
      <c r="B1210"/>
      <c r="D1210"/>
      <c r="G1210"/>
      <c r="L1210"/>
    </row>
    <row r="1211" spans="1:12" x14ac:dyDescent="0.25">
      <c r="A1211"/>
      <c r="B1211"/>
      <c r="D1211"/>
      <c r="G1211"/>
      <c r="L1211"/>
    </row>
    <row r="1212" spans="1:12" x14ac:dyDescent="0.25">
      <c r="A1212"/>
      <c r="B1212"/>
      <c r="D1212"/>
      <c r="G1212"/>
      <c r="L1212"/>
    </row>
    <row r="1213" spans="1:12" x14ac:dyDescent="0.25">
      <c r="A1213"/>
      <c r="B1213"/>
      <c r="D1213"/>
      <c r="G1213"/>
      <c r="L1213"/>
    </row>
    <row r="1214" spans="1:12" x14ac:dyDescent="0.25">
      <c r="A1214"/>
      <c r="B1214"/>
      <c r="D1214"/>
      <c r="G1214"/>
      <c r="L1214"/>
    </row>
    <row r="1215" spans="1:12" x14ac:dyDescent="0.25">
      <c r="A1215"/>
      <c r="B1215"/>
      <c r="D1215"/>
      <c r="G1215"/>
      <c r="L1215"/>
    </row>
    <row r="1216" spans="1:12" x14ac:dyDescent="0.25">
      <c r="A1216"/>
      <c r="B1216"/>
      <c r="D1216"/>
      <c r="G1216"/>
      <c r="L1216"/>
    </row>
    <row r="1217" spans="1:12" x14ac:dyDescent="0.25">
      <c r="A1217"/>
      <c r="B1217"/>
      <c r="D1217"/>
      <c r="G1217"/>
      <c r="L1217"/>
    </row>
    <row r="1218" spans="1:12" x14ac:dyDescent="0.25">
      <c r="A1218"/>
      <c r="B1218"/>
      <c r="D1218"/>
      <c r="G1218"/>
      <c r="L1218"/>
    </row>
    <row r="1219" spans="1:12" x14ac:dyDescent="0.25">
      <c r="A1219"/>
      <c r="B1219"/>
      <c r="D1219"/>
      <c r="G1219"/>
      <c r="L1219"/>
    </row>
    <row r="1220" spans="1:12" x14ac:dyDescent="0.25">
      <c r="A1220"/>
      <c r="B1220"/>
      <c r="D1220"/>
      <c r="G1220"/>
      <c r="L1220"/>
    </row>
    <row r="1221" spans="1:12" x14ac:dyDescent="0.25">
      <c r="A1221"/>
      <c r="B1221"/>
      <c r="D1221"/>
      <c r="G1221"/>
      <c r="L1221"/>
    </row>
    <row r="1222" spans="1:12" x14ac:dyDescent="0.25">
      <c r="A1222"/>
      <c r="B1222"/>
      <c r="D1222"/>
      <c r="G1222"/>
      <c r="L1222"/>
    </row>
    <row r="1223" spans="1:12" x14ac:dyDescent="0.25">
      <c r="A1223"/>
      <c r="B1223"/>
      <c r="D1223"/>
      <c r="G1223"/>
      <c r="L1223"/>
    </row>
    <row r="1224" spans="1:12" x14ac:dyDescent="0.25">
      <c r="A1224"/>
      <c r="B1224"/>
      <c r="D1224"/>
      <c r="G1224"/>
      <c r="L1224"/>
    </row>
    <row r="1225" spans="1:12" x14ac:dyDescent="0.25">
      <c r="A1225"/>
      <c r="B1225"/>
      <c r="D1225"/>
      <c r="G1225"/>
      <c r="L1225"/>
    </row>
    <row r="1226" spans="1:12" x14ac:dyDescent="0.25">
      <c r="A1226"/>
      <c r="B1226"/>
      <c r="D1226"/>
      <c r="G1226"/>
      <c r="L1226"/>
    </row>
    <row r="1227" spans="1:12" x14ac:dyDescent="0.25">
      <c r="A1227"/>
      <c r="B1227"/>
      <c r="D1227"/>
      <c r="G1227"/>
      <c r="L1227"/>
    </row>
    <row r="1228" spans="1:12" x14ac:dyDescent="0.25">
      <c r="A1228"/>
      <c r="B1228"/>
      <c r="D1228"/>
      <c r="G1228"/>
      <c r="L1228"/>
    </row>
    <row r="1229" spans="1:12" x14ac:dyDescent="0.25">
      <c r="A1229"/>
      <c r="B1229"/>
      <c r="D1229"/>
      <c r="G1229"/>
      <c r="L1229"/>
    </row>
    <row r="1230" spans="1:12" x14ac:dyDescent="0.25">
      <c r="A1230"/>
      <c r="B1230"/>
      <c r="D1230"/>
      <c r="G1230"/>
      <c r="L1230"/>
    </row>
    <row r="1231" spans="1:12" x14ac:dyDescent="0.25">
      <c r="A1231"/>
      <c r="B1231"/>
      <c r="D1231"/>
      <c r="G1231"/>
      <c r="L1231"/>
    </row>
    <row r="1232" spans="1:12" x14ac:dyDescent="0.25">
      <c r="A1232"/>
      <c r="B1232"/>
      <c r="D1232"/>
      <c r="G1232"/>
      <c r="L1232"/>
    </row>
    <row r="1233" spans="1:12" x14ac:dyDescent="0.25">
      <c r="A1233"/>
      <c r="B1233"/>
      <c r="D1233"/>
      <c r="G1233"/>
      <c r="L1233"/>
    </row>
    <row r="1234" spans="1:12" x14ac:dyDescent="0.25">
      <c r="A1234"/>
      <c r="B1234"/>
      <c r="D1234"/>
      <c r="G1234"/>
      <c r="L1234"/>
    </row>
    <row r="1235" spans="1:12" x14ac:dyDescent="0.25">
      <c r="A1235"/>
      <c r="B1235"/>
      <c r="D1235"/>
      <c r="G1235"/>
      <c r="L1235"/>
    </row>
    <row r="1236" spans="1:12" x14ac:dyDescent="0.25">
      <c r="A1236"/>
      <c r="B1236"/>
      <c r="D1236"/>
      <c r="G1236"/>
      <c r="L1236"/>
    </row>
    <row r="1237" spans="1:12" x14ac:dyDescent="0.25">
      <c r="A1237"/>
      <c r="B1237"/>
      <c r="D1237"/>
      <c r="G1237"/>
      <c r="L1237"/>
    </row>
    <row r="1238" spans="1:12" x14ac:dyDescent="0.25">
      <c r="A1238"/>
      <c r="B1238"/>
      <c r="D1238"/>
      <c r="G1238"/>
      <c r="L1238"/>
    </row>
    <row r="1239" spans="1:12" x14ac:dyDescent="0.25">
      <c r="A1239"/>
      <c r="B1239"/>
      <c r="D1239"/>
      <c r="G1239"/>
      <c r="L1239"/>
    </row>
    <row r="1240" spans="1:12" x14ac:dyDescent="0.25">
      <c r="A1240"/>
      <c r="B1240"/>
      <c r="D1240"/>
      <c r="G1240"/>
      <c r="L1240"/>
    </row>
    <row r="1241" spans="1:12" x14ac:dyDescent="0.25">
      <c r="A1241"/>
      <c r="B1241"/>
      <c r="D1241"/>
      <c r="G1241"/>
      <c r="L1241"/>
    </row>
    <row r="1242" spans="1:12" x14ac:dyDescent="0.25">
      <c r="A1242"/>
      <c r="B1242"/>
      <c r="D1242"/>
      <c r="G1242"/>
      <c r="L1242"/>
    </row>
    <row r="1243" spans="1:12" x14ac:dyDescent="0.25">
      <c r="A1243"/>
      <c r="B1243"/>
      <c r="D1243"/>
      <c r="G1243"/>
      <c r="L1243"/>
    </row>
    <row r="1244" spans="1:12" x14ac:dyDescent="0.25">
      <c r="A1244"/>
      <c r="B1244"/>
      <c r="D1244"/>
      <c r="G1244"/>
      <c r="L1244"/>
    </row>
    <row r="1245" spans="1:12" x14ac:dyDescent="0.25">
      <c r="A1245"/>
      <c r="B1245"/>
      <c r="D1245"/>
      <c r="G1245"/>
      <c r="L1245"/>
    </row>
    <row r="1246" spans="1:12" x14ac:dyDescent="0.25">
      <c r="A1246"/>
      <c r="B1246"/>
      <c r="D1246"/>
      <c r="G1246"/>
      <c r="L1246"/>
    </row>
    <row r="1247" spans="1:12" x14ac:dyDescent="0.25">
      <c r="A1247"/>
      <c r="B1247"/>
      <c r="D1247"/>
      <c r="G1247"/>
      <c r="L1247"/>
    </row>
    <row r="1248" spans="1:12" x14ac:dyDescent="0.25">
      <c r="A1248"/>
      <c r="B1248"/>
      <c r="D1248"/>
      <c r="G1248"/>
      <c r="L1248"/>
    </row>
    <row r="1249" spans="1:12" x14ac:dyDescent="0.25">
      <c r="A1249"/>
      <c r="B1249"/>
      <c r="D1249"/>
      <c r="G1249"/>
      <c r="L1249"/>
    </row>
    <row r="1250" spans="1:12" x14ac:dyDescent="0.25">
      <c r="A1250"/>
      <c r="B1250"/>
      <c r="D1250"/>
      <c r="G1250"/>
      <c r="L1250"/>
    </row>
    <row r="1251" spans="1:12" x14ac:dyDescent="0.25">
      <c r="A1251"/>
      <c r="B1251"/>
      <c r="D1251"/>
      <c r="G1251"/>
      <c r="L1251"/>
    </row>
    <row r="1252" spans="1:12" x14ac:dyDescent="0.25">
      <c r="A1252"/>
      <c r="B1252"/>
      <c r="D1252"/>
      <c r="G1252"/>
      <c r="L1252"/>
    </row>
    <row r="1253" spans="1:12" x14ac:dyDescent="0.25">
      <c r="A1253"/>
      <c r="B1253"/>
      <c r="D1253"/>
      <c r="G1253"/>
      <c r="L1253"/>
    </row>
    <row r="1254" spans="1:12" x14ac:dyDescent="0.25">
      <c r="A1254"/>
      <c r="B1254"/>
      <c r="D1254"/>
      <c r="G1254"/>
      <c r="L1254"/>
    </row>
    <row r="1255" spans="1:12" x14ac:dyDescent="0.25">
      <c r="A1255"/>
      <c r="B1255"/>
      <c r="D1255"/>
      <c r="G1255"/>
      <c r="L1255"/>
    </row>
    <row r="1256" spans="1:12" x14ac:dyDescent="0.25">
      <c r="A1256"/>
      <c r="B1256"/>
      <c r="D1256"/>
      <c r="G1256"/>
      <c r="L1256"/>
    </row>
    <row r="1257" spans="1:12" x14ac:dyDescent="0.25">
      <c r="A1257"/>
      <c r="B1257"/>
      <c r="D1257"/>
      <c r="G1257"/>
      <c r="L1257"/>
    </row>
    <row r="1258" spans="1:12" x14ac:dyDescent="0.25">
      <c r="A1258"/>
      <c r="B1258"/>
      <c r="D1258"/>
      <c r="G1258"/>
      <c r="L1258"/>
    </row>
    <row r="1259" spans="1:12" x14ac:dyDescent="0.25">
      <c r="A1259"/>
      <c r="B1259"/>
      <c r="D1259"/>
      <c r="G1259"/>
      <c r="L1259"/>
    </row>
    <row r="1260" spans="1:12" x14ac:dyDescent="0.25">
      <c r="A1260"/>
      <c r="B1260"/>
      <c r="D1260"/>
      <c r="G1260"/>
      <c r="L1260"/>
    </row>
    <row r="1261" spans="1:12" x14ac:dyDescent="0.25">
      <c r="A1261"/>
      <c r="B1261"/>
      <c r="D1261"/>
      <c r="G1261"/>
      <c r="L1261"/>
    </row>
    <row r="1262" spans="1:12" x14ac:dyDescent="0.25">
      <c r="A1262"/>
      <c r="B1262"/>
      <c r="D1262"/>
      <c r="G1262"/>
      <c r="L1262"/>
    </row>
    <row r="1263" spans="1:12" x14ac:dyDescent="0.25">
      <c r="A1263"/>
      <c r="B1263"/>
      <c r="D1263"/>
      <c r="G1263"/>
      <c r="L1263"/>
    </row>
    <row r="1264" spans="1:12" x14ac:dyDescent="0.25">
      <c r="A1264"/>
      <c r="B1264"/>
      <c r="D1264"/>
      <c r="G1264"/>
      <c r="L1264"/>
    </row>
    <row r="1265" spans="1:12" x14ac:dyDescent="0.25">
      <c r="A1265"/>
      <c r="B1265"/>
      <c r="D1265"/>
      <c r="G1265"/>
      <c r="L1265"/>
    </row>
    <row r="1266" spans="1:12" x14ac:dyDescent="0.25">
      <c r="A1266"/>
      <c r="B1266"/>
      <c r="D1266"/>
      <c r="G1266"/>
      <c r="L1266"/>
    </row>
    <row r="1267" spans="1:12" x14ac:dyDescent="0.25">
      <c r="A1267"/>
      <c r="B1267"/>
      <c r="D1267"/>
      <c r="G1267"/>
      <c r="L1267"/>
    </row>
    <row r="1268" spans="1:12" x14ac:dyDescent="0.25">
      <c r="A1268"/>
      <c r="B1268"/>
      <c r="D1268"/>
      <c r="G1268"/>
      <c r="L1268"/>
    </row>
    <row r="1269" spans="1:12" x14ac:dyDescent="0.25">
      <c r="A1269"/>
      <c r="B1269"/>
      <c r="D1269"/>
      <c r="G1269"/>
      <c r="L1269"/>
    </row>
    <row r="1270" spans="1:12" x14ac:dyDescent="0.25">
      <c r="A1270"/>
      <c r="B1270"/>
      <c r="D1270"/>
      <c r="G1270"/>
      <c r="L1270"/>
    </row>
    <row r="1271" spans="1:12" x14ac:dyDescent="0.25">
      <c r="A1271"/>
      <c r="B1271"/>
      <c r="D1271"/>
      <c r="G1271"/>
      <c r="L1271"/>
    </row>
    <row r="1272" spans="1:12" x14ac:dyDescent="0.25">
      <c r="A1272"/>
      <c r="B1272"/>
      <c r="D1272"/>
      <c r="G1272"/>
      <c r="L1272"/>
    </row>
    <row r="1273" spans="1:12" x14ac:dyDescent="0.25">
      <c r="A1273"/>
      <c r="B1273"/>
      <c r="D1273"/>
      <c r="G1273"/>
      <c r="L1273"/>
    </row>
    <row r="1274" spans="1:12" x14ac:dyDescent="0.25">
      <c r="A1274"/>
      <c r="B1274"/>
      <c r="D1274"/>
      <c r="G1274"/>
      <c r="L1274"/>
    </row>
    <row r="1275" spans="1:12" x14ac:dyDescent="0.25">
      <c r="A1275"/>
      <c r="B1275"/>
      <c r="D1275"/>
      <c r="G1275"/>
      <c r="L1275"/>
    </row>
    <row r="1276" spans="1:12" x14ac:dyDescent="0.25">
      <c r="A1276"/>
      <c r="B1276"/>
      <c r="D1276"/>
      <c r="G1276"/>
      <c r="L1276"/>
    </row>
    <row r="1277" spans="1:12" x14ac:dyDescent="0.25">
      <c r="A1277"/>
      <c r="B1277"/>
      <c r="D1277"/>
      <c r="G1277"/>
      <c r="L1277"/>
    </row>
    <row r="1278" spans="1:12" x14ac:dyDescent="0.25">
      <c r="A1278"/>
      <c r="B1278"/>
      <c r="D1278"/>
      <c r="G1278"/>
      <c r="L1278"/>
    </row>
    <row r="1279" spans="1:12" x14ac:dyDescent="0.25">
      <c r="A1279"/>
      <c r="B1279"/>
      <c r="D1279"/>
      <c r="G1279"/>
      <c r="L1279"/>
    </row>
    <row r="1280" spans="1:12" x14ac:dyDescent="0.25">
      <c r="A1280"/>
      <c r="B1280"/>
      <c r="D1280"/>
      <c r="G1280"/>
      <c r="L1280"/>
    </row>
    <row r="1281" spans="1:12" x14ac:dyDescent="0.25">
      <c r="A1281"/>
      <c r="B1281"/>
      <c r="D1281"/>
      <c r="G1281"/>
      <c r="L1281"/>
    </row>
    <row r="1282" spans="1:12" x14ac:dyDescent="0.25">
      <c r="A1282"/>
      <c r="B1282"/>
      <c r="D1282"/>
      <c r="G1282"/>
      <c r="L1282"/>
    </row>
    <row r="1283" spans="1:12" x14ac:dyDescent="0.25">
      <c r="A1283"/>
      <c r="B1283"/>
      <c r="D1283"/>
      <c r="G1283"/>
      <c r="L1283"/>
    </row>
    <row r="1284" spans="1:12" x14ac:dyDescent="0.25">
      <c r="A1284"/>
      <c r="B1284"/>
      <c r="D1284"/>
      <c r="G1284"/>
      <c r="L1284"/>
    </row>
    <row r="1285" spans="1:12" x14ac:dyDescent="0.25">
      <c r="A1285"/>
      <c r="B1285"/>
      <c r="D1285"/>
      <c r="G1285"/>
      <c r="L1285"/>
    </row>
    <row r="1286" spans="1:12" x14ac:dyDescent="0.25">
      <c r="A1286"/>
      <c r="B1286"/>
      <c r="D1286"/>
      <c r="G1286"/>
      <c r="L1286"/>
    </row>
    <row r="1287" spans="1:12" x14ac:dyDescent="0.25">
      <c r="A1287"/>
      <c r="B1287"/>
      <c r="D1287"/>
      <c r="G1287"/>
      <c r="L1287"/>
    </row>
    <row r="1288" spans="1:12" x14ac:dyDescent="0.25">
      <c r="A1288"/>
      <c r="B1288"/>
      <c r="D1288"/>
      <c r="G1288"/>
      <c r="L1288"/>
    </row>
    <row r="1289" spans="1:12" x14ac:dyDescent="0.25">
      <c r="A1289"/>
      <c r="B1289"/>
      <c r="D1289"/>
      <c r="G1289"/>
      <c r="L1289"/>
    </row>
    <row r="1290" spans="1:12" x14ac:dyDescent="0.25">
      <c r="A1290"/>
      <c r="B1290"/>
      <c r="D1290"/>
      <c r="G1290"/>
      <c r="L1290"/>
    </row>
    <row r="1291" spans="1:12" x14ac:dyDescent="0.25">
      <c r="A1291"/>
      <c r="B1291"/>
      <c r="D1291"/>
      <c r="G1291"/>
      <c r="L1291"/>
    </row>
    <row r="1292" spans="1:12" x14ac:dyDescent="0.25">
      <c r="A1292"/>
      <c r="B1292"/>
      <c r="D1292"/>
      <c r="G1292"/>
      <c r="L1292"/>
    </row>
    <row r="1293" spans="1:12" x14ac:dyDescent="0.25">
      <c r="A1293"/>
      <c r="B1293"/>
      <c r="D1293"/>
      <c r="G1293"/>
      <c r="L1293"/>
    </row>
    <row r="1294" spans="1:12" x14ac:dyDescent="0.25">
      <c r="A1294"/>
      <c r="B1294"/>
      <c r="D1294"/>
      <c r="G1294"/>
      <c r="L1294"/>
    </row>
    <row r="1295" spans="1:12" x14ac:dyDescent="0.25">
      <c r="A1295"/>
      <c r="B1295"/>
      <c r="D1295"/>
      <c r="G1295"/>
      <c r="L1295"/>
    </row>
    <row r="1296" spans="1:12" x14ac:dyDescent="0.25">
      <c r="A1296"/>
      <c r="B1296"/>
      <c r="D1296"/>
      <c r="G1296"/>
      <c r="L1296"/>
    </row>
    <row r="1297" spans="1:12" x14ac:dyDescent="0.25">
      <c r="A1297"/>
      <c r="B1297"/>
      <c r="D1297"/>
      <c r="G1297"/>
      <c r="L1297"/>
    </row>
    <row r="1298" spans="1:12" x14ac:dyDescent="0.25">
      <c r="A1298"/>
      <c r="B1298"/>
      <c r="D1298"/>
      <c r="G1298"/>
      <c r="L1298"/>
    </row>
    <row r="1299" spans="1:12" x14ac:dyDescent="0.25">
      <c r="A1299"/>
      <c r="B1299"/>
      <c r="D1299"/>
      <c r="G1299"/>
      <c r="L1299"/>
    </row>
    <row r="1300" spans="1:12" x14ac:dyDescent="0.25">
      <c r="A1300"/>
      <c r="B1300"/>
      <c r="D1300"/>
      <c r="G1300"/>
      <c r="L1300"/>
    </row>
    <row r="1301" spans="1:12" x14ac:dyDescent="0.25">
      <c r="A1301"/>
      <c r="B1301"/>
      <c r="D1301"/>
      <c r="G1301"/>
      <c r="L1301"/>
    </row>
    <row r="1302" spans="1:12" x14ac:dyDescent="0.25">
      <c r="A1302"/>
      <c r="B1302"/>
      <c r="D1302"/>
      <c r="G1302"/>
      <c r="L1302"/>
    </row>
    <row r="1303" spans="1:12" x14ac:dyDescent="0.25">
      <c r="A1303"/>
      <c r="B1303"/>
      <c r="D1303"/>
      <c r="G1303"/>
      <c r="L1303"/>
    </row>
    <row r="1304" spans="1:12" x14ac:dyDescent="0.25">
      <c r="A1304"/>
      <c r="B1304"/>
      <c r="D1304"/>
      <c r="G1304"/>
      <c r="L1304"/>
    </row>
    <row r="1305" spans="1:12" x14ac:dyDescent="0.25">
      <c r="A1305"/>
      <c r="B1305"/>
      <c r="D1305"/>
      <c r="G1305"/>
      <c r="L1305"/>
    </row>
    <row r="1306" spans="1:12" x14ac:dyDescent="0.25">
      <c r="A1306"/>
      <c r="B1306"/>
      <c r="D1306"/>
      <c r="G1306"/>
      <c r="L1306"/>
    </row>
    <row r="1307" spans="1:12" x14ac:dyDescent="0.25">
      <c r="A1307"/>
      <c r="B1307"/>
      <c r="D1307"/>
      <c r="G1307"/>
      <c r="L1307"/>
    </row>
    <row r="1308" spans="1:12" x14ac:dyDescent="0.25">
      <c r="A1308"/>
      <c r="B1308"/>
      <c r="D1308"/>
      <c r="G1308"/>
      <c r="L1308"/>
    </row>
    <row r="1309" spans="1:12" x14ac:dyDescent="0.25">
      <c r="A1309"/>
      <c r="B1309"/>
      <c r="D1309"/>
      <c r="G1309"/>
      <c r="L1309"/>
    </row>
    <row r="1310" spans="1:12" x14ac:dyDescent="0.25">
      <c r="A1310"/>
      <c r="B1310"/>
      <c r="D1310"/>
      <c r="G1310"/>
      <c r="L1310"/>
    </row>
    <row r="1311" spans="1:12" x14ac:dyDescent="0.25">
      <c r="A1311"/>
      <c r="B1311"/>
      <c r="D1311"/>
      <c r="G1311"/>
      <c r="L1311"/>
    </row>
    <row r="1312" spans="1:12" x14ac:dyDescent="0.25">
      <c r="A1312"/>
      <c r="B1312"/>
      <c r="D1312"/>
      <c r="G1312"/>
      <c r="L1312"/>
    </row>
    <row r="1313" spans="1:12" x14ac:dyDescent="0.25">
      <c r="A1313"/>
      <c r="B1313"/>
      <c r="D1313"/>
      <c r="G1313"/>
      <c r="L1313"/>
    </row>
    <row r="1314" spans="1:12" x14ac:dyDescent="0.25">
      <c r="A1314"/>
      <c r="B1314"/>
      <c r="D1314"/>
      <c r="G1314"/>
      <c r="L1314"/>
    </row>
    <row r="1315" spans="1:12" x14ac:dyDescent="0.25">
      <c r="A1315"/>
      <c r="B1315"/>
      <c r="D1315"/>
      <c r="G1315"/>
      <c r="L1315"/>
    </row>
    <row r="1316" spans="1:12" x14ac:dyDescent="0.25">
      <c r="A1316"/>
      <c r="B1316"/>
      <c r="D1316"/>
      <c r="G1316"/>
      <c r="L1316"/>
    </row>
    <row r="1317" spans="1:12" x14ac:dyDescent="0.25">
      <c r="A1317"/>
      <c r="B1317"/>
      <c r="D1317"/>
      <c r="G1317"/>
      <c r="L1317"/>
    </row>
    <row r="1318" spans="1:12" x14ac:dyDescent="0.25">
      <c r="A1318"/>
      <c r="B1318"/>
      <c r="D1318"/>
      <c r="G1318"/>
      <c r="L1318"/>
    </row>
    <row r="1319" spans="1:12" x14ac:dyDescent="0.25">
      <c r="A1319"/>
      <c r="B1319"/>
      <c r="D1319"/>
      <c r="G1319"/>
      <c r="L1319"/>
    </row>
    <row r="1320" spans="1:12" x14ac:dyDescent="0.25">
      <c r="A1320"/>
      <c r="B1320"/>
      <c r="D1320"/>
      <c r="G1320"/>
      <c r="L1320"/>
    </row>
    <row r="1321" spans="1:12" x14ac:dyDescent="0.25">
      <c r="A1321"/>
      <c r="B1321"/>
      <c r="D1321"/>
      <c r="G1321"/>
      <c r="L1321"/>
    </row>
    <row r="1322" spans="1:12" x14ac:dyDescent="0.25">
      <c r="A1322"/>
      <c r="B1322"/>
      <c r="D1322"/>
      <c r="G1322"/>
      <c r="L1322"/>
    </row>
    <row r="1323" spans="1:12" x14ac:dyDescent="0.25">
      <c r="A1323"/>
      <c r="B1323"/>
      <c r="D1323"/>
      <c r="G1323"/>
      <c r="L1323"/>
    </row>
    <row r="1324" spans="1:12" x14ac:dyDescent="0.25">
      <c r="A1324"/>
      <c r="B1324"/>
      <c r="D1324"/>
      <c r="G1324"/>
      <c r="L1324"/>
    </row>
    <row r="1325" spans="1:12" x14ac:dyDescent="0.25">
      <c r="A1325"/>
      <c r="B1325"/>
      <c r="D1325"/>
      <c r="G1325"/>
      <c r="L1325"/>
    </row>
    <row r="1326" spans="1:12" x14ac:dyDescent="0.25">
      <c r="A1326"/>
      <c r="B1326"/>
      <c r="D1326"/>
      <c r="G1326"/>
      <c r="L1326"/>
    </row>
    <row r="1327" spans="1:12" x14ac:dyDescent="0.25">
      <c r="A1327"/>
      <c r="B1327"/>
      <c r="D1327"/>
      <c r="G1327"/>
      <c r="L1327"/>
    </row>
    <row r="1328" spans="1:12" x14ac:dyDescent="0.25">
      <c r="A1328"/>
      <c r="B1328"/>
      <c r="D1328"/>
      <c r="G1328"/>
      <c r="L1328"/>
    </row>
    <row r="1329" spans="1:12" x14ac:dyDescent="0.25">
      <c r="A1329"/>
      <c r="B1329"/>
      <c r="D1329"/>
      <c r="G1329"/>
      <c r="L1329"/>
    </row>
    <row r="1330" spans="1:12" x14ac:dyDescent="0.25">
      <c r="A1330"/>
      <c r="B1330"/>
      <c r="D1330"/>
      <c r="G1330"/>
      <c r="L1330"/>
    </row>
    <row r="1331" spans="1:12" x14ac:dyDescent="0.25">
      <c r="A1331"/>
      <c r="B1331"/>
      <c r="D1331"/>
      <c r="G1331"/>
      <c r="L1331"/>
    </row>
    <row r="1332" spans="1:12" x14ac:dyDescent="0.25">
      <c r="A1332"/>
      <c r="B1332"/>
      <c r="D1332"/>
      <c r="G1332"/>
      <c r="L1332"/>
    </row>
    <row r="1333" spans="1:12" x14ac:dyDescent="0.25">
      <c r="A1333"/>
      <c r="B1333"/>
      <c r="D1333"/>
      <c r="G1333"/>
      <c r="L1333"/>
    </row>
    <row r="1334" spans="1:12" x14ac:dyDescent="0.25">
      <c r="A1334"/>
      <c r="B1334"/>
      <c r="D1334"/>
      <c r="G1334"/>
      <c r="L1334"/>
    </row>
    <row r="1335" spans="1:12" x14ac:dyDescent="0.25">
      <c r="A1335"/>
      <c r="B1335"/>
      <c r="D1335"/>
      <c r="G1335"/>
      <c r="L1335"/>
    </row>
    <row r="1336" spans="1:12" x14ac:dyDescent="0.25">
      <c r="A1336"/>
      <c r="B1336"/>
      <c r="D1336"/>
      <c r="G1336"/>
      <c r="L1336"/>
    </row>
    <row r="1337" spans="1:12" x14ac:dyDescent="0.25">
      <c r="A1337"/>
      <c r="B1337"/>
      <c r="D1337"/>
      <c r="G1337"/>
      <c r="L1337"/>
    </row>
    <row r="1338" spans="1:12" x14ac:dyDescent="0.25">
      <c r="A1338"/>
      <c r="B1338"/>
      <c r="D1338"/>
      <c r="G1338"/>
      <c r="L1338"/>
    </row>
    <row r="1339" spans="1:12" x14ac:dyDescent="0.25">
      <c r="A1339"/>
      <c r="B1339"/>
      <c r="D1339"/>
      <c r="G1339"/>
      <c r="L1339"/>
    </row>
    <row r="1340" spans="1:12" x14ac:dyDescent="0.25">
      <c r="A1340"/>
      <c r="B1340"/>
      <c r="D1340"/>
      <c r="G1340"/>
      <c r="L1340"/>
    </row>
    <row r="1341" spans="1:12" x14ac:dyDescent="0.25">
      <c r="A1341"/>
      <c r="B1341"/>
      <c r="D1341"/>
      <c r="G1341"/>
      <c r="L1341"/>
    </row>
    <row r="1342" spans="1:12" x14ac:dyDescent="0.25">
      <c r="A1342"/>
      <c r="B1342"/>
      <c r="D1342"/>
      <c r="G1342"/>
      <c r="L1342"/>
    </row>
    <row r="1343" spans="1:12" x14ac:dyDescent="0.25">
      <c r="A1343"/>
      <c r="B1343"/>
      <c r="D1343"/>
      <c r="G1343"/>
      <c r="L1343"/>
    </row>
    <row r="1344" spans="1:12" x14ac:dyDescent="0.25">
      <c r="A1344"/>
      <c r="B1344"/>
      <c r="D1344"/>
      <c r="G1344"/>
      <c r="L1344"/>
    </row>
    <row r="1345" spans="1:12" x14ac:dyDescent="0.25">
      <c r="A1345"/>
      <c r="B1345"/>
      <c r="D1345"/>
      <c r="G1345"/>
      <c r="L1345"/>
    </row>
    <row r="1346" spans="1:12" x14ac:dyDescent="0.25">
      <c r="A1346"/>
      <c r="B1346"/>
      <c r="D1346"/>
      <c r="G1346"/>
      <c r="L1346"/>
    </row>
    <row r="1347" spans="1:12" x14ac:dyDescent="0.25">
      <c r="A1347"/>
      <c r="B1347"/>
      <c r="D1347"/>
      <c r="G1347"/>
      <c r="L1347"/>
    </row>
    <row r="1348" spans="1:12" x14ac:dyDescent="0.25">
      <c r="A1348"/>
      <c r="B1348"/>
      <c r="D1348"/>
      <c r="G1348"/>
      <c r="L1348"/>
    </row>
    <row r="1349" spans="1:12" x14ac:dyDescent="0.25">
      <c r="A1349"/>
      <c r="B1349"/>
      <c r="D1349"/>
      <c r="G1349"/>
      <c r="L1349"/>
    </row>
    <row r="1350" spans="1:12" x14ac:dyDescent="0.25">
      <c r="A1350"/>
      <c r="B1350"/>
      <c r="D1350"/>
      <c r="G1350"/>
      <c r="L1350"/>
    </row>
    <row r="1351" spans="1:12" x14ac:dyDescent="0.25">
      <c r="A1351"/>
      <c r="B1351"/>
      <c r="D1351"/>
      <c r="G1351"/>
      <c r="L1351"/>
    </row>
    <row r="1352" spans="1:12" x14ac:dyDescent="0.25">
      <c r="A1352"/>
      <c r="B1352"/>
      <c r="D1352"/>
      <c r="G1352"/>
      <c r="L1352"/>
    </row>
    <row r="1353" spans="1:12" x14ac:dyDescent="0.25">
      <c r="A1353"/>
      <c r="B1353"/>
      <c r="D1353"/>
      <c r="G1353"/>
      <c r="L1353"/>
    </row>
    <row r="1354" spans="1:12" x14ac:dyDescent="0.25">
      <c r="A1354"/>
      <c r="B1354"/>
      <c r="D1354"/>
      <c r="G1354"/>
      <c r="L1354"/>
    </row>
    <row r="1355" spans="1:12" x14ac:dyDescent="0.25">
      <c r="A1355"/>
      <c r="B1355"/>
      <c r="D1355"/>
      <c r="G1355"/>
      <c r="L1355"/>
    </row>
    <row r="1356" spans="1:12" x14ac:dyDescent="0.25">
      <c r="A1356"/>
      <c r="B1356"/>
      <c r="D1356"/>
      <c r="G1356"/>
      <c r="L1356"/>
    </row>
    <row r="1357" spans="1:12" x14ac:dyDescent="0.25">
      <c r="A1357"/>
      <c r="B1357"/>
      <c r="D1357"/>
      <c r="G1357"/>
      <c r="L1357"/>
    </row>
    <row r="1358" spans="1:12" x14ac:dyDescent="0.25">
      <c r="A1358"/>
      <c r="B1358"/>
      <c r="D1358"/>
      <c r="G1358"/>
      <c r="L1358"/>
    </row>
    <row r="1359" spans="1:12" x14ac:dyDescent="0.25">
      <c r="A1359"/>
      <c r="B1359"/>
      <c r="D1359"/>
      <c r="G1359"/>
      <c r="L1359"/>
    </row>
    <row r="1360" spans="1:12" x14ac:dyDescent="0.25">
      <c r="A1360"/>
      <c r="B1360"/>
      <c r="D1360"/>
      <c r="G1360"/>
      <c r="L1360"/>
    </row>
    <row r="1361" spans="1:12" x14ac:dyDescent="0.25">
      <c r="A1361"/>
      <c r="B1361"/>
      <c r="D1361"/>
      <c r="G1361"/>
      <c r="L1361"/>
    </row>
    <row r="1362" spans="1:12" x14ac:dyDescent="0.25">
      <c r="A1362"/>
      <c r="B1362"/>
      <c r="D1362"/>
      <c r="G1362"/>
      <c r="L1362"/>
    </row>
    <row r="1363" spans="1:12" x14ac:dyDescent="0.25">
      <c r="A1363"/>
      <c r="B1363"/>
      <c r="D1363"/>
      <c r="G1363"/>
      <c r="L1363"/>
    </row>
    <row r="1364" spans="1:12" x14ac:dyDescent="0.25">
      <c r="A1364"/>
      <c r="B1364"/>
      <c r="D1364"/>
      <c r="G1364"/>
      <c r="L1364"/>
    </row>
    <row r="1365" spans="1:12" x14ac:dyDescent="0.25">
      <c r="A1365"/>
      <c r="B1365"/>
      <c r="D1365"/>
      <c r="G1365"/>
      <c r="L1365"/>
    </row>
    <row r="1366" spans="1:12" x14ac:dyDescent="0.25">
      <c r="A1366"/>
      <c r="B1366"/>
      <c r="D1366"/>
      <c r="G1366"/>
      <c r="L1366"/>
    </row>
    <row r="1367" spans="1:12" x14ac:dyDescent="0.25">
      <c r="A1367"/>
      <c r="B1367"/>
      <c r="D1367"/>
      <c r="G1367"/>
      <c r="L1367"/>
    </row>
    <row r="1368" spans="1:12" x14ac:dyDescent="0.25">
      <c r="A1368"/>
      <c r="B1368"/>
      <c r="D1368"/>
      <c r="G1368"/>
      <c r="L1368"/>
    </row>
    <row r="1369" spans="1:12" x14ac:dyDescent="0.25">
      <c r="A1369"/>
      <c r="B1369"/>
      <c r="D1369"/>
      <c r="G1369"/>
      <c r="L1369"/>
    </row>
    <row r="1370" spans="1:12" x14ac:dyDescent="0.25">
      <c r="A1370"/>
      <c r="B1370"/>
      <c r="D1370"/>
      <c r="G1370"/>
      <c r="L1370"/>
    </row>
    <row r="1371" spans="1:12" x14ac:dyDescent="0.25">
      <c r="A1371"/>
      <c r="B1371"/>
      <c r="D1371"/>
      <c r="G1371"/>
      <c r="L1371"/>
    </row>
    <row r="1372" spans="1:12" x14ac:dyDescent="0.25">
      <c r="A1372"/>
      <c r="B1372"/>
      <c r="D1372"/>
      <c r="G1372"/>
      <c r="L1372"/>
    </row>
    <row r="1373" spans="1:12" x14ac:dyDescent="0.25">
      <c r="A1373"/>
      <c r="B1373"/>
      <c r="D1373"/>
      <c r="G1373"/>
      <c r="L1373"/>
    </row>
    <row r="1374" spans="1:12" x14ac:dyDescent="0.25">
      <c r="A1374"/>
      <c r="B1374"/>
      <c r="D1374"/>
      <c r="G1374"/>
      <c r="L1374"/>
    </row>
    <row r="1375" spans="1:12" x14ac:dyDescent="0.25">
      <c r="A1375"/>
      <c r="B1375"/>
      <c r="D1375"/>
      <c r="G1375"/>
      <c r="L1375"/>
    </row>
    <row r="1376" spans="1:12" x14ac:dyDescent="0.25">
      <c r="A1376"/>
      <c r="B1376"/>
      <c r="D1376"/>
      <c r="G1376"/>
      <c r="L1376"/>
    </row>
    <row r="1377" spans="1:12" x14ac:dyDescent="0.25">
      <c r="A1377"/>
      <c r="B1377"/>
      <c r="D1377"/>
      <c r="G1377"/>
      <c r="L1377"/>
    </row>
    <row r="1378" spans="1:12" x14ac:dyDescent="0.25">
      <c r="A1378"/>
      <c r="B1378"/>
      <c r="D1378"/>
      <c r="G1378"/>
      <c r="L1378"/>
    </row>
    <row r="1379" spans="1:12" x14ac:dyDescent="0.25">
      <c r="A1379"/>
      <c r="B1379"/>
      <c r="D1379"/>
      <c r="G1379"/>
      <c r="L1379"/>
    </row>
    <row r="1380" spans="1:12" x14ac:dyDescent="0.25">
      <c r="A1380"/>
      <c r="B1380"/>
      <c r="D1380"/>
      <c r="G1380"/>
      <c r="L1380"/>
    </row>
    <row r="1381" spans="1:12" x14ac:dyDescent="0.25">
      <c r="A1381"/>
      <c r="B1381"/>
      <c r="D1381"/>
      <c r="G1381"/>
      <c r="L1381"/>
    </row>
    <row r="1382" spans="1:12" x14ac:dyDescent="0.25">
      <c r="A1382"/>
      <c r="B1382"/>
      <c r="D1382"/>
      <c r="G1382"/>
      <c r="L1382"/>
    </row>
    <row r="1383" spans="1:12" x14ac:dyDescent="0.25">
      <c r="A1383"/>
      <c r="B1383"/>
      <c r="D1383"/>
      <c r="G1383"/>
      <c r="L1383"/>
    </row>
    <row r="1384" spans="1:12" x14ac:dyDescent="0.25">
      <c r="A1384"/>
      <c r="B1384"/>
      <c r="D1384"/>
      <c r="G1384"/>
      <c r="L1384"/>
    </row>
    <row r="1385" spans="1:12" x14ac:dyDescent="0.25">
      <c r="A1385"/>
      <c r="B1385"/>
      <c r="D1385"/>
      <c r="G1385"/>
      <c r="L1385"/>
    </row>
    <row r="1386" spans="1:12" x14ac:dyDescent="0.25">
      <c r="A1386"/>
      <c r="B1386"/>
      <c r="D1386"/>
      <c r="G1386"/>
      <c r="L1386"/>
    </row>
    <row r="1387" spans="1:12" x14ac:dyDescent="0.25">
      <c r="A1387"/>
      <c r="B1387"/>
      <c r="D1387"/>
      <c r="G1387"/>
      <c r="L1387"/>
    </row>
    <row r="1388" spans="1:12" x14ac:dyDescent="0.25">
      <c r="A1388"/>
      <c r="B1388"/>
      <c r="D1388"/>
      <c r="G1388"/>
      <c r="L1388"/>
    </row>
    <row r="1389" spans="1:12" x14ac:dyDescent="0.25">
      <c r="A1389"/>
      <c r="B1389"/>
      <c r="D1389"/>
      <c r="G1389"/>
      <c r="L1389"/>
    </row>
    <row r="1390" spans="1:12" x14ac:dyDescent="0.25">
      <c r="A1390"/>
      <c r="B1390"/>
      <c r="D1390"/>
      <c r="G1390"/>
      <c r="L1390"/>
    </row>
    <row r="1391" spans="1:12" x14ac:dyDescent="0.25">
      <c r="A1391"/>
      <c r="B1391"/>
      <c r="D1391"/>
      <c r="G1391"/>
      <c r="L1391"/>
    </row>
    <row r="1392" spans="1:12" x14ac:dyDescent="0.25">
      <c r="A1392"/>
      <c r="B1392"/>
      <c r="D1392"/>
      <c r="G1392"/>
      <c r="L1392"/>
    </row>
    <row r="1393" spans="1:12" x14ac:dyDescent="0.25">
      <c r="A1393"/>
      <c r="B1393"/>
      <c r="D1393"/>
      <c r="G1393"/>
      <c r="L1393"/>
    </row>
    <row r="1394" spans="1:12" x14ac:dyDescent="0.25">
      <c r="A1394"/>
      <c r="B1394"/>
      <c r="D1394"/>
      <c r="G1394"/>
      <c r="L1394"/>
    </row>
    <row r="1395" spans="1:12" x14ac:dyDescent="0.25">
      <c r="A1395"/>
      <c r="B1395"/>
      <c r="D1395"/>
      <c r="G1395"/>
      <c r="L1395"/>
    </row>
    <row r="1396" spans="1:12" x14ac:dyDescent="0.25">
      <c r="A1396"/>
      <c r="B1396"/>
      <c r="D1396"/>
      <c r="G1396"/>
      <c r="L1396"/>
    </row>
    <row r="1397" spans="1:12" x14ac:dyDescent="0.25">
      <c r="A1397"/>
      <c r="B1397"/>
      <c r="D1397"/>
      <c r="G1397"/>
      <c r="L1397"/>
    </row>
    <row r="1398" spans="1:12" x14ac:dyDescent="0.25">
      <c r="A1398"/>
      <c r="B1398"/>
      <c r="D1398"/>
      <c r="G1398"/>
      <c r="L1398"/>
    </row>
    <row r="1399" spans="1:12" x14ac:dyDescent="0.25">
      <c r="A1399"/>
      <c r="B1399"/>
      <c r="D1399"/>
      <c r="G1399"/>
      <c r="L1399"/>
    </row>
    <row r="1400" spans="1:12" x14ac:dyDescent="0.25">
      <c r="A1400"/>
      <c r="B1400"/>
      <c r="D1400"/>
      <c r="G1400"/>
      <c r="L1400"/>
    </row>
    <row r="1401" spans="1:12" x14ac:dyDescent="0.25">
      <c r="A1401"/>
      <c r="B1401"/>
      <c r="D1401"/>
      <c r="G1401"/>
      <c r="L1401"/>
    </row>
    <row r="1402" spans="1:12" x14ac:dyDescent="0.25">
      <c r="A1402"/>
      <c r="B1402"/>
      <c r="D1402"/>
      <c r="G1402"/>
      <c r="L1402"/>
    </row>
    <row r="1403" spans="1:12" x14ac:dyDescent="0.25">
      <c r="A1403"/>
      <c r="B1403"/>
      <c r="D1403"/>
      <c r="G1403"/>
      <c r="L1403"/>
    </row>
    <row r="1404" spans="1:12" x14ac:dyDescent="0.25">
      <c r="A1404"/>
      <c r="B1404"/>
      <c r="D1404"/>
      <c r="G1404"/>
      <c r="L1404"/>
    </row>
    <row r="1405" spans="1:12" x14ac:dyDescent="0.25">
      <c r="A1405"/>
      <c r="B1405"/>
      <c r="D1405"/>
      <c r="G1405"/>
      <c r="L1405"/>
    </row>
    <row r="1406" spans="1:12" x14ac:dyDescent="0.25">
      <c r="A1406"/>
      <c r="B1406"/>
      <c r="D1406"/>
      <c r="G1406"/>
      <c r="L1406"/>
    </row>
    <row r="1407" spans="1:12" x14ac:dyDescent="0.25">
      <c r="A1407"/>
      <c r="B1407"/>
      <c r="D1407"/>
      <c r="G1407"/>
      <c r="L1407"/>
    </row>
    <row r="1408" spans="1:12" x14ac:dyDescent="0.25">
      <c r="A1408"/>
      <c r="B1408"/>
      <c r="D1408"/>
      <c r="G1408"/>
      <c r="L1408"/>
    </row>
    <row r="1409" spans="1:12" x14ac:dyDescent="0.25">
      <c r="A1409"/>
      <c r="B1409"/>
      <c r="D1409"/>
      <c r="G1409"/>
      <c r="L1409"/>
    </row>
    <row r="1410" spans="1:12" x14ac:dyDescent="0.25">
      <c r="A1410"/>
      <c r="B1410"/>
      <c r="D1410"/>
      <c r="G1410"/>
      <c r="L1410"/>
    </row>
    <row r="1411" spans="1:12" x14ac:dyDescent="0.25">
      <c r="A1411"/>
      <c r="B1411"/>
      <c r="D1411"/>
      <c r="G1411"/>
      <c r="L1411"/>
    </row>
    <row r="1412" spans="1:12" x14ac:dyDescent="0.25">
      <c r="A1412"/>
      <c r="B1412"/>
      <c r="D1412"/>
      <c r="G1412"/>
      <c r="L1412"/>
    </row>
    <row r="1413" spans="1:12" x14ac:dyDescent="0.25">
      <c r="A1413"/>
      <c r="B1413"/>
      <c r="D1413"/>
      <c r="G1413"/>
      <c r="L1413"/>
    </row>
    <row r="1414" spans="1:12" x14ac:dyDescent="0.25">
      <c r="A1414"/>
      <c r="B1414"/>
      <c r="D1414"/>
      <c r="G1414"/>
      <c r="L1414"/>
    </row>
    <row r="1415" spans="1:12" x14ac:dyDescent="0.25">
      <c r="A1415"/>
      <c r="B1415"/>
      <c r="D1415"/>
      <c r="G1415"/>
      <c r="L1415"/>
    </row>
    <row r="1416" spans="1:12" x14ac:dyDescent="0.25">
      <c r="A1416"/>
      <c r="B1416"/>
      <c r="D1416"/>
      <c r="G1416"/>
      <c r="L1416"/>
    </row>
    <row r="1417" spans="1:12" x14ac:dyDescent="0.25">
      <c r="A1417"/>
      <c r="B1417"/>
      <c r="D1417"/>
      <c r="G1417"/>
      <c r="L1417"/>
    </row>
    <row r="1418" spans="1:12" x14ac:dyDescent="0.25">
      <c r="A1418"/>
      <c r="B1418"/>
      <c r="D1418"/>
      <c r="G1418"/>
      <c r="L1418"/>
    </row>
    <row r="1419" spans="1:12" x14ac:dyDescent="0.25">
      <c r="A1419"/>
      <c r="B1419"/>
      <c r="D1419"/>
      <c r="G1419"/>
      <c r="L1419"/>
    </row>
    <row r="1420" spans="1:12" x14ac:dyDescent="0.25">
      <c r="A1420"/>
      <c r="B1420"/>
      <c r="D1420"/>
      <c r="G1420"/>
      <c r="L1420"/>
    </row>
    <row r="1421" spans="1:12" x14ac:dyDescent="0.25">
      <c r="A1421"/>
      <c r="B1421"/>
      <c r="D1421"/>
      <c r="G1421"/>
      <c r="L1421"/>
    </row>
    <row r="1422" spans="1:12" x14ac:dyDescent="0.25">
      <c r="A1422"/>
      <c r="B1422"/>
      <c r="D1422"/>
      <c r="G1422"/>
      <c r="L1422"/>
    </row>
    <row r="1423" spans="1:12" x14ac:dyDescent="0.25">
      <c r="A1423"/>
      <c r="B1423"/>
      <c r="D1423"/>
      <c r="G1423"/>
      <c r="L1423"/>
    </row>
    <row r="1424" spans="1:12" x14ac:dyDescent="0.25">
      <c r="A1424"/>
      <c r="B1424"/>
      <c r="D1424"/>
      <c r="G1424"/>
      <c r="L1424"/>
    </row>
    <row r="1425" spans="1:12" x14ac:dyDescent="0.25">
      <c r="A1425"/>
      <c r="B1425"/>
      <c r="D1425"/>
      <c r="G1425"/>
      <c r="L1425"/>
    </row>
    <row r="1426" spans="1:12" x14ac:dyDescent="0.25">
      <c r="A1426"/>
      <c r="B1426"/>
      <c r="D1426"/>
      <c r="G1426"/>
      <c r="L1426"/>
    </row>
    <row r="1427" spans="1:12" x14ac:dyDescent="0.25">
      <c r="A1427"/>
      <c r="B1427"/>
      <c r="D1427"/>
      <c r="G1427"/>
      <c r="L1427"/>
    </row>
    <row r="1428" spans="1:12" x14ac:dyDescent="0.25">
      <c r="A1428"/>
      <c r="B1428"/>
      <c r="D1428"/>
      <c r="G1428"/>
      <c r="L1428"/>
    </row>
    <row r="1429" spans="1:12" x14ac:dyDescent="0.25">
      <c r="A1429"/>
      <c r="B1429"/>
      <c r="D1429"/>
      <c r="G1429"/>
      <c r="L1429"/>
    </row>
    <row r="1430" spans="1:12" x14ac:dyDescent="0.25">
      <c r="A1430"/>
      <c r="B1430"/>
      <c r="D1430"/>
      <c r="G1430"/>
      <c r="L1430"/>
    </row>
    <row r="1431" spans="1:12" x14ac:dyDescent="0.25">
      <c r="A1431"/>
      <c r="B1431"/>
      <c r="D1431"/>
      <c r="G1431"/>
      <c r="L1431"/>
    </row>
    <row r="1432" spans="1:12" x14ac:dyDescent="0.25">
      <c r="A1432"/>
      <c r="B1432"/>
      <c r="D1432"/>
      <c r="G1432"/>
      <c r="L1432"/>
    </row>
    <row r="1433" spans="1:12" x14ac:dyDescent="0.25">
      <c r="A1433"/>
      <c r="B1433"/>
      <c r="D1433"/>
      <c r="G1433"/>
      <c r="L1433"/>
    </row>
    <row r="1434" spans="1:12" x14ac:dyDescent="0.25">
      <c r="A1434"/>
      <c r="B1434"/>
      <c r="D1434"/>
      <c r="G1434"/>
      <c r="L1434"/>
    </row>
    <row r="1435" spans="1:12" x14ac:dyDescent="0.25">
      <c r="A1435"/>
      <c r="B1435"/>
      <c r="D1435"/>
      <c r="G1435"/>
      <c r="L1435"/>
    </row>
    <row r="1436" spans="1:12" x14ac:dyDescent="0.25">
      <c r="A1436"/>
      <c r="B1436"/>
      <c r="D1436"/>
      <c r="G1436"/>
      <c r="L1436"/>
    </row>
    <row r="1437" spans="1:12" x14ac:dyDescent="0.25">
      <c r="A1437"/>
      <c r="B1437"/>
      <c r="D1437"/>
      <c r="G1437"/>
      <c r="L1437"/>
    </row>
    <row r="1438" spans="1:12" x14ac:dyDescent="0.25">
      <c r="A1438"/>
      <c r="B1438"/>
      <c r="D1438"/>
      <c r="G1438"/>
      <c r="L1438"/>
    </row>
    <row r="1439" spans="1:12" x14ac:dyDescent="0.25">
      <c r="A1439"/>
      <c r="B1439"/>
      <c r="D1439"/>
      <c r="G1439"/>
      <c r="L1439"/>
    </row>
    <row r="1440" spans="1:12" x14ac:dyDescent="0.25">
      <c r="A1440"/>
      <c r="B1440"/>
      <c r="D1440"/>
      <c r="G1440"/>
      <c r="L1440"/>
    </row>
    <row r="1441" spans="1:12" x14ac:dyDescent="0.25">
      <c r="A1441"/>
      <c r="B1441"/>
      <c r="D1441"/>
      <c r="G1441"/>
      <c r="L1441"/>
    </row>
    <row r="1442" spans="1:12" x14ac:dyDescent="0.25">
      <c r="A1442"/>
      <c r="B1442"/>
      <c r="D1442"/>
      <c r="G1442"/>
      <c r="L1442"/>
    </row>
    <row r="1443" spans="1:12" x14ac:dyDescent="0.25">
      <c r="A1443"/>
      <c r="B1443"/>
      <c r="D1443"/>
      <c r="G1443"/>
      <c r="L1443"/>
    </row>
    <row r="1444" spans="1:12" x14ac:dyDescent="0.25">
      <c r="A1444"/>
      <c r="B1444"/>
      <c r="D1444"/>
      <c r="G1444"/>
      <c r="L1444"/>
    </row>
    <row r="1445" spans="1:12" x14ac:dyDescent="0.25">
      <c r="A1445"/>
      <c r="B1445"/>
      <c r="D1445"/>
      <c r="G1445"/>
      <c r="L1445"/>
    </row>
    <row r="1446" spans="1:12" x14ac:dyDescent="0.25">
      <c r="A1446"/>
      <c r="B1446"/>
      <c r="D1446"/>
      <c r="G1446"/>
      <c r="L1446"/>
    </row>
    <row r="1447" spans="1:12" x14ac:dyDescent="0.25">
      <c r="A1447"/>
      <c r="B1447"/>
      <c r="D1447"/>
      <c r="G1447"/>
      <c r="L1447"/>
    </row>
    <row r="1448" spans="1:12" x14ac:dyDescent="0.25">
      <c r="A1448"/>
      <c r="B1448"/>
      <c r="D1448"/>
      <c r="G1448"/>
      <c r="L1448"/>
    </row>
    <row r="1449" spans="1:12" x14ac:dyDescent="0.25">
      <c r="A1449"/>
      <c r="B1449"/>
      <c r="D1449"/>
      <c r="G1449"/>
      <c r="L1449"/>
    </row>
    <row r="1450" spans="1:12" x14ac:dyDescent="0.25">
      <c r="A1450"/>
      <c r="B1450"/>
      <c r="D1450"/>
      <c r="G1450"/>
      <c r="L1450"/>
    </row>
    <row r="1451" spans="1:12" x14ac:dyDescent="0.25">
      <c r="A1451"/>
      <c r="B1451"/>
      <c r="D1451"/>
      <c r="G1451"/>
      <c r="L1451"/>
    </row>
    <row r="1452" spans="1:12" x14ac:dyDescent="0.25">
      <c r="A1452"/>
      <c r="B1452"/>
      <c r="D1452"/>
      <c r="G1452"/>
      <c r="L1452"/>
    </row>
    <row r="1453" spans="1:12" x14ac:dyDescent="0.25">
      <c r="A1453"/>
      <c r="B1453"/>
      <c r="D1453"/>
      <c r="G1453"/>
      <c r="L1453"/>
    </row>
    <row r="1454" spans="1:12" x14ac:dyDescent="0.25">
      <c r="A1454"/>
      <c r="B1454"/>
      <c r="D1454"/>
      <c r="G1454"/>
      <c r="L1454"/>
    </row>
    <row r="1455" spans="1:12" x14ac:dyDescent="0.25">
      <c r="A1455"/>
      <c r="B1455"/>
      <c r="D1455"/>
      <c r="G1455"/>
      <c r="L1455"/>
    </row>
    <row r="1456" spans="1:12" x14ac:dyDescent="0.25">
      <c r="A1456"/>
      <c r="B1456"/>
      <c r="D1456"/>
      <c r="G1456"/>
      <c r="L1456"/>
    </row>
    <row r="1457" spans="1:12" x14ac:dyDescent="0.25">
      <c r="A1457"/>
      <c r="B1457"/>
      <c r="D1457"/>
      <c r="G1457"/>
      <c r="L1457"/>
    </row>
    <row r="1458" spans="1:12" x14ac:dyDescent="0.25">
      <c r="A1458"/>
      <c r="B1458"/>
      <c r="D1458"/>
      <c r="G1458"/>
      <c r="L1458"/>
    </row>
    <row r="1459" spans="1:12" x14ac:dyDescent="0.25">
      <c r="A1459"/>
      <c r="B1459"/>
      <c r="D1459"/>
      <c r="G1459"/>
      <c r="L1459"/>
    </row>
    <row r="1460" spans="1:12" x14ac:dyDescent="0.25">
      <c r="A1460"/>
      <c r="B1460"/>
      <c r="D1460"/>
      <c r="G1460"/>
      <c r="L1460"/>
    </row>
    <row r="1461" spans="1:12" x14ac:dyDescent="0.25">
      <c r="A1461"/>
      <c r="B1461"/>
      <c r="D1461"/>
      <c r="G1461"/>
      <c r="L1461"/>
    </row>
    <row r="1462" spans="1:12" x14ac:dyDescent="0.25">
      <c r="A1462"/>
      <c r="B1462"/>
      <c r="D1462"/>
      <c r="G1462"/>
      <c r="L1462"/>
    </row>
    <row r="1463" spans="1:12" x14ac:dyDescent="0.25">
      <c r="A1463"/>
      <c r="B1463"/>
      <c r="D1463"/>
      <c r="G1463"/>
      <c r="L1463"/>
    </row>
    <row r="1464" spans="1:12" x14ac:dyDescent="0.25">
      <c r="A1464"/>
      <c r="B1464"/>
      <c r="D1464"/>
      <c r="G1464"/>
      <c r="L1464"/>
    </row>
    <row r="1465" spans="1:12" x14ac:dyDescent="0.25">
      <c r="A1465"/>
      <c r="B1465"/>
      <c r="D1465"/>
      <c r="G1465"/>
      <c r="L1465"/>
    </row>
    <row r="1466" spans="1:12" x14ac:dyDescent="0.25">
      <c r="A1466"/>
      <c r="B1466"/>
      <c r="D1466"/>
      <c r="G1466"/>
      <c r="L1466"/>
    </row>
    <row r="1467" spans="1:12" x14ac:dyDescent="0.25">
      <c r="A1467"/>
      <c r="B1467"/>
      <c r="D1467"/>
      <c r="G1467"/>
      <c r="L1467"/>
    </row>
    <row r="1468" spans="1:12" x14ac:dyDescent="0.25">
      <c r="A1468"/>
      <c r="B1468"/>
      <c r="D1468"/>
      <c r="G1468"/>
      <c r="L1468"/>
    </row>
    <row r="1469" spans="1:12" x14ac:dyDescent="0.25">
      <c r="A1469"/>
      <c r="B1469"/>
      <c r="D1469"/>
      <c r="G1469"/>
      <c r="L1469"/>
    </row>
    <row r="1470" spans="1:12" x14ac:dyDescent="0.25">
      <c r="A1470"/>
      <c r="B1470"/>
      <c r="D1470"/>
      <c r="G1470"/>
      <c r="L1470"/>
    </row>
    <row r="1471" spans="1:12" x14ac:dyDescent="0.25">
      <c r="A1471"/>
      <c r="B1471"/>
      <c r="D1471"/>
      <c r="G1471"/>
      <c r="L1471"/>
    </row>
    <row r="1472" spans="1:12" x14ac:dyDescent="0.25">
      <c r="A1472"/>
      <c r="B1472"/>
      <c r="D1472"/>
      <c r="G1472"/>
      <c r="L1472"/>
    </row>
    <row r="1473" spans="1:12" x14ac:dyDescent="0.25">
      <c r="A1473"/>
      <c r="B1473"/>
      <c r="D1473"/>
      <c r="G1473"/>
      <c r="L1473"/>
    </row>
    <row r="1474" spans="1:12" x14ac:dyDescent="0.25">
      <c r="A1474"/>
      <c r="B1474"/>
      <c r="D1474"/>
      <c r="G1474"/>
      <c r="L1474"/>
    </row>
    <row r="1475" spans="1:12" x14ac:dyDescent="0.25">
      <c r="A1475"/>
      <c r="B1475"/>
      <c r="D1475"/>
      <c r="G1475"/>
      <c r="L1475"/>
    </row>
    <row r="1476" spans="1:12" x14ac:dyDescent="0.25">
      <c r="A1476"/>
      <c r="B1476"/>
      <c r="D1476"/>
      <c r="G1476"/>
      <c r="L1476"/>
    </row>
    <row r="1477" spans="1:12" x14ac:dyDescent="0.25">
      <c r="A1477"/>
      <c r="B1477"/>
      <c r="D1477"/>
      <c r="G1477"/>
      <c r="L1477"/>
    </row>
    <row r="1478" spans="1:12" x14ac:dyDescent="0.25">
      <c r="A1478"/>
      <c r="B1478"/>
      <c r="D1478"/>
      <c r="G1478"/>
      <c r="L1478"/>
    </row>
    <row r="1479" spans="1:12" x14ac:dyDescent="0.25">
      <c r="A1479"/>
      <c r="B1479"/>
      <c r="D1479"/>
      <c r="G1479"/>
      <c r="L1479"/>
    </row>
    <row r="1480" spans="1:12" x14ac:dyDescent="0.25">
      <c r="A1480"/>
      <c r="B1480"/>
      <c r="D1480"/>
      <c r="G1480"/>
      <c r="L1480"/>
    </row>
    <row r="1481" spans="1:12" x14ac:dyDescent="0.25">
      <c r="A1481"/>
      <c r="B1481"/>
      <c r="D1481"/>
      <c r="G1481"/>
      <c r="L1481"/>
    </row>
    <row r="1482" spans="1:12" x14ac:dyDescent="0.25">
      <c r="A1482"/>
      <c r="B1482"/>
      <c r="D1482"/>
      <c r="G1482"/>
      <c r="L1482"/>
    </row>
    <row r="1483" spans="1:12" x14ac:dyDescent="0.25">
      <c r="A1483"/>
      <c r="B1483"/>
      <c r="D1483"/>
      <c r="G1483"/>
      <c r="L1483"/>
    </row>
    <row r="1484" spans="1:12" x14ac:dyDescent="0.25">
      <c r="A1484"/>
      <c r="B1484"/>
      <c r="D1484"/>
      <c r="G1484"/>
      <c r="L1484"/>
    </row>
    <row r="1485" spans="1:12" x14ac:dyDescent="0.25">
      <c r="A1485"/>
      <c r="B1485"/>
      <c r="D1485"/>
      <c r="G1485"/>
      <c r="L1485"/>
    </row>
    <row r="1486" spans="1:12" x14ac:dyDescent="0.25">
      <c r="A1486"/>
      <c r="B1486"/>
      <c r="D1486"/>
      <c r="G1486"/>
      <c r="L1486"/>
    </row>
    <row r="1487" spans="1:12" x14ac:dyDescent="0.25">
      <c r="A1487"/>
      <c r="B1487"/>
      <c r="D1487"/>
      <c r="G1487"/>
      <c r="L1487"/>
    </row>
    <row r="1488" spans="1:12" x14ac:dyDescent="0.25">
      <c r="A1488"/>
      <c r="B1488"/>
      <c r="D1488"/>
      <c r="G1488"/>
      <c r="L1488"/>
    </row>
    <row r="1489" spans="1:12" x14ac:dyDescent="0.25">
      <c r="A1489"/>
      <c r="B1489"/>
      <c r="D1489"/>
      <c r="G1489"/>
      <c r="L1489"/>
    </row>
    <row r="1490" spans="1:12" x14ac:dyDescent="0.25">
      <c r="A1490"/>
      <c r="B1490"/>
      <c r="D1490"/>
      <c r="G1490"/>
      <c r="L1490"/>
    </row>
    <row r="1491" spans="1:12" x14ac:dyDescent="0.25">
      <c r="A1491"/>
      <c r="B1491"/>
      <c r="D1491"/>
      <c r="G1491"/>
      <c r="L1491"/>
    </row>
    <row r="1492" spans="1:12" x14ac:dyDescent="0.25">
      <c r="A1492"/>
      <c r="B1492"/>
      <c r="D1492"/>
      <c r="G1492"/>
      <c r="L1492"/>
    </row>
    <row r="1493" spans="1:12" x14ac:dyDescent="0.25">
      <c r="A1493"/>
      <c r="B1493"/>
      <c r="D1493"/>
      <c r="G1493"/>
      <c r="L1493"/>
    </row>
    <row r="1494" spans="1:12" x14ac:dyDescent="0.25">
      <c r="A1494"/>
      <c r="B1494"/>
      <c r="D1494"/>
      <c r="G1494"/>
      <c r="L1494"/>
    </row>
    <row r="1495" spans="1:12" x14ac:dyDescent="0.25">
      <c r="A1495"/>
      <c r="B1495"/>
      <c r="D1495"/>
      <c r="G1495"/>
      <c r="L1495"/>
    </row>
    <row r="1496" spans="1:12" x14ac:dyDescent="0.25">
      <c r="A1496"/>
      <c r="B1496"/>
      <c r="D1496"/>
      <c r="G1496"/>
      <c r="L1496"/>
    </row>
    <row r="1497" spans="1:12" x14ac:dyDescent="0.25">
      <c r="A1497"/>
      <c r="B1497"/>
      <c r="D1497"/>
      <c r="G1497"/>
      <c r="L1497"/>
    </row>
    <row r="1498" spans="1:12" x14ac:dyDescent="0.25">
      <c r="A1498"/>
      <c r="B1498"/>
      <c r="D1498"/>
      <c r="G1498"/>
      <c r="L1498"/>
    </row>
    <row r="1499" spans="1:12" x14ac:dyDescent="0.25">
      <c r="A1499"/>
      <c r="B1499"/>
      <c r="D1499"/>
      <c r="G1499"/>
      <c r="L1499"/>
    </row>
    <row r="1500" spans="1:12" x14ac:dyDescent="0.25">
      <c r="A1500"/>
      <c r="B1500"/>
      <c r="D1500"/>
      <c r="G1500"/>
      <c r="L1500"/>
    </row>
    <row r="1501" spans="1:12" x14ac:dyDescent="0.25">
      <c r="A1501"/>
      <c r="B1501"/>
      <c r="D1501"/>
      <c r="G1501"/>
      <c r="L1501"/>
    </row>
    <row r="1502" spans="1:12" x14ac:dyDescent="0.25">
      <c r="A1502"/>
      <c r="B1502"/>
      <c r="D1502"/>
      <c r="G1502"/>
      <c r="L1502"/>
    </row>
    <row r="1503" spans="1:12" x14ac:dyDescent="0.25">
      <c r="A1503"/>
      <c r="B1503"/>
      <c r="D1503"/>
      <c r="G1503"/>
      <c r="L1503"/>
    </row>
    <row r="1504" spans="1:12" x14ac:dyDescent="0.25">
      <c r="A1504"/>
      <c r="B1504"/>
      <c r="D1504"/>
      <c r="G1504"/>
      <c r="L1504"/>
    </row>
    <row r="1505" spans="1:12" x14ac:dyDescent="0.25">
      <c r="A1505"/>
      <c r="B1505"/>
      <c r="D1505"/>
      <c r="G1505"/>
      <c r="L1505"/>
    </row>
    <row r="1506" spans="1:12" x14ac:dyDescent="0.25">
      <c r="A1506"/>
      <c r="B1506"/>
      <c r="D1506"/>
      <c r="G1506"/>
      <c r="L1506"/>
    </row>
    <row r="1507" spans="1:12" x14ac:dyDescent="0.25">
      <c r="A1507"/>
      <c r="B1507"/>
      <c r="D1507"/>
      <c r="G1507"/>
      <c r="L1507"/>
    </row>
    <row r="1508" spans="1:12" x14ac:dyDescent="0.25">
      <c r="A1508"/>
      <c r="B1508"/>
      <c r="D1508"/>
      <c r="G1508"/>
      <c r="L1508"/>
    </row>
    <row r="1509" spans="1:12" x14ac:dyDescent="0.25">
      <c r="A1509"/>
      <c r="B1509"/>
      <c r="D1509"/>
      <c r="G1509"/>
      <c r="L1509"/>
    </row>
    <row r="1510" spans="1:12" x14ac:dyDescent="0.25">
      <c r="A1510"/>
      <c r="B1510"/>
      <c r="D1510"/>
      <c r="G1510"/>
      <c r="L1510"/>
    </row>
    <row r="1511" spans="1:12" x14ac:dyDescent="0.25">
      <c r="A1511"/>
      <c r="B1511"/>
      <c r="D1511"/>
      <c r="G1511"/>
      <c r="L1511"/>
    </row>
    <row r="1512" spans="1:12" x14ac:dyDescent="0.25">
      <c r="A1512"/>
      <c r="B1512"/>
      <c r="D1512"/>
      <c r="G1512"/>
      <c r="L1512"/>
    </row>
    <row r="1513" spans="1:12" x14ac:dyDescent="0.25">
      <c r="A1513"/>
      <c r="B1513"/>
      <c r="D1513"/>
      <c r="G1513"/>
      <c r="L1513"/>
    </row>
    <row r="1514" spans="1:12" x14ac:dyDescent="0.25">
      <c r="A1514"/>
      <c r="B1514"/>
      <c r="D1514"/>
      <c r="G1514"/>
      <c r="L1514"/>
    </row>
    <row r="1515" spans="1:12" x14ac:dyDescent="0.25">
      <c r="A1515"/>
      <c r="B1515"/>
      <c r="D1515"/>
      <c r="G1515"/>
      <c r="L1515"/>
    </row>
    <row r="1516" spans="1:12" x14ac:dyDescent="0.25">
      <c r="A1516"/>
      <c r="B1516"/>
      <c r="D1516"/>
      <c r="G1516"/>
      <c r="L1516"/>
    </row>
    <row r="1517" spans="1:12" x14ac:dyDescent="0.25">
      <c r="A1517"/>
      <c r="B1517"/>
      <c r="D1517"/>
      <c r="G1517"/>
      <c r="L1517"/>
    </row>
    <row r="1518" spans="1:12" x14ac:dyDescent="0.25">
      <c r="A1518"/>
      <c r="B1518"/>
      <c r="D1518"/>
      <c r="G1518"/>
      <c r="L1518"/>
    </row>
    <row r="1519" spans="1:12" x14ac:dyDescent="0.25">
      <c r="A1519"/>
      <c r="B1519"/>
      <c r="D1519"/>
      <c r="G1519"/>
      <c r="L1519"/>
    </row>
    <row r="1520" spans="1:12" x14ac:dyDescent="0.25">
      <c r="A1520"/>
      <c r="B1520"/>
      <c r="D1520"/>
      <c r="G1520"/>
      <c r="L1520"/>
    </row>
    <row r="1521" spans="1:12" x14ac:dyDescent="0.25">
      <c r="A1521"/>
      <c r="B1521"/>
      <c r="D1521"/>
      <c r="G1521"/>
      <c r="L1521"/>
    </row>
    <row r="1522" spans="1:12" x14ac:dyDescent="0.25">
      <c r="A1522"/>
      <c r="B1522"/>
      <c r="D1522"/>
      <c r="G1522"/>
      <c r="L1522"/>
    </row>
    <row r="1523" spans="1:12" x14ac:dyDescent="0.25">
      <c r="A1523"/>
      <c r="B1523"/>
      <c r="D1523"/>
      <c r="G1523"/>
      <c r="L1523"/>
    </row>
    <row r="1524" spans="1:12" x14ac:dyDescent="0.25">
      <c r="A1524"/>
      <c r="B1524"/>
      <c r="D1524"/>
      <c r="G1524"/>
      <c r="L1524"/>
    </row>
    <row r="1525" spans="1:12" x14ac:dyDescent="0.25">
      <c r="A1525"/>
      <c r="B1525"/>
      <c r="D1525"/>
      <c r="G1525"/>
      <c r="L1525"/>
    </row>
    <row r="1526" spans="1:12" x14ac:dyDescent="0.25">
      <c r="A1526"/>
      <c r="B1526"/>
      <c r="D1526"/>
      <c r="G1526"/>
      <c r="L1526"/>
    </row>
    <row r="1527" spans="1:12" x14ac:dyDescent="0.25">
      <c r="A1527"/>
      <c r="B1527"/>
      <c r="D1527"/>
      <c r="G1527"/>
      <c r="L1527"/>
    </row>
    <row r="1528" spans="1:12" x14ac:dyDescent="0.25">
      <c r="A1528"/>
      <c r="B1528"/>
      <c r="D1528"/>
      <c r="G1528"/>
      <c r="L1528"/>
    </row>
    <row r="1529" spans="1:12" x14ac:dyDescent="0.25">
      <c r="A1529"/>
      <c r="B1529"/>
      <c r="D1529"/>
      <c r="G1529"/>
      <c r="L1529"/>
    </row>
    <row r="1530" spans="1:12" x14ac:dyDescent="0.25">
      <c r="A1530"/>
      <c r="B1530"/>
      <c r="D1530"/>
      <c r="G1530"/>
      <c r="L1530"/>
    </row>
    <row r="1531" spans="1:12" x14ac:dyDescent="0.25">
      <c r="A1531"/>
      <c r="B1531"/>
      <c r="D1531"/>
      <c r="G1531"/>
      <c r="L1531"/>
    </row>
    <row r="1532" spans="1:12" x14ac:dyDescent="0.25">
      <c r="A1532"/>
      <c r="B1532"/>
      <c r="D1532"/>
      <c r="G1532"/>
      <c r="L1532"/>
    </row>
    <row r="1533" spans="1:12" x14ac:dyDescent="0.25">
      <c r="A1533"/>
      <c r="B1533"/>
      <c r="D1533"/>
      <c r="G1533"/>
      <c r="L1533"/>
    </row>
    <row r="1534" spans="1:12" x14ac:dyDescent="0.25">
      <c r="A1534"/>
      <c r="B1534"/>
      <c r="D1534"/>
      <c r="G1534"/>
      <c r="L1534"/>
    </row>
    <row r="1535" spans="1:12" x14ac:dyDescent="0.25">
      <c r="A1535"/>
      <c r="B1535"/>
      <c r="D1535"/>
      <c r="G1535"/>
      <c r="L1535"/>
    </row>
    <row r="1536" spans="1:12" x14ac:dyDescent="0.25">
      <c r="A1536"/>
      <c r="B1536"/>
      <c r="D1536"/>
      <c r="G1536"/>
      <c r="L1536"/>
    </row>
    <row r="1537" spans="1:12" x14ac:dyDescent="0.25">
      <c r="A1537"/>
      <c r="B1537"/>
      <c r="D1537"/>
      <c r="G1537"/>
      <c r="L1537"/>
    </row>
    <row r="1538" spans="1:12" x14ac:dyDescent="0.25">
      <c r="A1538"/>
      <c r="B1538"/>
      <c r="D1538"/>
      <c r="G1538"/>
      <c r="L1538"/>
    </row>
    <row r="1539" spans="1:12" x14ac:dyDescent="0.25">
      <c r="A1539"/>
      <c r="B1539"/>
      <c r="D1539"/>
      <c r="G1539"/>
      <c r="L1539"/>
    </row>
    <row r="1540" spans="1:12" x14ac:dyDescent="0.25">
      <c r="A1540"/>
      <c r="B1540"/>
      <c r="D1540"/>
      <c r="G1540"/>
      <c r="L1540"/>
    </row>
    <row r="1541" spans="1:12" x14ac:dyDescent="0.25">
      <c r="A1541"/>
      <c r="B1541"/>
      <c r="D1541"/>
      <c r="G1541"/>
      <c r="L1541"/>
    </row>
    <row r="1542" spans="1:12" x14ac:dyDescent="0.25">
      <c r="A1542"/>
      <c r="B1542"/>
      <c r="D1542"/>
      <c r="G1542"/>
      <c r="L1542"/>
    </row>
    <row r="1543" spans="1:12" x14ac:dyDescent="0.25">
      <c r="A1543"/>
      <c r="B1543"/>
      <c r="D1543"/>
      <c r="G1543"/>
      <c r="L1543"/>
    </row>
    <row r="1544" spans="1:12" x14ac:dyDescent="0.25">
      <c r="A1544"/>
      <c r="B1544"/>
      <c r="D1544"/>
      <c r="G1544"/>
      <c r="L1544"/>
    </row>
    <row r="1545" spans="1:12" x14ac:dyDescent="0.25">
      <c r="A1545"/>
      <c r="B1545"/>
      <c r="D1545"/>
      <c r="G1545"/>
      <c r="L1545"/>
    </row>
    <row r="1546" spans="1:12" x14ac:dyDescent="0.25">
      <c r="A1546"/>
      <c r="B1546"/>
      <c r="D1546"/>
      <c r="G1546"/>
      <c r="L1546"/>
    </row>
    <row r="1547" spans="1:12" x14ac:dyDescent="0.25">
      <c r="A1547"/>
      <c r="B1547"/>
      <c r="D1547"/>
      <c r="G1547"/>
      <c r="L1547"/>
    </row>
    <row r="1548" spans="1:12" x14ac:dyDescent="0.25">
      <c r="A1548"/>
      <c r="B1548"/>
      <c r="D1548"/>
      <c r="G1548"/>
      <c r="L1548"/>
    </row>
    <row r="1549" spans="1:12" x14ac:dyDescent="0.25">
      <c r="A1549"/>
      <c r="B1549"/>
      <c r="D1549"/>
      <c r="G1549"/>
      <c r="L1549"/>
    </row>
    <row r="1550" spans="1:12" x14ac:dyDescent="0.25">
      <c r="A1550"/>
      <c r="B1550"/>
      <c r="D1550"/>
      <c r="G1550"/>
      <c r="L1550"/>
    </row>
    <row r="1551" spans="1:12" x14ac:dyDescent="0.25">
      <c r="A1551"/>
      <c r="B1551"/>
      <c r="D1551"/>
      <c r="G1551"/>
      <c r="L1551"/>
    </row>
    <row r="1552" spans="1:12" x14ac:dyDescent="0.25">
      <c r="A1552"/>
      <c r="B1552"/>
      <c r="D1552"/>
      <c r="G1552"/>
      <c r="L1552"/>
    </row>
    <row r="1553" spans="1:12" x14ac:dyDescent="0.25">
      <c r="A1553"/>
      <c r="B1553"/>
      <c r="D1553"/>
      <c r="G1553"/>
      <c r="L1553"/>
    </row>
    <row r="1554" spans="1:12" x14ac:dyDescent="0.25">
      <c r="A1554"/>
      <c r="B1554"/>
      <c r="D1554"/>
      <c r="G1554"/>
      <c r="L1554"/>
    </row>
    <row r="1555" spans="1:12" x14ac:dyDescent="0.25">
      <c r="A1555"/>
      <c r="B1555"/>
      <c r="D1555"/>
      <c r="G1555"/>
      <c r="L1555"/>
    </row>
    <row r="1556" spans="1:12" x14ac:dyDescent="0.25">
      <c r="A1556"/>
      <c r="B1556"/>
      <c r="D1556"/>
      <c r="G1556"/>
      <c r="L1556"/>
    </row>
    <row r="1557" spans="1:12" x14ac:dyDescent="0.25">
      <c r="A1557"/>
      <c r="B1557"/>
      <c r="D1557"/>
      <c r="G1557"/>
      <c r="L1557"/>
    </row>
    <row r="1558" spans="1:12" x14ac:dyDescent="0.25">
      <c r="A1558"/>
      <c r="B1558"/>
      <c r="D1558"/>
      <c r="G1558"/>
      <c r="L1558"/>
    </row>
    <row r="1559" spans="1:12" x14ac:dyDescent="0.25">
      <c r="A1559"/>
      <c r="B1559"/>
      <c r="D1559"/>
      <c r="G1559"/>
      <c r="L1559"/>
    </row>
    <row r="1560" spans="1:12" x14ac:dyDescent="0.25">
      <c r="A1560"/>
      <c r="B1560"/>
      <c r="D1560"/>
      <c r="G1560"/>
      <c r="L1560"/>
    </row>
    <row r="1561" spans="1:12" x14ac:dyDescent="0.25">
      <c r="A1561"/>
      <c r="B1561"/>
      <c r="D1561"/>
      <c r="G1561"/>
      <c r="L1561"/>
    </row>
    <row r="1562" spans="1:12" x14ac:dyDescent="0.25">
      <c r="A1562"/>
      <c r="B1562"/>
      <c r="D1562"/>
      <c r="G1562"/>
      <c r="L1562"/>
    </row>
    <row r="1563" spans="1:12" x14ac:dyDescent="0.25">
      <c r="A1563"/>
      <c r="B1563"/>
      <c r="D1563"/>
      <c r="G1563"/>
      <c r="L1563"/>
    </row>
    <row r="1564" spans="1:12" x14ac:dyDescent="0.25">
      <c r="A1564"/>
      <c r="B1564"/>
      <c r="D1564"/>
      <c r="G1564"/>
      <c r="L1564"/>
    </row>
    <row r="1565" spans="1:12" x14ac:dyDescent="0.25">
      <c r="A1565"/>
      <c r="B1565"/>
      <c r="D1565"/>
      <c r="G1565"/>
      <c r="L1565"/>
    </row>
    <row r="1566" spans="1:12" x14ac:dyDescent="0.25">
      <c r="A1566"/>
      <c r="B1566"/>
      <c r="D1566"/>
      <c r="G1566"/>
      <c r="L1566"/>
    </row>
    <row r="1567" spans="1:12" x14ac:dyDescent="0.25">
      <c r="A1567"/>
      <c r="B1567"/>
      <c r="D1567"/>
      <c r="G1567"/>
      <c r="L1567"/>
    </row>
    <row r="1568" spans="1:12" x14ac:dyDescent="0.25">
      <c r="A1568"/>
      <c r="B1568"/>
      <c r="D1568"/>
      <c r="G1568"/>
      <c r="L1568"/>
    </row>
    <row r="1569" spans="1:12" x14ac:dyDescent="0.25">
      <c r="A1569"/>
      <c r="B1569"/>
      <c r="D1569"/>
      <c r="G1569"/>
      <c r="L1569"/>
    </row>
    <row r="1570" spans="1:12" x14ac:dyDescent="0.25">
      <c r="A1570"/>
      <c r="B1570"/>
      <c r="D1570"/>
      <c r="G1570"/>
      <c r="L1570"/>
    </row>
    <row r="1571" spans="1:12" x14ac:dyDescent="0.25">
      <c r="A1571"/>
      <c r="B1571"/>
      <c r="D1571"/>
      <c r="G1571"/>
      <c r="L1571"/>
    </row>
    <row r="1572" spans="1:12" x14ac:dyDescent="0.25">
      <c r="A1572"/>
      <c r="B1572"/>
      <c r="D1572"/>
      <c r="G1572"/>
      <c r="L1572"/>
    </row>
    <row r="1573" spans="1:12" x14ac:dyDescent="0.25">
      <c r="A1573"/>
      <c r="B1573"/>
      <c r="D1573"/>
      <c r="G1573"/>
      <c r="L1573"/>
    </row>
    <row r="1574" spans="1:12" x14ac:dyDescent="0.25">
      <c r="A1574"/>
      <c r="B1574"/>
      <c r="D1574"/>
      <c r="G1574"/>
      <c r="L1574"/>
    </row>
    <row r="1575" spans="1:12" x14ac:dyDescent="0.25">
      <c r="A1575"/>
      <c r="B1575"/>
      <c r="D1575"/>
      <c r="G1575"/>
      <c r="L1575"/>
    </row>
    <row r="1576" spans="1:12" x14ac:dyDescent="0.25">
      <c r="A1576"/>
      <c r="B1576"/>
      <c r="D1576"/>
      <c r="G1576"/>
      <c r="L1576"/>
    </row>
    <row r="1577" spans="1:12" x14ac:dyDescent="0.25">
      <c r="A1577"/>
      <c r="B1577"/>
      <c r="D1577"/>
      <c r="G1577"/>
      <c r="L1577"/>
    </row>
    <row r="1578" spans="1:12" x14ac:dyDescent="0.25">
      <c r="A1578"/>
      <c r="B1578"/>
      <c r="D1578"/>
      <c r="G1578"/>
      <c r="L1578"/>
    </row>
    <row r="1579" spans="1:12" x14ac:dyDescent="0.25">
      <c r="A1579"/>
      <c r="B1579"/>
      <c r="D1579"/>
      <c r="G1579"/>
      <c r="L1579"/>
    </row>
    <row r="1580" spans="1:12" x14ac:dyDescent="0.25">
      <c r="A1580"/>
      <c r="B1580"/>
      <c r="D1580"/>
      <c r="G1580"/>
      <c r="L1580"/>
    </row>
    <row r="1581" spans="1:12" x14ac:dyDescent="0.25">
      <c r="A1581"/>
      <c r="B1581"/>
      <c r="D1581"/>
      <c r="G1581"/>
      <c r="L1581"/>
    </row>
    <row r="1582" spans="1:12" x14ac:dyDescent="0.25">
      <c r="A1582"/>
      <c r="B1582"/>
      <c r="D1582"/>
      <c r="G1582"/>
      <c r="L1582"/>
    </row>
    <row r="1583" spans="1:12" x14ac:dyDescent="0.25">
      <c r="A1583"/>
      <c r="B1583"/>
      <c r="D1583"/>
      <c r="G1583"/>
      <c r="L1583"/>
    </row>
    <row r="1584" spans="1:12" x14ac:dyDescent="0.25">
      <c r="A1584"/>
      <c r="B1584"/>
      <c r="D1584"/>
      <c r="G1584"/>
      <c r="L1584"/>
    </row>
    <row r="1585" spans="1:12" x14ac:dyDescent="0.25">
      <c r="A1585"/>
      <c r="B1585"/>
      <c r="D1585"/>
      <c r="G1585"/>
      <c r="L1585"/>
    </row>
    <row r="1586" spans="1:12" x14ac:dyDescent="0.25">
      <c r="A1586"/>
      <c r="B1586"/>
      <c r="D1586"/>
      <c r="G1586"/>
      <c r="L1586"/>
    </row>
    <row r="1587" spans="1:12" x14ac:dyDescent="0.25">
      <c r="A1587"/>
      <c r="B1587"/>
      <c r="D1587"/>
      <c r="G1587"/>
      <c r="L1587"/>
    </row>
    <row r="1588" spans="1:12" x14ac:dyDescent="0.25">
      <c r="A1588"/>
      <c r="B1588"/>
      <c r="D1588"/>
      <c r="G1588"/>
      <c r="L1588"/>
    </row>
    <row r="1589" spans="1:12" x14ac:dyDescent="0.25">
      <c r="A1589"/>
      <c r="B1589"/>
      <c r="D1589"/>
      <c r="G1589"/>
      <c r="L1589"/>
    </row>
    <row r="1590" spans="1:12" x14ac:dyDescent="0.25">
      <c r="A1590"/>
      <c r="B1590"/>
      <c r="D1590"/>
      <c r="G1590"/>
      <c r="L1590"/>
    </row>
    <row r="1591" spans="1:12" x14ac:dyDescent="0.25">
      <c r="A1591"/>
      <c r="B1591"/>
      <c r="D1591"/>
      <c r="G1591"/>
      <c r="L1591"/>
    </row>
    <row r="1592" spans="1:12" x14ac:dyDescent="0.25">
      <c r="A1592"/>
      <c r="B1592"/>
      <c r="D1592"/>
      <c r="G1592"/>
      <c r="L1592"/>
    </row>
    <row r="1593" spans="1:12" x14ac:dyDescent="0.25">
      <c r="A1593"/>
      <c r="B1593"/>
      <c r="D1593"/>
      <c r="G1593"/>
      <c r="L1593"/>
    </row>
    <row r="1594" spans="1:12" x14ac:dyDescent="0.25">
      <c r="A1594"/>
      <c r="B1594"/>
      <c r="D1594"/>
      <c r="G1594"/>
      <c r="L1594"/>
    </row>
    <row r="1595" spans="1:12" x14ac:dyDescent="0.25">
      <c r="A1595"/>
      <c r="B1595"/>
      <c r="D1595"/>
      <c r="G1595"/>
      <c r="L1595"/>
    </row>
    <row r="1596" spans="1:12" x14ac:dyDescent="0.25">
      <c r="A1596"/>
      <c r="B1596"/>
      <c r="D1596"/>
      <c r="G1596"/>
      <c r="L1596"/>
    </row>
    <row r="1597" spans="1:12" x14ac:dyDescent="0.25">
      <c r="A1597"/>
      <c r="B1597"/>
      <c r="D1597"/>
      <c r="G1597"/>
      <c r="L1597"/>
    </row>
    <row r="1598" spans="1:12" x14ac:dyDescent="0.25">
      <c r="A1598"/>
      <c r="B1598"/>
      <c r="D1598"/>
      <c r="G1598"/>
      <c r="L1598"/>
    </row>
    <row r="1599" spans="1:12" x14ac:dyDescent="0.25">
      <c r="A1599"/>
      <c r="B1599"/>
      <c r="D1599"/>
      <c r="G1599"/>
      <c r="L1599"/>
    </row>
    <row r="1600" spans="1:12" x14ac:dyDescent="0.25">
      <c r="A1600"/>
      <c r="B1600"/>
      <c r="D1600"/>
      <c r="G1600"/>
      <c r="L1600"/>
    </row>
    <row r="1601" spans="1:12" x14ac:dyDescent="0.25">
      <c r="A1601"/>
      <c r="B1601"/>
      <c r="D1601"/>
      <c r="G1601"/>
      <c r="L1601"/>
    </row>
    <row r="1602" spans="1:12" x14ac:dyDescent="0.25">
      <c r="A1602"/>
      <c r="B1602"/>
      <c r="D1602"/>
      <c r="G1602"/>
      <c r="L1602"/>
    </row>
    <row r="1603" spans="1:12" x14ac:dyDescent="0.25">
      <c r="A1603"/>
      <c r="B1603"/>
      <c r="D1603"/>
      <c r="G1603"/>
      <c r="L1603"/>
    </row>
    <row r="1604" spans="1:12" x14ac:dyDescent="0.25">
      <c r="A1604"/>
      <c r="B1604"/>
      <c r="D1604"/>
      <c r="G1604"/>
      <c r="L1604"/>
    </row>
    <row r="1605" spans="1:12" x14ac:dyDescent="0.25">
      <c r="A1605"/>
      <c r="B1605"/>
      <c r="D1605"/>
      <c r="G1605"/>
      <c r="L1605"/>
    </row>
    <row r="1606" spans="1:12" x14ac:dyDescent="0.25">
      <c r="A1606"/>
      <c r="B1606"/>
      <c r="D1606"/>
      <c r="G1606"/>
      <c r="L1606"/>
    </row>
    <row r="1607" spans="1:12" x14ac:dyDescent="0.25">
      <c r="A1607"/>
      <c r="B1607"/>
      <c r="D1607"/>
      <c r="G1607"/>
      <c r="L1607"/>
    </row>
    <row r="1608" spans="1:12" x14ac:dyDescent="0.25">
      <c r="A1608"/>
      <c r="B1608"/>
      <c r="D1608"/>
      <c r="G1608"/>
      <c r="L1608"/>
    </row>
    <row r="1609" spans="1:12" x14ac:dyDescent="0.25">
      <c r="A1609"/>
      <c r="B1609"/>
      <c r="D1609"/>
      <c r="G1609"/>
      <c r="L1609"/>
    </row>
    <row r="1610" spans="1:12" x14ac:dyDescent="0.25">
      <c r="A1610"/>
      <c r="B1610"/>
      <c r="D1610"/>
      <c r="G1610"/>
      <c r="L1610"/>
    </row>
    <row r="1611" spans="1:12" x14ac:dyDescent="0.25">
      <c r="A1611"/>
      <c r="B1611"/>
      <c r="D1611"/>
      <c r="G1611"/>
      <c r="L1611"/>
    </row>
    <row r="1612" spans="1:12" x14ac:dyDescent="0.25">
      <c r="A1612"/>
      <c r="B1612"/>
      <c r="D1612"/>
      <c r="G1612"/>
      <c r="L1612"/>
    </row>
    <row r="1613" spans="1:12" x14ac:dyDescent="0.25">
      <c r="A1613"/>
      <c r="B1613"/>
      <c r="D1613"/>
      <c r="G1613"/>
      <c r="L1613"/>
    </row>
    <row r="1614" spans="1:12" x14ac:dyDescent="0.25">
      <c r="A1614"/>
      <c r="B1614"/>
      <c r="D1614"/>
      <c r="G1614"/>
      <c r="L1614"/>
    </row>
    <row r="1615" spans="1:12" x14ac:dyDescent="0.25">
      <c r="A1615"/>
      <c r="B1615"/>
      <c r="D1615"/>
      <c r="G1615"/>
      <c r="L1615"/>
    </row>
    <row r="1616" spans="1:12" x14ac:dyDescent="0.25">
      <c r="A1616"/>
      <c r="B1616"/>
      <c r="D1616"/>
      <c r="G1616"/>
      <c r="L1616"/>
    </row>
    <row r="1617" spans="1:12" x14ac:dyDescent="0.25">
      <c r="A1617"/>
      <c r="B1617"/>
      <c r="D1617"/>
      <c r="G1617"/>
      <c r="L1617"/>
    </row>
    <row r="1618" spans="1:12" x14ac:dyDescent="0.25">
      <c r="A1618"/>
      <c r="B1618"/>
      <c r="D1618"/>
      <c r="G1618"/>
      <c r="L1618"/>
    </row>
    <row r="1619" spans="1:12" x14ac:dyDescent="0.25">
      <c r="A1619"/>
      <c r="B1619"/>
      <c r="D1619"/>
      <c r="G1619"/>
      <c r="L1619"/>
    </row>
    <row r="1620" spans="1:12" x14ac:dyDescent="0.25">
      <c r="A1620"/>
      <c r="B1620"/>
      <c r="D1620"/>
      <c r="G1620"/>
      <c r="L1620"/>
    </row>
    <row r="1621" spans="1:12" x14ac:dyDescent="0.25">
      <c r="A1621"/>
      <c r="B1621"/>
      <c r="D1621"/>
      <c r="G1621"/>
      <c r="L1621"/>
    </row>
    <row r="1622" spans="1:12" x14ac:dyDescent="0.25">
      <c r="A1622"/>
      <c r="B1622"/>
      <c r="D1622"/>
      <c r="G1622"/>
      <c r="L1622"/>
    </row>
    <row r="1623" spans="1:12" x14ac:dyDescent="0.25">
      <c r="A1623"/>
      <c r="B1623"/>
      <c r="D1623"/>
      <c r="G1623"/>
      <c r="L1623"/>
    </row>
    <row r="1624" spans="1:12" x14ac:dyDescent="0.25">
      <c r="A1624"/>
      <c r="B1624"/>
      <c r="D1624"/>
      <c r="G1624"/>
      <c r="L1624"/>
    </row>
    <row r="1625" spans="1:12" x14ac:dyDescent="0.25">
      <c r="A1625"/>
      <c r="B1625"/>
      <c r="D1625"/>
      <c r="G1625"/>
      <c r="L1625"/>
    </row>
    <row r="1626" spans="1:12" x14ac:dyDescent="0.25">
      <c r="A1626"/>
      <c r="B1626"/>
      <c r="D1626"/>
      <c r="G1626"/>
      <c r="L1626"/>
    </row>
    <row r="1627" spans="1:12" x14ac:dyDescent="0.25">
      <c r="A1627"/>
      <c r="B1627"/>
      <c r="D1627"/>
      <c r="G1627"/>
      <c r="L1627"/>
    </row>
    <row r="1628" spans="1:12" x14ac:dyDescent="0.25">
      <c r="A1628"/>
      <c r="B1628"/>
      <c r="D1628"/>
      <c r="G1628"/>
      <c r="L1628"/>
    </row>
    <row r="1629" spans="1:12" x14ac:dyDescent="0.25">
      <c r="A1629"/>
      <c r="B1629"/>
      <c r="D1629"/>
      <c r="G1629"/>
      <c r="L1629"/>
    </row>
    <row r="1630" spans="1:12" x14ac:dyDescent="0.25">
      <c r="A1630"/>
      <c r="B1630"/>
      <c r="D1630"/>
      <c r="G1630"/>
      <c r="L1630"/>
    </row>
    <row r="1631" spans="1:12" x14ac:dyDescent="0.25">
      <c r="A1631"/>
      <c r="B1631"/>
      <c r="D1631"/>
      <c r="G1631"/>
      <c r="L1631"/>
    </row>
    <row r="1632" spans="1:12" x14ac:dyDescent="0.25">
      <c r="A1632"/>
      <c r="B1632"/>
      <c r="D1632"/>
      <c r="G1632"/>
      <c r="L1632"/>
    </row>
    <row r="1633" spans="1:12" x14ac:dyDescent="0.25">
      <c r="A1633"/>
      <c r="B1633"/>
      <c r="D1633"/>
      <c r="G1633"/>
      <c r="L1633"/>
    </row>
    <row r="1634" spans="1:12" x14ac:dyDescent="0.25">
      <c r="A1634"/>
      <c r="B1634"/>
      <c r="D1634"/>
      <c r="G1634"/>
      <c r="L1634"/>
    </row>
    <row r="1635" spans="1:12" x14ac:dyDescent="0.25">
      <c r="A1635"/>
      <c r="B1635"/>
      <c r="D1635"/>
      <c r="G1635"/>
      <c r="L1635"/>
    </row>
    <row r="1636" spans="1:12" x14ac:dyDescent="0.25">
      <c r="A1636"/>
      <c r="B1636"/>
      <c r="D1636"/>
      <c r="G1636"/>
      <c r="L1636"/>
    </row>
    <row r="1637" spans="1:12" x14ac:dyDescent="0.25">
      <c r="A1637"/>
      <c r="B1637"/>
      <c r="D1637"/>
      <c r="G1637"/>
      <c r="L1637"/>
    </row>
    <row r="1638" spans="1:12" x14ac:dyDescent="0.25">
      <c r="A1638"/>
      <c r="B1638"/>
      <c r="D1638"/>
      <c r="G1638"/>
      <c r="L1638"/>
    </row>
    <row r="1639" spans="1:12" x14ac:dyDescent="0.25">
      <c r="A1639"/>
      <c r="B1639"/>
      <c r="D1639"/>
      <c r="G1639"/>
      <c r="L1639"/>
    </row>
    <row r="1640" spans="1:12" x14ac:dyDescent="0.25">
      <c r="A1640"/>
      <c r="B1640"/>
      <c r="D1640"/>
      <c r="G1640"/>
      <c r="L1640"/>
    </row>
    <row r="1641" spans="1:12" x14ac:dyDescent="0.25">
      <c r="A1641"/>
      <c r="B1641"/>
      <c r="D1641"/>
      <c r="G1641"/>
      <c r="L1641"/>
    </row>
    <row r="1642" spans="1:12" x14ac:dyDescent="0.25">
      <c r="A1642"/>
      <c r="B1642"/>
      <c r="D1642"/>
      <c r="G1642"/>
      <c r="L1642"/>
    </row>
    <row r="1643" spans="1:12" x14ac:dyDescent="0.25">
      <c r="A1643"/>
      <c r="B1643"/>
      <c r="D1643"/>
      <c r="G1643"/>
      <c r="L1643"/>
    </row>
    <row r="1644" spans="1:12" x14ac:dyDescent="0.25">
      <c r="A1644"/>
      <c r="B1644"/>
      <c r="D1644"/>
      <c r="G1644"/>
      <c r="L1644"/>
    </row>
    <row r="1645" spans="1:12" x14ac:dyDescent="0.25">
      <c r="A1645"/>
      <c r="B1645"/>
      <c r="D1645"/>
      <c r="G1645"/>
      <c r="L1645"/>
    </row>
    <row r="1646" spans="1:12" x14ac:dyDescent="0.25">
      <c r="A1646"/>
      <c r="B1646"/>
      <c r="D1646"/>
      <c r="G1646"/>
      <c r="L1646"/>
    </row>
    <row r="1647" spans="1:12" x14ac:dyDescent="0.25">
      <c r="A1647"/>
      <c r="B1647"/>
      <c r="D1647"/>
      <c r="G1647"/>
      <c r="L1647"/>
    </row>
    <row r="1648" spans="1:12" x14ac:dyDescent="0.25">
      <c r="A1648"/>
      <c r="B1648"/>
      <c r="D1648"/>
      <c r="G1648"/>
      <c r="L1648"/>
    </row>
    <row r="1649" spans="1:12" x14ac:dyDescent="0.25">
      <c r="A1649"/>
      <c r="B1649"/>
      <c r="D1649"/>
      <c r="G1649"/>
      <c r="L1649"/>
    </row>
    <row r="1650" spans="1:12" x14ac:dyDescent="0.25">
      <c r="A1650"/>
      <c r="B1650"/>
      <c r="D1650"/>
      <c r="G1650"/>
      <c r="L1650"/>
    </row>
    <row r="1651" spans="1:12" x14ac:dyDescent="0.25">
      <c r="A1651"/>
      <c r="B1651"/>
      <c r="D1651"/>
      <c r="G1651"/>
      <c r="L1651"/>
    </row>
    <row r="1652" spans="1:12" x14ac:dyDescent="0.25">
      <c r="A1652"/>
      <c r="B1652"/>
      <c r="D1652"/>
      <c r="G1652"/>
      <c r="L1652"/>
    </row>
    <row r="1653" spans="1:12" x14ac:dyDescent="0.25">
      <c r="A1653"/>
      <c r="B1653"/>
      <c r="D1653"/>
      <c r="G1653"/>
      <c r="L1653"/>
    </row>
    <row r="1654" spans="1:12" x14ac:dyDescent="0.25">
      <c r="A1654"/>
      <c r="B1654"/>
      <c r="D1654"/>
      <c r="G1654"/>
      <c r="L1654"/>
    </row>
    <row r="1655" spans="1:12" x14ac:dyDescent="0.25">
      <c r="A1655"/>
      <c r="B1655"/>
      <c r="D1655"/>
      <c r="G1655"/>
      <c r="L1655"/>
    </row>
    <row r="1656" spans="1:12" x14ac:dyDescent="0.25">
      <c r="A1656"/>
      <c r="B1656"/>
      <c r="D1656"/>
      <c r="G1656"/>
      <c r="L1656"/>
    </row>
    <row r="1657" spans="1:12" x14ac:dyDescent="0.25">
      <c r="A1657"/>
      <c r="B1657"/>
      <c r="D1657"/>
      <c r="G1657"/>
      <c r="L1657"/>
    </row>
    <row r="1658" spans="1:12" x14ac:dyDescent="0.25">
      <c r="A1658"/>
      <c r="B1658"/>
      <c r="D1658"/>
      <c r="G1658"/>
      <c r="L1658"/>
    </row>
    <row r="1659" spans="1:12" x14ac:dyDescent="0.25">
      <c r="A1659"/>
      <c r="B1659"/>
      <c r="D1659"/>
      <c r="G1659"/>
      <c r="L1659"/>
    </row>
    <row r="1660" spans="1:12" x14ac:dyDescent="0.25">
      <c r="A1660"/>
      <c r="B1660"/>
      <c r="D1660"/>
      <c r="G1660"/>
      <c r="L1660"/>
    </row>
    <row r="1661" spans="1:12" x14ac:dyDescent="0.25">
      <c r="A1661"/>
      <c r="B1661"/>
      <c r="D1661"/>
      <c r="G1661"/>
      <c r="L1661"/>
    </row>
    <row r="1662" spans="1:12" x14ac:dyDescent="0.25">
      <c r="A1662"/>
      <c r="B1662"/>
      <c r="D1662"/>
      <c r="G1662"/>
      <c r="L1662"/>
    </row>
    <row r="1663" spans="1:12" x14ac:dyDescent="0.25">
      <c r="A1663"/>
      <c r="B1663"/>
      <c r="D1663"/>
      <c r="G1663"/>
      <c r="L1663"/>
    </row>
    <row r="1664" spans="1:12" x14ac:dyDescent="0.25">
      <c r="A1664"/>
      <c r="B1664"/>
      <c r="D1664"/>
      <c r="G1664"/>
      <c r="L1664"/>
    </row>
    <row r="1665" spans="1:12" x14ac:dyDescent="0.25">
      <c r="A1665"/>
      <c r="B1665"/>
      <c r="D1665"/>
      <c r="G1665"/>
      <c r="L1665"/>
    </row>
    <row r="1666" spans="1:12" x14ac:dyDescent="0.25">
      <c r="A1666"/>
      <c r="B1666"/>
      <c r="D1666"/>
      <c r="G1666"/>
      <c r="L1666"/>
    </row>
    <row r="1667" spans="1:12" x14ac:dyDescent="0.25">
      <c r="A1667"/>
      <c r="B1667"/>
      <c r="D1667"/>
      <c r="G1667"/>
      <c r="L1667"/>
    </row>
    <row r="1668" spans="1:12" x14ac:dyDescent="0.25">
      <c r="A1668"/>
      <c r="B1668"/>
      <c r="D1668"/>
      <c r="G1668"/>
      <c r="L1668"/>
    </row>
    <row r="1669" spans="1:12" x14ac:dyDescent="0.25">
      <c r="A1669"/>
      <c r="B1669"/>
      <c r="D1669"/>
      <c r="G1669"/>
      <c r="L1669"/>
    </row>
    <row r="1670" spans="1:12" x14ac:dyDescent="0.25">
      <c r="A1670"/>
      <c r="B1670"/>
      <c r="D1670"/>
      <c r="G1670"/>
      <c r="L1670"/>
    </row>
    <row r="1671" spans="1:12" x14ac:dyDescent="0.25">
      <c r="A1671"/>
      <c r="B1671"/>
      <c r="D1671"/>
      <c r="G1671"/>
      <c r="L1671"/>
    </row>
    <row r="1672" spans="1:12" x14ac:dyDescent="0.25">
      <c r="A1672"/>
      <c r="B1672"/>
      <c r="D1672"/>
      <c r="G1672"/>
      <c r="L1672"/>
    </row>
    <row r="1673" spans="1:12" x14ac:dyDescent="0.25">
      <c r="A1673"/>
      <c r="B1673"/>
      <c r="D1673"/>
      <c r="G1673"/>
      <c r="L1673"/>
    </row>
    <row r="1674" spans="1:12" x14ac:dyDescent="0.25">
      <c r="A1674"/>
      <c r="B1674"/>
      <c r="D1674"/>
      <c r="G1674"/>
      <c r="L1674"/>
    </row>
    <row r="1675" spans="1:12" x14ac:dyDescent="0.25">
      <c r="A1675"/>
      <c r="B1675"/>
      <c r="D1675"/>
      <c r="G1675"/>
      <c r="L1675"/>
    </row>
    <row r="1676" spans="1:12" x14ac:dyDescent="0.25">
      <c r="A1676"/>
      <c r="B1676"/>
      <c r="D1676"/>
      <c r="G1676"/>
      <c r="L1676"/>
    </row>
    <row r="1677" spans="1:12" x14ac:dyDescent="0.25">
      <c r="A1677"/>
      <c r="B1677"/>
      <c r="D1677"/>
      <c r="G1677"/>
      <c r="L1677"/>
    </row>
    <row r="1678" spans="1:12" x14ac:dyDescent="0.25">
      <c r="A1678"/>
      <c r="B1678"/>
      <c r="D1678"/>
      <c r="G1678"/>
      <c r="L1678"/>
    </row>
    <row r="1679" spans="1:12" x14ac:dyDescent="0.25">
      <c r="A1679"/>
      <c r="B1679"/>
      <c r="D1679"/>
      <c r="G1679"/>
      <c r="L1679"/>
    </row>
    <row r="1680" spans="1:12" x14ac:dyDescent="0.25">
      <c r="A1680"/>
      <c r="B1680"/>
      <c r="D1680"/>
      <c r="G1680"/>
      <c r="L1680"/>
    </row>
    <row r="1681" spans="1:12" x14ac:dyDescent="0.25">
      <c r="A1681"/>
      <c r="B1681"/>
      <c r="D1681"/>
      <c r="G1681"/>
      <c r="L1681"/>
    </row>
    <row r="1682" spans="1:12" x14ac:dyDescent="0.25">
      <c r="A1682"/>
      <c r="B1682"/>
      <c r="D1682"/>
      <c r="G1682"/>
      <c r="L1682"/>
    </row>
    <row r="1683" spans="1:12" x14ac:dyDescent="0.25">
      <c r="A1683"/>
      <c r="B1683"/>
      <c r="D1683"/>
      <c r="G1683"/>
      <c r="L1683"/>
    </row>
    <row r="1684" spans="1:12" x14ac:dyDescent="0.25">
      <c r="A1684"/>
      <c r="B1684"/>
      <c r="D1684"/>
      <c r="G1684"/>
      <c r="L1684"/>
    </row>
    <row r="1685" spans="1:12" x14ac:dyDescent="0.25">
      <c r="A1685"/>
      <c r="B1685"/>
      <c r="D1685"/>
      <c r="G1685"/>
      <c r="L1685"/>
    </row>
    <row r="1686" spans="1:12" x14ac:dyDescent="0.25">
      <c r="A1686"/>
      <c r="B1686"/>
      <c r="D1686"/>
      <c r="G1686"/>
      <c r="L1686"/>
    </row>
    <row r="1687" spans="1:12" x14ac:dyDescent="0.25">
      <c r="A1687"/>
      <c r="B1687"/>
      <c r="D1687"/>
      <c r="G1687"/>
      <c r="L1687"/>
    </row>
    <row r="1688" spans="1:12" x14ac:dyDescent="0.25">
      <c r="A1688"/>
      <c r="B1688"/>
      <c r="D1688"/>
      <c r="G1688"/>
      <c r="L1688"/>
    </row>
    <row r="1689" spans="1:12" x14ac:dyDescent="0.25">
      <c r="A1689"/>
      <c r="B1689"/>
      <c r="D1689"/>
      <c r="G1689"/>
      <c r="L1689"/>
    </row>
    <row r="1690" spans="1:12" x14ac:dyDescent="0.25">
      <c r="A1690"/>
      <c r="B1690"/>
      <c r="D1690"/>
      <c r="G1690"/>
      <c r="L1690"/>
    </row>
    <row r="1691" spans="1:12" x14ac:dyDescent="0.25">
      <c r="A1691"/>
      <c r="B1691"/>
      <c r="D1691"/>
      <c r="G1691"/>
      <c r="L1691"/>
    </row>
    <row r="1692" spans="1:12" x14ac:dyDescent="0.25">
      <c r="A1692"/>
      <c r="B1692"/>
      <c r="D1692"/>
      <c r="G1692"/>
      <c r="L1692"/>
    </row>
    <row r="1693" spans="1:12" x14ac:dyDescent="0.25">
      <c r="A1693"/>
      <c r="B1693"/>
      <c r="D1693"/>
      <c r="G1693"/>
      <c r="L1693"/>
    </row>
    <row r="1694" spans="1:12" x14ac:dyDescent="0.25">
      <c r="A1694"/>
      <c r="B1694"/>
      <c r="D1694"/>
      <c r="G1694"/>
      <c r="L1694"/>
    </row>
    <row r="1695" spans="1:12" x14ac:dyDescent="0.25">
      <c r="A1695"/>
      <c r="B1695"/>
      <c r="D1695"/>
      <c r="G1695"/>
      <c r="L1695"/>
    </row>
    <row r="1696" spans="1:12" x14ac:dyDescent="0.25">
      <c r="A1696"/>
      <c r="B1696"/>
      <c r="D1696"/>
      <c r="G1696"/>
      <c r="L1696"/>
    </row>
    <row r="1697" spans="1:12" x14ac:dyDescent="0.25">
      <c r="A1697"/>
      <c r="B1697"/>
      <c r="D1697"/>
      <c r="G1697"/>
      <c r="L1697"/>
    </row>
    <row r="1698" spans="1:12" x14ac:dyDescent="0.25">
      <c r="A1698"/>
      <c r="B1698"/>
      <c r="D1698"/>
      <c r="G1698"/>
      <c r="L1698"/>
    </row>
    <row r="1699" spans="1:12" x14ac:dyDescent="0.25">
      <c r="A1699"/>
      <c r="B1699"/>
      <c r="D1699"/>
      <c r="G1699"/>
      <c r="L1699"/>
    </row>
    <row r="1700" spans="1:12" x14ac:dyDescent="0.25">
      <c r="A1700"/>
      <c r="B1700"/>
      <c r="D1700"/>
      <c r="G1700"/>
      <c r="L1700"/>
    </row>
    <row r="1701" spans="1:12" x14ac:dyDescent="0.25">
      <c r="A1701"/>
      <c r="B1701"/>
      <c r="D1701"/>
      <c r="G1701"/>
      <c r="L1701"/>
    </row>
    <row r="1702" spans="1:12" x14ac:dyDescent="0.25">
      <c r="A1702"/>
      <c r="B1702"/>
      <c r="D1702"/>
      <c r="G1702"/>
      <c r="L1702"/>
    </row>
    <row r="1703" spans="1:12" x14ac:dyDescent="0.25">
      <c r="A1703"/>
      <c r="B1703"/>
      <c r="D1703"/>
      <c r="G1703"/>
      <c r="L1703"/>
    </row>
    <row r="1704" spans="1:12" x14ac:dyDescent="0.25">
      <c r="A1704"/>
      <c r="B1704"/>
      <c r="D1704"/>
      <c r="G1704"/>
      <c r="L1704"/>
    </row>
    <row r="1705" spans="1:12" x14ac:dyDescent="0.25">
      <c r="A1705"/>
      <c r="B1705"/>
      <c r="D1705"/>
      <c r="G1705"/>
      <c r="L1705"/>
    </row>
    <row r="1706" spans="1:12" x14ac:dyDescent="0.25">
      <c r="A1706"/>
      <c r="B1706"/>
      <c r="D1706"/>
      <c r="G1706"/>
      <c r="L1706"/>
    </row>
    <row r="1707" spans="1:12" x14ac:dyDescent="0.25">
      <c r="A1707"/>
      <c r="B1707"/>
      <c r="D1707"/>
      <c r="G1707"/>
      <c r="L1707"/>
    </row>
    <row r="1708" spans="1:12" x14ac:dyDescent="0.25">
      <c r="A1708"/>
      <c r="B1708"/>
      <c r="D1708"/>
      <c r="G1708"/>
      <c r="L1708"/>
    </row>
    <row r="1709" spans="1:12" x14ac:dyDescent="0.25">
      <c r="A1709"/>
      <c r="B1709"/>
      <c r="D1709"/>
      <c r="G1709"/>
      <c r="L1709"/>
    </row>
    <row r="1710" spans="1:12" x14ac:dyDescent="0.25">
      <c r="A1710"/>
      <c r="B1710"/>
      <c r="D1710"/>
      <c r="G1710"/>
      <c r="L1710"/>
    </row>
    <row r="1711" spans="1:12" x14ac:dyDescent="0.25">
      <c r="A1711"/>
      <c r="B1711"/>
      <c r="D1711"/>
      <c r="G1711"/>
      <c r="L1711"/>
    </row>
    <row r="1712" spans="1:12" x14ac:dyDescent="0.25">
      <c r="A1712"/>
      <c r="B1712"/>
      <c r="D1712"/>
      <c r="G1712"/>
      <c r="L1712"/>
    </row>
    <row r="1713" spans="1:12" x14ac:dyDescent="0.25">
      <c r="A1713"/>
      <c r="B1713"/>
      <c r="D1713"/>
      <c r="G1713"/>
      <c r="L1713"/>
    </row>
    <row r="1714" spans="1:12" x14ac:dyDescent="0.25">
      <c r="A1714"/>
      <c r="B1714"/>
      <c r="D1714"/>
      <c r="G1714"/>
      <c r="L1714"/>
    </row>
    <row r="1715" spans="1:12" x14ac:dyDescent="0.25">
      <c r="A1715"/>
      <c r="B1715"/>
      <c r="D1715"/>
      <c r="G1715"/>
      <c r="L1715"/>
    </row>
    <row r="1716" spans="1:12" x14ac:dyDescent="0.25">
      <c r="A1716"/>
      <c r="B1716"/>
      <c r="D1716"/>
      <c r="G1716"/>
      <c r="L1716"/>
    </row>
    <row r="1717" spans="1:12" x14ac:dyDescent="0.25">
      <c r="A1717"/>
      <c r="B1717"/>
      <c r="D1717"/>
      <c r="G1717"/>
      <c r="L1717"/>
    </row>
    <row r="1718" spans="1:12" x14ac:dyDescent="0.25">
      <c r="A1718"/>
      <c r="B1718"/>
      <c r="D1718"/>
      <c r="G1718"/>
      <c r="L1718"/>
    </row>
    <row r="1719" spans="1:12" x14ac:dyDescent="0.25">
      <c r="A1719"/>
      <c r="B1719"/>
      <c r="D1719"/>
      <c r="G1719"/>
      <c r="L1719"/>
    </row>
    <row r="1720" spans="1:12" x14ac:dyDescent="0.25">
      <c r="A1720"/>
      <c r="B1720"/>
      <c r="D1720"/>
      <c r="G1720"/>
      <c r="L1720"/>
    </row>
    <row r="1721" spans="1:12" x14ac:dyDescent="0.25">
      <c r="A1721"/>
      <c r="B1721"/>
      <c r="D1721"/>
      <c r="G1721"/>
      <c r="L1721"/>
    </row>
    <row r="1722" spans="1:12" x14ac:dyDescent="0.25">
      <c r="A1722"/>
      <c r="B1722"/>
      <c r="D1722"/>
      <c r="G1722"/>
      <c r="L1722"/>
    </row>
    <row r="1723" spans="1:12" x14ac:dyDescent="0.25">
      <c r="A1723"/>
      <c r="B1723"/>
      <c r="D1723"/>
      <c r="G1723"/>
      <c r="L1723"/>
    </row>
    <row r="1724" spans="1:12" x14ac:dyDescent="0.25">
      <c r="A1724"/>
      <c r="B1724"/>
      <c r="D1724"/>
      <c r="G1724"/>
      <c r="L1724"/>
    </row>
    <row r="1725" spans="1:12" x14ac:dyDescent="0.25">
      <c r="A1725"/>
      <c r="B1725"/>
      <c r="D1725"/>
      <c r="G1725"/>
      <c r="L1725"/>
    </row>
    <row r="1726" spans="1:12" x14ac:dyDescent="0.25">
      <c r="A1726"/>
      <c r="B1726"/>
      <c r="D1726"/>
      <c r="G1726"/>
      <c r="L1726"/>
    </row>
    <row r="1727" spans="1:12" x14ac:dyDescent="0.25">
      <c r="A1727"/>
      <c r="B1727"/>
      <c r="D1727"/>
      <c r="G1727"/>
      <c r="L1727"/>
    </row>
    <row r="1728" spans="1:12" x14ac:dyDescent="0.25">
      <c r="A1728"/>
      <c r="B1728"/>
      <c r="D1728"/>
      <c r="G1728"/>
      <c r="L1728"/>
    </row>
    <row r="1729" spans="1:12" x14ac:dyDescent="0.25">
      <c r="A1729"/>
      <c r="B1729"/>
      <c r="D1729"/>
      <c r="G1729"/>
      <c r="L1729"/>
    </row>
    <row r="1730" spans="1:12" x14ac:dyDescent="0.25">
      <c r="A1730"/>
      <c r="B1730"/>
      <c r="D1730"/>
      <c r="G1730"/>
      <c r="L1730"/>
    </row>
    <row r="1731" spans="1:12" x14ac:dyDescent="0.25">
      <c r="A1731"/>
      <c r="B1731"/>
      <c r="D1731"/>
      <c r="G1731"/>
      <c r="L1731"/>
    </row>
    <row r="1732" spans="1:12" x14ac:dyDescent="0.25">
      <c r="A1732"/>
      <c r="B1732"/>
      <c r="D1732"/>
      <c r="G1732"/>
      <c r="L1732"/>
    </row>
    <row r="1733" spans="1:12" x14ac:dyDescent="0.25">
      <c r="A1733"/>
      <c r="B1733"/>
      <c r="D1733"/>
      <c r="G1733"/>
      <c r="L1733"/>
    </row>
    <row r="1734" spans="1:12" x14ac:dyDescent="0.25">
      <c r="A1734"/>
      <c r="B1734"/>
      <c r="D1734"/>
      <c r="G1734"/>
      <c r="L1734"/>
    </row>
    <row r="1735" spans="1:12" x14ac:dyDescent="0.25">
      <c r="A1735"/>
      <c r="B1735"/>
      <c r="D1735"/>
      <c r="G1735"/>
      <c r="L1735"/>
    </row>
    <row r="1736" spans="1:12" x14ac:dyDescent="0.25">
      <c r="A1736"/>
      <c r="B1736"/>
      <c r="D1736"/>
      <c r="G1736"/>
      <c r="L1736"/>
    </row>
    <row r="1737" spans="1:12" x14ac:dyDescent="0.25">
      <c r="A1737"/>
      <c r="B1737"/>
      <c r="D1737"/>
      <c r="G1737"/>
      <c r="L1737"/>
    </row>
    <row r="1738" spans="1:12" x14ac:dyDescent="0.25">
      <c r="A1738"/>
      <c r="B1738"/>
      <c r="D1738"/>
      <c r="G1738"/>
      <c r="L1738"/>
    </row>
    <row r="1739" spans="1:12" x14ac:dyDescent="0.25">
      <c r="A1739"/>
      <c r="B1739"/>
      <c r="D1739"/>
      <c r="G1739"/>
      <c r="L1739"/>
    </row>
    <row r="1740" spans="1:12" x14ac:dyDescent="0.25">
      <c r="A1740"/>
      <c r="B1740"/>
      <c r="D1740"/>
      <c r="G1740"/>
      <c r="L1740"/>
    </row>
    <row r="1741" spans="1:12" x14ac:dyDescent="0.25">
      <c r="A1741"/>
      <c r="B1741"/>
      <c r="D1741"/>
      <c r="G1741"/>
      <c r="L1741"/>
    </row>
    <row r="1742" spans="1:12" x14ac:dyDescent="0.25">
      <c r="A1742"/>
      <c r="B1742"/>
      <c r="D1742"/>
      <c r="G1742"/>
      <c r="L1742"/>
    </row>
    <row r="1743" spans="1:12" x14ac:dyDescent="0.25">
      <c r="A1743"/>
      <c r="B1743"/>
      <c r="D1743"/>
      <c r="G1743"/>
      <c r="L1743"/>
    </row>
    <row r="1744" spans="1:12" x14ac:dyDescent="0.25">
      <c r="A1744"/>
      <c r="B1744"/>
      <c r="D1744"/>
      <c r="G1744"/>
      <c r="L1744"/>
    </row>
    <row r="1745" spans="1:12" x14ac:dyDescent="0.25">
      <c r="A1745"/>
      <c r="B1745"/>
      <c r="D1745"/>
      <c r="G1745"/>
      <c r="L1745"/>
    </row>
    <row r="1746" spans="1:12" x14ac:dyDescent="0.25">
      <c r="A1746"/>
      <c r="B1746"/>
      <c r="D1746"/>
      <c r="G1746"/>
      <c r="L1746"/>
    </row>
    <row r="1747" spans="1:12" x14ac:dyDescent="0.25">
      <c r="A1747"/>
      <c r="B1747"/>
      <c r="D1747"/>
      <c r="G1747"/>
      <c r="L1747"/>
    </row>
    <row r="1748" spans="1:12" x14ac:dyDescent="0.25">
      <c r="A1748"/>
      <c r="B1748"/>
      <c r="D1748"/>
      <c r="G1748"/>
      <c r="L1748"/>
    </row>
    <row r="1749" spans="1:12" x14ac:dyDescent="0.25">
      <c r="A1749"/>
      <c r="B1749"/>
      <c r="D1749"/>
      <c r="G1749"/>
      <c r="L1749"/>
    </row>
    <row r="1750" spans="1:12" x14ac:dyDescent="0.25">
      <c r="A1750"/>
      <c r="B1750"/>
      <c r="D1750"/>
      <c r="G1750"/>
      <c r="L1750"/>
    </row>
    <row r="1751" spans="1:12" x14ac:dyDescent="0.25">
      <c r="A1751"/>
      <c r="B1751"/>
      <c r="D1751"/>
      <c r="G1751"/>
      <c r="L1751"/>
    </row>
    <row r="1752" spans="1:12" x14ac:dyDescent="0.25">
      <c r="A1752"/>
      <c r="B1752"/>
      <c r="D1752"/>
      <c r="G1752"/>
      <c r="L1752"/>
    </row>
    <row r="1753" spans="1:12" x14ac:dyDescent="0.25">
      <c r="A1753"/>
      <c r="B1753"/>
      <c r="D1753"/>
      <c r="G1753"/>
      <c r="L1753"/>
    </row>
    <row r="1754" spans="1:12" x14ac:dyDescent="0.25">
      <c r="A1754"/>
      <c r="B1754"/>
      <c r="D1754"/>
      <c r="G1754"/>
      <c r="L1754"/>
    </row>
    <row r="1755" spans="1:12" x14ac:dyDescent="0.25">
      <c r="A1755"/>
      <c r="B1755"/>
      <c r="D1755"/>
      <c r="G1755"/>
      <c r="L1755"/>
    </row>
    <row r="1756" spans="1:12" x14ac:dyDescent="0.25">
      <c r="A1756"/>
      <c r="B1756"/>
      <c r="D1756"/>
      <c r="G1756"/>
      <c r="L1756"/>
    </row>
    <row r="1757" spans="1:12" x14ac:dyDescent="0.25">
      <c r="A1757"/>
      <c r="B1757"/>
      <c r="D1757"/>
      <c r="G1757"/>
      <c r="L1757"/>
    </row>
    <row r="1758" spans="1:12" x14ac:dyDescent="0.25">
      <c r="A1758"/>
      <c r="B1758"/>
      <c r="D1758"/>
      <c r="G1758"/>
      <c r="L1758"/>
    </row>
    <row r="1759" spans="1:12" x14ac:dyDescent="0.25">
      <c r="A1759"/>
      <c r="B1759"/>
      <c r="D1759"/>
      <c r="G1759"/>
      <c r="L1759"/>
    </row>
    <row r="1760" spans="1:12" x14ac:dyDescent="0.25">
      <c r="A1760"/>
      <c r="B1760"/>
      <c r="D1760"/>
      <c r="G1760"/>
      <c r="L1760"/>
    </row>
    <row r="1761" spans="1:12" x14ac:dyDescent="0.25">
      <c r="A1761"/>
      <c r="B1761"/>
      <c r="D1761"/>
      <c r="G1761"/>
      <c r="L1761"/>
    </row>
    <row r="1762" spans="1:12" x14ac:dyDescent="0.25">
      <c r="A1762"/>
      <c r="B1762"/>
      <c r="D1762"/>
      <c r="G1762"/>
      <c r="L1762"/>
    </row>
    <row r="1763" spans="1:12" x14ac:dyDescent="0.25">
      <c r="A1763"/>
      <c r="B1763"/>
      <c r="D1763"/>
      <c r="G1763"/>
      <c r="L1763"/>
    </row>
    <row r="1764" spans="1:12" x14ac:dyDescent="0.25">
      <c r="A1764"/>
      <c r="B1764"/>
      <c r="D1764"/>
      <c r="G1764"/>
      <c r="L1764"/>
    </row>
    <row r="1765" spans="1:12" x14ac:dyDescent="0.25">
      <c r="A1765"/>
      <c r="B1765"/>
      <c r="D1765"/>
      <c r="G1765"/>
      <c r="L1765"/>
    </row>
    <row r="1766" spans="1:12" x14ac:dyDescent="0.25">
      <c r="A1766"/>
      <c r="B1766"/>
      <c r="D1766"/>
      <c r="G1766"/>
      <c r="L1766"/>
    </row>
    <row r="1767" spans="1:12" x14ac:dyDescent="0.25">
      <c r="A1767"/>
      <c r="B1767"/>
      <c r="D1767"/>
      <c r="G1767"/>
      <c r="L1767"/>
    </row>
    <row r="1768" spans="1:12" x14ac:dyDescent="0.25">
      <c r="A1768"/>
      <c r="B1768"/>
      <c r="D1768"/>
      <c r="G1768"/>
      <c r="L1768"/>
    </row>
    <row r="1769" spans="1:12" x14ac:dyDescent="0.25">
      <c r="A1769"/>
      <c r="B1769"/>
      <c r="D1769"/>
      <c r="G1769"/>
      <c r="L1769"/>
    </row>
    <row r="1770" spans="1:12" x14ac:dyDescent="0.25">
      <c r="A1770"/>
      <c r="B1770"/>
      <c r="D1770"/>
      <c r="G1770"/>
      <c r="L1770"/>
    </row>
    <row r="1771" spans="1:12" x14ac:dyDescent="0.25">
      <c r="A1771"/>
      <c r="B1771"/>
      <c r="D1771"/>
      <c r="G1771"/>
      <c r="L1771"/>
    </row>
    <row r="1772" spans="1:12" x14ac:dyDescent="0.25">
      <c r="A1772"/>
      <c r="B1772"/>
      <c r="D1772"/>
      <c r="G1772"/>
      <c r="L1772"/>
    </row>
    <row r="1773" spans="1:12" x14ac:dyDescent="0.25">
      <c r="A1773"/>
      <c r="B1773"/>
      <c r="D1773"/>
      <c r="G1773"/>
      <c r="L1773"/>
    </row>
    <row r="1774" spans="1:12" x14ac:dyDescent="0.25">
      <c r="A1774"/>
      <c r="B1774"/>
      <c r="D1774"/>
      <c r="G1774"/>
      <c r="L1774"/>
    </row>
    <row r="1775" spans="1:12" x14ac:dyDescent="0.25">
      <c r="A1775"/>
      <c r="B1775"/>
      <c r="D1775"/>
      <c r="G1775"/>
      <c r="L1775"/>
    </row>
    <row r="1776" spans="1:12" x14ac:dyDescent="0.25">
      <c r="A1776"/>
      <c r="B1776"/>
      <c r="D1776"/>
      <c r="G1776"/>
      <c r="L1776"/>
    </row>
    <row r="1777" spans="1:12" x14ac:dyDescent="0.25">
      <c r="A1777"/>
      <c r="B1777"/>
      <c r="D1777"/>
      <c r="G1777"/>
      <c r="L1777"/>
    </row>
    <row r="1778" spans="1:12" x14ac:dyDescent="0.25">
      <c r="A1778"/>
      <c r="B1778"/>
      <c r="D1778"/>
      <c r="G1778"/>
      <c r="L1778"/>
    </row>
    <row r="1779" spans="1:12" x14ac:dyDescent="0.25">
      <c r="A1779"/>
      <c r="B1779"/>
      <c r="D1779"/>
      <c r="G1779"/>
      <c r="L1779"/>
    </row>
    <row r="1780" spans="1:12" x14ac:dyDescent="0.25">
      <c r="A1780"/>
      <c r="B1780"/>
      <c r="D1780"/>
      <c r="G1780"/>
      <c r="L1780"/>
    </row>
    <row r="1781" spans="1:12" x14ac:dyDescent="0.25">
      <c r="A1781"/>
      <c r="B1781"/>
      <c r="D1781"/>
      <c r="G1781"/>
      <c r="L1781"/>
    </row>
    <row r="1782" spans="1:12" x14ac:dyDescent="0.25">
      <c r="A1782"/>
      <c r="B1782"/>
      <c r="D1782"/>
      <c r="G1782"/>
      <c r="L1782"/>
    </row>
    <row r="1783" spans="1:12" x14ac:dyDescent="0.25">
      <c r="A1783"/>
      <c r="B1783"/>
      <c r="D1783"/>
      <c r="G1783"/>
      <c r="L1783"/>
    </row>
    <row r="1784" spans="1:12" x14ac:dyDescent="0.25">
      <c r="A1784"/>
      <c r="B1784"/>
      <c r="D1784"/>
      <c r="G1784"/>
      <c r="L1784"/>
    </row>
    <row r="1785" spans="1:12" x14ac:dyDescent="0.25">
      <c r="A1785"/>
      <c r="B1785"/>
      <c r="D1785"/>
      <c r="G1785"/>
      <c r="L1785"/>
    </row>
    <row r="1786" spans="1:12" x14ac:dyDescent="0.25">
      <c r="A1786"/>
      <c r="B1786"/>
      <c r="D1786"/>
      <c r="G1786"/>
      <c r="L1786"/>
    </row>
    <row r="1787" spans="1:12" x14ac:dyDescent="0.25">
      <c r="A1787"/>
      <c r="B1787"/>
      <c r="D1787"/>
      <c r="G1787"/>
      <c r="L1787"/>
    </row>
    <row r="1788" spans="1:12" x14ac:dyDescent="0.25">
      <c r="A1788"/>
      <c r="B1788"/>
      <c r="D1788"/>
      <c r="G1788"/>
      <c r="L1788"/>
    </row>
    <row r="1789" spans="1:12" x14ac:dyDescent="0.25">
      <c r="A1789"/>
      <c r="B1789"/>
      <c r="D1789"/>
      <c r="G1789"/>
      <c r="L1789"/>
    </row>
    <row r="1790" spans="1:12" x14ac:dyDescent="0.25">
      <c r="A1790"/>
      <c r="B1790"/>
      <c r="D1790"/>
      <c r="G1790"/>
      <c r="L1790"/>
    </row>
    <row r="1791" spans="1:12" x14ac:dyDescent="0.25">
      <c r="A1791"/>
      <c r="B1791"/>
      <c r="D1791"/>
      <c r="G1791"/>
      <c r="L1791"/>
    </row>
    <row r="1792" spans="1:12" x14ac:dyDescent="0.25">
      <c r="A1792"/>
      <c r="B1792"/>
      <c r="D1792"/>
      <c r="G1792"/>
      <c r="L1792"/>
    </row>
    <row r="1793" spans="1:12" x14ac:dyDescent="0.25">
      <c r="A1793"/>
      <c r="B1793"/>
      <c r="D1793"/>
      <c r="G1793"/>
      <c r="L1793"/>
    </row>
    <row r="1794" spans="1:12" x14ac:dyDescent="0.25">
      <c r="A1794"/>
      <c r="B1794"/>
      <c r="D1794"/>
      <c r="G1794"/>
      <c r="L1794"/>
    </row>
    <row r="1795" spans="1:12" x14ac:dyDescent="0.25">
      <c r="A1795"/>
      <c r="B1795"/>
      <c r="D1795"/>
      <c r="G1795"/>
      <c r="L1795"/>
    </row>
    <row r="1796" spans="1:12" x14ac:dyDescent="0.25">
      <c r="A1796"/>
      <c r="B1796"/>
      <c r="D1796"/>
      <c r="G1796"/>
      <c r="L1796"/>
    </row>
    <row r="1797" spans="1:12" x14ac:dyDescent="0.25">
      <c r="A1797"/>
      <c r="B1797"/>
      <c r="D1797"/>
      <c r="G1797"/>
      <c r="L1797"/>
    </row>
    <row r="1798" spans="1:12" x14ac:dyDescent="0.25">
      <c r="A1798"/>
      <c r="B1798"/>
      <c r="D1798"/>
      <c r="G1798"/>
      <c r="L1798"/>
    </row>
    <row r="1799" spans="1:12" x14ac:dyDescent="0.25">
      <c r="A1799"/>
      <c r="B1799"/>
      <c r="D1799"/>
      <c r="G1799"/>
      <c r="L1799"/>
    </row>
    <row r="1800" spans="1:12" x14ac:dyDescent="0.25">
      <c r="A1800"/>
      <c r="B1800"/>
      <c r="D1800"/>
      <c r="G1800"/>
      <c r="L1800"/>
    </row>
    <row r="1801" spans="1:12" x14ac:dyDescent="0.25">
      <c r="A1801"/>
      <c r="B1801"/>
      <c r="D1801"/>
      <c r="G1801"/>
      <c r="L1801"/>
    </row>
    <row r="1802" spans="1:12" x14ac:dyDescent="0.25">
      <c r="A1802"/>
      <c r="B1802"/>
      <c r="D1802"/>
      <c r="G1802"/>
      <c r="L1802"/>
    </row>
    <row r="1803" spans="1:12" x14ac:dyDescent="0.25">
      <c r="A1803"/>
      <c r="B1803"/>
      <c r="D1803"/>
      <c r="G1803"/>
      <c r="L1803"/>
    </row>
    <row r="1804" spans="1:12" x14ac:dyDescent="0.25">
      <c r="A1804"/>
      <c r="B1804"/>
      <c r="D1804"/>
      <c r="G1804"/>
      <c r="L1804"/>
    </row>
    <row r="1805" spans="1:12" x14ac:dyDescent="0.25">
      <c r="A1805"/>
      <c r="B1805"/>
      <c r="D1805"/>
      <c r="G1805"/>
      <c r="L1805"/>
    </row>
    <row r="1806" spans="1:12" x14ac:dyDescent="0.25">
      <c r="A1806"/>
      <c r="B1806"/>
      <c r="D1806"/>
      <c r="G1806"/>
      <c r="L1806"/>
    </row>
    <row r="1807" spans="1:12" x14ac:dyDescent="0.25">
      <c r="A1807"/>
      <c r="B1807"/>
      <c r="D1807"/>
      <c r="G1807"/>
      <c r="L1807"/>
    </row>
    <row r="1808" spans="1:12" x14ac:dyDescent="0.25">
      <c r="A1808"/>
      <c r="B1808"/>
      <c r="D1808"/>
      <c r="G1808"/>
      <c r="L1808"/>
    </row>
    <row r="1809" spans="1:12" x14ac:dyDescent="0.25">
      <c r="A1809"/>
      <c r="B1809"/>
      <c r="D1809"/>
      <c r="G1809"/>
      <c r="L1809"/>
    </row>
    <row r="1810" spans="1:12" x14ac:dyDescent="0.25">
      <c r="A1810"/>
      <c r="B1810"/>
      <c r="D1810"/>
      <c r="G1810"/>
      <c r="L1810"/>
    </row>
    <row r="1811" spans="1:12" x14ac:dyDescent="0.25">
      <c r="A1811"/>
      <c r="B1811"/>
      <c r="D1811"/>
      <c r="G1811"/>
      <c r="L1811"/>
    </row>
    <row r="1812" spans="1:12" x14ac:dyDescent="0.25">
      <c r="A1812"/>
      <c r="B1812"/>
      <c r="D1812"/>
      <c r="G1812"/>
      <c r="L1812"/>
    </row>
    <row r="1813" spans="1:12" x14ac:dyDescent="0.25">
      <c r="A1813"/>
      <c r="B1813"/>
      <c r="D1813"/>
      <c r="G1813"/>
      <c r="L1813"/>
    </row>
    <row r="1814" spans="1:12" x14ac:dyDescent="0.25">
      <c r="A1814"/>
      <c r="B1814"/>
      <c r="D1814"/>
      <c r="G1814"/>
      <c r="L1814"/>
    </row>
    <row r="1815" spans="1:12" x14ac:dyDescent="0.25">
      <c r="A1815"/>
      <c r="B1815"/>
      <c r="D1815"/>
      <c r="G1815"/>
      <c r="L1815"/>
    </row>
    <row r="1816" spans="1:12" x14ac:dyDescent="0.25">
      <c r="A1816"/>
      <c r="B1816"/>
      <c r="D1816"/>
      <c r="G1816"/>
      <c r="L1816"/>
    </row>
    <row r="1817" spans="1:12" x14ac:dyDescent="0.25">
      <c r="A1817"/>
      <c r="B1817"/>
      <c r="D1817"/>
      <c r="G1817"/>
      <c r="L1817"/>
    </row>
    <row r="1818" spans="1:12" x14ac:dyDescent="0.25">
      <c r="A1818"/>
      <c r="B1818"/>
      <c r="D1818"/>
      <c r="G1818"/>
      <c r="L1818"/>
    </row>
    <row r="1819" spans="1:12" x14ac:dyDescent="0.25">
      <c r="A1819"/>
      <c r="B1819"/>
      <c r="D1819"/>
      <c r="G1819"/>
      <c r="L1819"/>
    </row>
    <row r="1820" spans="1:12" x14ac:dyDescent="0.25">
      <c r="A1820"/>
      <c r="B1820"/>
      <c r="D1820"/>
      <c r="G1820"/>
      <c r="L1820"/>
    </row>
    <row r="1821" spans="1:12" x14ac:dyDescent="0.25">
      <c r="A1821"/>
      <c r="B1821"/>
      <c r="D1821"/>
      <c r="G1821"/>
      <c r="L1821"/>
    </row>
    <row r="1822" spans="1:12" x14ac:dyDescent="0.25">
      <c r="A1822"/>
      <c r="B1822"/>
      <c r="D1822"/>
      <c r="G1822"/>
      <c r="L1822"/>
    </row>
    <row r="1823" spans="1:12" x14ac:dyDescent="0.25">
      <c r="A1823"/>
      <c r="B1823"/>
      <c r="D1823"/>
      <c r="G1823"/>
      <c r="L1823"/>
    </row>
    <row r="1824" spans="1:12" x14ac:dyDescent="0.25">
      <c r="A1824"/>
      <c r="B1824"/>
      <c r="D1824"/>
      <c r="G1824"/>
      <c r="L1824"/>
    </row>
    <row r="1825" spans="1:12" x14ac:dyDescent="0.25">
      <c r="A1825"/>
      <c r="B1825"/>
      <c r="D1825"/>
      <c r="G1825"/>
      <c r="L1825"/>
    </row>
    <row r="1826" spans="1:12" x14ac:dyDescent="0.25">
      <c r="A1826"/>
      <c r="B1826"/>
      <c r="D1826"/>
      <c r="G1826"/>
      <c r="L1826"/>
    </row>
    <row r="1827" spans="1:12" x14ac:dyDescent="0.25">
      <c r="A1827"/>
      <c r="B1827"/>
      <c r="D1827"/>
      <c r="G1827"/>
      <c r="L1827"/>
    </row>
    <row r="1828" spans="1:12" x14ac:dyDescent="0.25">
      <c r="A1828"/>
      <c r="B1828"/>
      <c r="D1828"/>
      <c r="G1828"/>
      <c r="L1828"/>
    </row>
    <row r="1829" spans="1:12" x14ac:dyDescent="0.25">
      <c r="A1829"/>
      <c r="B1829"/>
      <c r="D1829"/>
      <c r="G1829"/>
      <c r="L1829"/>
    </row>
    <row r="1830" spans="1:12" x14ac:dyDescent="0.25">
      <c r="A1830"/>
      <c r="B1830"/>
      <c r="D1830"/>
      <c r="G1830"/>
      <c r="L1830"/>
    </row>
    <row r="1831" spans="1:12" x14ac:dyDescent="0.25">
      <c r="A1831"/>
      <c r="B1831"/>
      <c r="D1831"/>
      <c r="G1831"/>
      <c r="L1831"/>
    </row>
    <row r="1832" spans="1:12" x14ac:dyDescent="0.25">
      <c r="A1832"/>
      <c r="B1832"/>
      <c r="D1832"/>
      <c r="G1832"/>
      <c r="L1832"/>
    </row>
    <row r="1833" spans="1:12" x14ac:dyDescent="0.25">
      <c r="A1833"/>
      <c r="B1833"/>
      <c r="D1833"/>
      <c r="G1833"/>
      <c r="L1833"/>
    </row>
    <row r="1834" spans="1:12" x14ac:dyDescent="0.25">
      <c r="A1834"/>
      <c r="B1834"/>
      <c r="D1834"/>
      <c r="G1834"/>
      <c r="L1834"/>
    </row>
    <row r="1835" spans="1:12" x14ac:dyDescent="0.25">
      <c r="A1835"/>
      <c r="B1835"/>
      <c r="D1835"/>
      <c r="G1835"/>
      <c r="L1835"/>
    </row>
    <row r="1836" spans="1:12" x14ac:dyDescent="0.25">
      <c r="A1836"/>
      <c r="B1836"/>
      <c r="D1836"/>
      <c r="G1836"/>
      <c r="L1836"/>
    </row>
    <row r="1837" spans="1:12" x14ac:dyDescent="0.25">
      <c r="A1837"/>
      <c r="B1837"/>
      <c r="D1837"/>
      <c r="G1837"/>
      <c r="L1837"/>
    </row>
    <row r="1838" spans="1:12" x14ac:dyDescent="0.25">
      <c r="A1838"/>
      <c r="B1838"/>
      <c r="D1838"/>
      <c r="G1838"/>
      <c r="L1838"/>
    </row>
    <row r="1839" spans="1:12" x14ac:dyDescent="0.25">
      <c r="A1839"/>
      <c r="B1839"/>
      <c r="D1839"/>
      <c r="G1839"/>
      <c r="L1839"/>
    </row>
    <row r="1840" spans="1:12" x14ac:dyDescent="0.25">
      <c r="A1840"/>
      <c r="B1840"/>
      <c r="D1840"/>
      <c r="G1840"/>
      <c r="L1840"/>
    </row>
    <row r="1841" spans="1:12" x14ac:dyDescent="0.25">
      <c r="A1841"/>
      <c r="B1841"/>
      <c r="D1841"/>
      <c r="G1841"/>
      <c r="L1841"/>
    </row>
    <row r="1842" spans="1:12" x14ac:dyDescent="0.25">
      <c r="A1842"/>
      <c r="B1842"/>
      <c r="D1842"/>
      <c r="G1842"/>
      <c r="L1842"/>
    </row>
    <row r="1843" spans="1:12" x14ac:dyDescent="0.25">
      <c r="A1843"/>
      <c r="B1843"/>
      <c r="D1843"/>
      <c r="G1843"/>
      <c r="L1843"/>
    </row>
    <row r="1844" spans="1:12" x14ac:dyDescent="0.25">
      <c r="A1844"/>
      <c r="B1844"/>
      <c r="D1844"/>
      <c r="G1844"/>
      <c r="L1844"/>
    </row>
    <row r="1845" spans="1:12" x14ac:dyDescent="0.25">
      <c r="A1845"/>
      <c r="B1845"/>
      <c r="D1845"/>
      <c r="G1845"/>
      <c r="L1845"/>
    </row>
    <row r="1846" spans="1:12" x14ac:dyDescent="0.25">
      <c r="A1846"/>
      <c r="B1846"/>
      <c r="D1846"/>
      <c r="G1846"/>
      <c r="L1846"/>
    </row>
    <row r="1847" spans="1:12" x14ac:dyDescent="0.25">
      <c r="A1847"/>
      <c r="B1847"/>
      <c r="D1847"/>
      <c r="G1847"/>
      <c r="L1847"/>
    </row>
    <row r="1848" spans="1:12" x14ac:dyDescent="0.25">
      <c r="A1848"/>
      <c r="B1848"/>
      <c r="D1848"/>
      <c r="G1848"/>
      <c r="L1848"/>
    </row>
    <row r="1849" spans="1:12" x14ac:dyDescent="0.25">
      <c r="A1849"/>
      <c r="B1849"/>
      <c r="D1849"/>
      <c r="G1849"/>
      <c r="L1849"/>
    </row>
    <row r="1850" spans="1:12" x14ac:dyDescent="0.25">
      <c r="A1850"/>
      <c r="B1850"/>
      <c r="D1850"/>
      <c r="G1850"/>
      <c r="L1850"/>
    </row>
    <row r="1851" spans="1:12" x14ac:dyDescent="0.25">
      <c r="A1851"/>
      <c r="B1851"/>
      <c r="D1851"/>
      <c r="G1851"/>
      <c r="L1851"/>
    </row>
    <row r="1852" spans="1:12" x14ac:dyDescent="0.25">
      <c r="A1852"/>
      <c r="B1852"/>
      <c r="D1852"/>
      <c r="G1852"/>
      <c r="L1852"/>
    </row>
    <row r="1853" spans="1:12" x14ac:dyDescent="0.25">
      <c r="A1853"/>
      <c r="B1853"/>
      <c r="D1853"/>
      <c r="G1853"/>
      <c r="L1853"/>
    </row>
    <row r="1854" spans="1:12" x14ac:dyDescent="0.25">
      <c r="A1854"/>
      <c r="B1854"/>
      <c r="D1854"/>
      <c r="G1854"/>
      <c r="L1854"/>
    </row>
    <row r="1855" spans="1:12" x14ac:dyDescent="0.25">
      <c r="A1855"/>
      <c r="B1855"/>
      <c r="D1855"/>
      <c r="G1855"/>
      <c r="L1855"/>
    </row>
    <row r="1856" spans="1:12" x14ac:dyDescent="0.25">
      <c r="A1856"/>
      <c r="B1856"/>
      <c r="D1856"/>
      <c r="G1856"/>
      <c r="L1856"/>
    </row>
    <row r="1857" spans="1:12" x14ac:dyDescent="0.25">
      <c r="A1857"/>
      <c r="B1857"/>
      <c r="D1857"/>
      <c r="G1857"/>
      <c r="L1857"/>
    </row>
    <row r="1858" spans="1:12" x14ac:dyDescent="0.25">
      <c r="A1858"/>
      <c r="B1858"/>
      <c r="D1858"/>
      <c r="G1858"/>
      <c r="L1858"/>
    </row>
    <row r="1859" spans="1:12" x14ac:dyDescent="0.25">
      <c r="A1859"/>
      <c r="B1859"/>
      <c r="D1859"/>
      <c r="G1859"/>
      <c r="L1859"/>
    </row>
    <row r="1860" spans="1:12" x14ac:dyDescent="0.25">
      <c r="A1860"/>
      <c r="B1860"/>
      <c r="D1860"/>
      <c r="G1860"/>
      <c r="L1860"/>
    </row>
    <row r="1861" spans="1:12" x14ac:dyDescent="0.25">
      <c r="A1861"/>
      <c r="B1861"/>
      <c r="D1861"/>
      <c r="G1861"/>
      <c r="L1861"/>
    </row>
    <row r="1862" spans="1:12" x14ac:dyDescent="0.25">
      <c r="A1862"/>
      <c r="B1862"/>
      <c r="D1862"/>
      <c r="G1862"/>
      <c r="L1862"/>
    </row>
    <row r="1863" spans="1:12" x14ac:dyDescent="0.25">
      <c r="A1863"/>
      <c r="B1863"/>
      <c r="D1863"/>
      <c r="G1863"/>
      <c r="L1863"/>
    </row>
    <row r="1864" spans="1:12" x14ac:dyDescent="0.25">
      <c r="A1864"/>
      <c r="B1864"/>
      <c r="D1864"/>
      <c r="G1864"/>
      <c r="L1864"/>
    </row>
    <row r="1865" spans="1:12" x14ac:dyDescent="0.25">
      <c r="A1865"/>
      <c r="B1865"/>
      <c r="D1865"/>
      <c r="G1865"/>
      <c r="L1865"/>
    </row>
    <row r="1866" spans="1:12" x14ac:dyDescent="0.25">
      <c r="A1866"/>
      <c r="B1866"/>
      <c r="D1866"/>
      <c r="G1866"/>
      <c r="L1866"/>
    </row>
    <row r="1867" spans="1:12" x14ac:dyDescent="0.25">
      <c r="A1867"/>
      <c r="B1867"/>
      <c r="D1867"/>
      <c r="G1867"/>
      <c r="L1867"/>
    </row>
    <row r="1868" spans="1:12" x14ac:dyDescent="0.25">
      <c r="A1868"/>
      <c r="B1868"/>
      <c r="D1868"/>
      <c r="G1868"/>
      <c r="L1868"/>
    </row>
    <row r="1869" spans="1:12" x14ac:dyDescent="0.25">
      <c r="A1869"/>
      <c r="B1869"/>
      <c r="D1869"/>
      <c r="G1869"/>
      <c r="L1869"/>
    </row>
    <row r="1870" spans="1:12" x14ac:dyDescent="0.25">
      <c r="A1870"/>
      <c r="B1870"/>
      <c r="D1870"/>
      <c r="G1870"/>
      <c r="L1870"/>
    </row>
    <row r="1871" spans="1:12" x14ac:dyDescent="0.25">
      <c r="A1871"/>
      <c r="B1871"/>
      <c r="D1871"/>
      <c r="G1871"/>
      <c r="L1871"/>
    </row>
    <row r="1872" spans="1:12" x14ac:dyDescent="0.25">
      <c r="A1872"/>
      <c r="B1872"/>
      <c r="D1872"/>
      <c r="G1872"/>
      <c r="L1872"/>
    </row>
    <row r="1873" spans="1:12" x14ac:dyDescent="0.25">
      <c r="A1873"/>
      <c r="B1873"/>
      <c r="D1873"/>
      <c r="G1873"/>
      <c r="L1873"/>
    </row>
    <row r="1874" spans="1:12" x14ac:dyDescent="0.25">
      <c r="A1874"/>
      <c r="B1874"/>
      <c r="D1874"/>
      <c r="G1874"/>
      <c r="L1874"/>
    </row>
    <row r="1875" spans="1:12" x14ac:dyDescent="0.25">
      <c r="A1875"/>
      <c r="B1875"/>
      <c r="D1875"/>
      <c r="G1875"/>
      <c r="L1875"/>
    </row>
    <row r="1876" spans="1:12" x14ac:dyDescent="0.25">
      <c r="A1876"/>
      <c r="B1876"/>
      <c r="D1876"/>
      <c r="G1876"/>
      <c r="L1876"/>
    </row>
    <row r="1877" spans="1:12" x14ac:dyDescent="0.25">
      <c r="A1877"/>
      <c r="B1877"/>
      <c r="D1877"/>
      <c r="G1877"/>
      <c r="L1877"/>
    </row>
    <row r="1878" spans="1:12" x14ac:dyDescent="0.25">
      <c r="A1878"/>
      <c r="B1878"/>
      <c r="D1878"/>
      <c r="G1878"/>
      <c r="L1878"/>
    </row>
    <row r="1879" spans="1:12" x14ac:dyDescent="0.25">
      <c r="A1879"/>
      <c r="B1879"/>
      <c r="D1879"/>
      <c r="G1879"/>
      <c r="L1879"/>
    </row>
    <row r="1880" spans="1:12" x14ac:dyDescent="0.25">
      <c r="A1880"/>
      <c r="B1880"/>
      <c r="D1880"/>
      <c r="G1880"/>
      <c r="L1880"/>
    </row>
    <row r="1881" spans="1:12" x14ac:dyDescent="0.25">
      <c r="A1881"/>
      <c r="B1881"/>
      <c r="D1881"/>
      <c r="G1881"/>
      <c r="L1881"/>
    </row>
    <row r="1882" spans="1:12" x14ac:dyDescent="0.25">
      <c r="A1882"/>
      <c r="B1882"/>
      <c r="D1882"/>
      <c r="G1882"/>
      <c r="L1882"/>
    </row>
    <row r="1883" spans="1:12" x14ac:dyDescent="0.25">
      <c r="A1883"/>
      <c r="B1883"/>
      <c r="D1883"/>
      <c r="G1883"/>
      <c r="L1883"/>
    </row>
    <row r="1884" spans="1:12" x14ac:dyDescent="0.25">
      <c r="A1884"/>
      <c r="B1884"/>
      <c r="D1884"/>
      <c r="G1884"/>
      <c r="L1884"/>
    </row>
    <row r="1885" spans="1:12" x14ac:dyDescent="0.25">
      <c r="A1885"/>
      <c r="B1885"/>
      <c r="D1885"/>
      <c r="G1885"/>
      <c r="L1885"/>
    </row>
    <row r="1886" spans="1:12" x14ac:dyDescent="0.25">
      <c r="A1886"/>
      <c r="B1886"/>
      <c r="D1886"/>
      <c r="G1886"/>
      <c r="L1886"/>
    </row>
    <row r="1887" spans="1:12" x14ac:dyDescent="0.25">
      <c r="A1887"/>
      <c r="B1887"/>
      <c r="D1887"/>
      <c r="G1887"/>
      <c r="L1887"/>
    </row>
    <row r="1888" spans="1:12" x14ac:dyDescent="0.25">
      <c r="A1888"/>
      <c r="B1888"/>
      <c r="D1888"/>
      <c r="G1888"/>
      <c r="L1888"/>
    </row>
    <row r="1889" spans="1:12" x14ac:dyDescent="0.25">
      <c r="A1889"/>
      <c r="B1889"/>
      <c r="D1889"/>
      <c r="G1889"/>
      <c r="L1889"/>
    </row>
    <row r="1890" spans="1:12" x14ac:dyDescent="0.25">
      <c r="A1890"/>
      <c r="B1890"/>
      <c r="D1890"/>
      <c r="G1890"/>
      <c r="L1890"/>
    </row>
    <row r="1891" spans="1:12" x14ac:dyDescent="0.25">
      <c r="A1891"/>
      <c r="B1891"/>
      <c r="D1891"/>
      <c r="G1891"/>
      <c r="L1891"/>
    </row>
    <row r="1892" spans="1:12" x14ac:dyDescent="0.25">
      <c r="A1892"/>
      <c r="B1892"/>
      <c r="D1892"/>
      <c r="G1892"/>
      <c r="L1892"/>
    </row>
    <row r="1893" spans="1:12" x14ac:dyDescent="0.25">
      <c r="A1893"/>
      <c r="B1893"/>
      <c r="D1893"/>
      <c r="G1893"/>
      <c r="L1893"/>
    </row>
    <row r="1894" spans="1:12" x14ac:dyDescent="0.25">
      <c r="A1894"/>
      <c r="B1894"/>
      <c r="D1894"/>
      <c r="G1894"/>
      <c r="L1894"/>
    </row>
    <row r="1895" spans="1:12" x14ac:dyDescent="0.25">
      <c r="A1895"/>
      <c r="B1895"/>
      <c r="D1895"/>
      <c r="G1895"/>
      <c r="L1895"/>
    </row>
    <row r="1896" spans="1:12" x14ac:dyDescent="0.25">
      <c r="A1896"/>
      <c r="B1896"/>
      <c r="D1896"/>
      <c r="G1896"/>
      <c r="L1896"/>
    </row>
    <row r="1897" spans="1:12" x14ac:dyDescent="0.25">
      <c r="A1897"/>
      <c r="B1897"/>
      <c r="D1897"/>
      <c r="G1897"/>
      <c r="L1897"/>
    </row>
    <row r="1898" spans="1:12" x14ac:dyDescent="0.25">
      <c r="A1898"/>
      <c r="B1898"/>
      <c r="D1898"/>
      <c r="G1898"/>
      <c r="L1898"/>
    </row>
    <row r="1899" spans="1:12" x14ac:dyDescent="0.25">
      <c r="A1899"/>
      <c r="B1899"/>
      <c r="D1899"/>
      <c r="G1899"/>
      <c r="L1899"/>
    </row>
    <row r="1900" spans="1:12" x14ac:dyDescent="0.25">
      <c r="A1900"/>
      <c r="B1900"/>
      <c r="D1900"/>
      <c r="G1900"/>
      <c r="L1900"/>
    </row>
    <row r="1901" spans="1:12" x14ac:dyDescent="0.25">
      <c r="A1901"/>
      <c r="B1901"/>
      <c r="D1901"/>
      <c r="G1901"/>
      <c r="L1901"/>
    </row>
    <row r="1902" spans="1:12" x14ac:dyDescent="0.25">
      <c r="A1902"/>
      <c r="B1902"/>
      <c r="D1902"/>
      <c r="G1902"/>
      <c r="L1902"/>
    </row>
    <row r="1903" spans="1:12" x14ac:dyDescent="0.25">
      <c r="A1903"/>
      <c r="B1903"/>
      <c r="D1903"/>
      <c r="G1903"/>
      <c r="L1903"/>
    </row>
    <row r="1904" spans="1:12" x14ac:dyDescent="0.25">
      <c r="A1904"/>
      <c r="B1904"/>
      <c r="D1904"/>
      <c r="G1904"/>
      <c r="L1904"/>
    </row>
    <row r="1905" spans="1:12" x14ac:dyDescent="0.25">
      <c r="A1905"/>
      <c r="B1905"/>
      <c r="D1905"/>
      <c r="G1905"/>
      <c r="L1905"/>
    </row>
    <row r="1906" spans="1:12" x14ac:dyDescent="0.25">
      <c r="A1906"/>
      <c r="B1906"/>
      <c r="D1906"/>
      <c r="G1906"/>
      <c r="L1906"/>
    </row>
    <row r="1907" spans="1:12" x14ac:dyDescent="0.25">
      <c r="A1907"/>
      <c r="B1907"/>
      <c r="D1907"/>
      <c r="G1907"/>
      <c r="L1907"/>
    </row>
    <row r="1908" spans="1:12" x14ac:dyDescent="0.25">
      <c r="A1908"/>
      <c r="B1908"/>
      <c r="D1908"/>
      <c r="G1908"/>
      <c r="L1908"/>
    </row>
    <row r="1909" spans="1:12" x14ac:dyDescent="0.25">
      <c r="A1909"/>
      <c r="B1909"/>
      <c r="D1909"/>
      <c r="G1909"/>
      <c r="L1909"/>
    </row>
    <row r="1910" spans="1:12" x14ac:dyDescent="0.25">
      <c r="A1910"/>
      <c r="B1910"/>
      <c r="D1910"/>
      <c r="G1910"/>
      <c r="L1910"/>
    </row>
    <row r="1911" spans="1:12" x14ac:dyDescent="0.25">
      <c r="A1911"/>
      <c r="B1911"/>
      <c r="D1911"/>
      <c r="G1911"/>
      <c r="L1911"/>
    </row>
    <row r="1912" spans="1:12" x14ac:dyDescent="0.25">
      <c r="A1912"/>
      <c r="B1912"/>
      <c r="D1912"/>
      <c r="G1912"/>
      <c r="L1912"/>
    </row>
    <row r="1913" spans="1:12" x14ac:dyDescent="0.25">
      <c r="A1913"/>
      <c r="B1913"/>
      <c r="D1913"/>
      <c r="G1913"/>
      <c r="L1913"/>
    </row>
    <row r="1914" spans="1:12" x14ac:dyDescent="0.25">
      <c r="A1914"/>
      <c r="B1914"/>
      <c r="D1914"/>
      <c r="G1914"/>
      <c r="L1914"/>
    </row>
    <row r="1915" spans="1:12" x14ac:dyDescent="0.25">
      <c r="A1915"/>
      <c r="B1915"/>
      <c r="D1915"/>
      <c r="G1915"/>
      <c r="L1915"/>
    </row>
    <row r="1916" spans="1:12" x14ac:dyDescent="0.25">
      <c r="A1916"/>
      <c r="B1916"/>
      <c r="D1916"/>
      <c r="G1916"/>
      <c r="L1916"/>
    </row>
    <row r="1917" spans="1:12" x14ac:dyDescent="0.25">
      <c r="A1917"/>
      <c r="B1917"/>
      <c r="D1917"/>
      <c r="G1917"/>
      <c r="L1917"/>
    </row>
    <row r="1918" spans="1:12" x14ac:dyDescent="0.25">
      <c r="A1918"/>
      <c r="B1918"/>
      <c r="D1918"/>
      <c r="G1918"/>
      <c r="L1918"/>
    </row>
    <row r="1919" spans="1:12" x14ac:dyDescent="0.25">
      <c r="A1919"/>
      <c r="B1919"/>
      <c r="D1919"/>
      <c r="G1919"/>
      <c r="L1919"/>
    </row>
    <row r="1920" spans="1:12" x14ac:dyDescent="0.25">
      <c r="A1920"/>
      <c r="B1920"/>
      <c r="D1920"/>
      <c r="G1920"/>
      <c r="L1920"/>
    </row>
    <row r="1921" spans="1:12" x14ac:dyDescent="0.25">
      <c r="A1921"/>
      <c r="B1921"/>
      <c r="D1921"/>
      <c r="G1921"/>
      <c r="L1921"/>
    </row>
    <row r="1922" spans="1:12" x14ac:dyDescent="0.25">
      <c r="A1922"/>
      <c r="B1922"/>
      <c r="D1922"/>
      <c r="G1922"/>
      <c r="L1922"/>
    </row>
    <row r="1923" spans="1:12" x14ac:dyDescent="0.25">
      <c r="A1923"/>
      <c r="B1923"/>
      <c r="D1923"/>
      <c r="G1923"/>
      <c r="L1923"/>
    </row>
    <row r="1924" spans="1:12" x14ac:dyDescent="0.25">
      <c r="A1924"/>
      <c r="B1924"/>
      <c r="D1924"/>
      <c r="G1924"/>
      <c r="L1924"/>
    </row>
    <row r="1925" spans="1:12" x14ac:dyDescent="0.25">
      <c r="A1925"/>
      <c r="B1925"/>
      <c r="D1925"/>
      <c r="G1925"/>
      <c r="L1925"/>
    </row>
    <row r="1926" spans="1:12" x14ac:dyDescent="0.25">
      <c r="A1926"/>
      <c r="B1926"/>
      <c r="D1926"/>
      <c r="G1926"/>
      <c r="L1926"/>
    </row>
    <row r="1927" spans="1:12" x14ac:dyDescent="0.25">
      <c r="A1927"/>
      <c r="B1927"/>
      <c r="D1927"/>
      <c r="G1927"/>
      <c r="L1927"/>
    </row>
    <row r="1928" spans="1:12" x14ac:dyDescent="0.25">
      <c r="A1928"/>
      <c r="B1928"/>
      <c r="D1928"/>
      <c r="G1928"/>
      <c r="L1928"/>
    </row>
    <row r="1929" spans="1:12" x14ac:dyDescent="0.25">
      <c r="A1929"/>
      <c r="B1929"/>
      <c r="D1929"/>
      <c r="G1929"/>
      <c r="L1929"/>
    </row>
    <row r="1930" spans="1:12" x14ac:dyDescent="0.25">
      <c r="A1930"/>
      <c r="B1930"/>
      <c r="D1930"/>
      <c r="G1930"/>
      <c r="L1930"/>
    </row>
    <row r="1931" spans="1:12" x14ac:dyDescent="0.25">
      <c r="A1931"/>
      <c r="B1931"/>
      <c r="D1931"/>
      <c r="G1931"/>
      <c r="L1931"/>
    </row>
    <row r="1932" spans="1:12" x14ac:dyDescent="0.25">
      <c r="A1932"/>
      <c r="B1932"/>
      <c r="D1932"/>
      <c r="G1932"/>
      <c r="L1932"/>
    </row>
    <row r="1933" spans="1:12" x14ac:dyDescent="0.25">
      <c r="A1933"/>
      <c r="B1933"/>
      <c r="D1933"/>
      <c r="G1933"/>
      <c r="L1933"/>
    </row>
    <row r="1934" spans="1:12" x14ac:dyDescent="0.25">
      <c r="A1934"/>
      <c r="B1934"/>
      <c r="D1934"/>
      <c r="G1934"/>
      <c r="L1934"/>
    </row>
    <row r="1935" spans="1:12" x14ac:dyDescent="0.25">
      <c r="A1935"/>
      <c r="B1935"/>
      <c r="D1935"/>
      <c r="G1935"/>
      <c r="L1935"/>
    </row>
    <row r="1936" spans="1:12" x14ac:dyDescent="0.25">
      <c r="A1936"/>
      <c r="B1936"/>
      <c r="D1936"/>
      <c r="G1936"/>
      <c r="L1936"/>
    </row>
    <row r="1937" spans="1:12" x14ac:dyDescent="0.25">
      <c r="A1937"/>
      <c r="B1937"/>
      <c r="D1937"/>
      <c r="G1937"/>
      <c r="L1937"/>
    </row>
    <row r="1938" spans="1:12" x14ac:dyDescent="0.25">
      <c r="A1938"/>
      <c r="B1938"/>
      <c r="D1938"/>
      <c r="G1938"/>
      <c r="L1938"/>
    </row>
    <row r="1939" spans="1:12" x14ac:dyDescent="0.25">
      <c r="A1939"/>
      <c r="B1939"/>
      <c r="D1939"/>
      <c r="G1939"/>
      <c r="L1939"/>
    </row>
    <row r="1940" spans="1:12" x14ac:dyDescent="0.25">
      <c r="A1940"/>
      <c r="B1940"/>
      <c r="D1940"/>
      <c r="G1940"/>
      <c r="L1940"/>
    </row>
    <row r="1941" spans="1:12" x14ac:dyDescent="0.25">
      <c r="A1941"/>
      <c r="B1941"/>
      <c r="D1941"/>
      <c r="G1941"/>
      <c r="L1941"/>
    </row>
    <row r="1942" spans="1:12" x14ac:dyDescent="0.25">
      <c r="A1942"/>
      <c r="B1942"/>
      <c r="D1942"/>
      <c r="G1942"/>
      <c r="L1942"/>
    </row>
    <row r="1943" spans="1:12" x14ac:dyDescent="0.25">
      <c r="A1943"/>
      <c r="B1943"/>
      <c r="D1943"/>
      <c r="G1943"/>
      <c r="L1943"/>
    </row>
    <row r="1944" spans="1:12" x14ac:dyDescent="0.25">
      <c r="A1944"/>
      <c r="B1944"/>
      <c r="D1944"/>
      <c r="G1944"/>
      <c r="L1944"/>
    </row>
    <row r="1945" spans="1:12" x14ac:dyDescent="0.25">
      <c r="A1945"/>
      <c r="B1945"/>
      <c r="D1945"/>
      <c r="G1945"/>
      <c r="L1945"/>
    </row>
    <row r="1946" spans="1:12" x14ac:dyDescent="0.25">
      <c r="A1946"/>
      <c r="B1946"/>
      <c r="D1946"/>
      <c r="G1946"/>
      <c r="L1946"/>
    </row>
    <row r="1947" spans="1:12" x14ac:dyDescent="0.25">
      <c r="A1947"/>
      <c r="B1947"/>
      <c r="D1947"/>
      <c r="G1947"/>
      <c r="L1947"/>
    </row>
    <row r="1948" spans="1:12" x14ac:dyDescent="0.25">
      <c r="A1948"/>
      <c r="B1948"/>
      <c r="D1948"/>
      <c r="G1948"/>
      <c r="L1948"/>
    </row>
    <row r="1949" spans="1:12" x14ac:dyDescent="0.25">
      <c r="A1949"/>
      <c r="B1949"/>
      <c r="D1949"/>
      <c r="G1949"/>
      <c r="L1949"/>
    </row>
    <row r="1950" spans="1:12" x14ac:dyDescent="0.25">
      <c r="A1950"/>
      <c r="B1950"/>
      <c r="D1950"/>
      <c r="G1950"/>
      <c r="L1950"/>
    </row>
    <row r="1951" spans="1:12" x14ac:dyDescent="0.25">
      <c r="A1951"/>
      <c r="B1951"/>
      <c r="D1951"/>
      <c r="G1951"/>
      <c r="L1951"/>
    </row>
    <row r="1952" spans="1:12" x14ac:dyDescent="0.25">
      <c r="A1952"/>
      <c r="B1952"/>
      <c r="D1952"/>
      <c r="G1952"/>
      <c r="L1952"/>
    </row>
    <row r="1953" spans="1:12" x14ac:dyDescent="0.25">
      <c r="A1953"/>
      <c r="B1953"/>
      <c r="D1953"/>
      <c r="G1953"/>
      <c r="L1953"/>
    </row>
    <row r="1954" spans="1:12" x14ac:dyDescent="0.25">
      <c r="A1954"/>
      <c r="B1954"/>
      <c r="D1954"/>
      <c r="G1954"/>
      <c r="L1954"/>
    </row>
    <row r="1955" spans="1:12" x14ac:dyDescent="0.25">
      <c r="A1955"/>
      <c r="B1955"/>
      <c r="D1955"/>
      <c r="G1955"/>
      <c r="L1955"/>
    </row>
    <row r="1956" spans="1:12" x14ac:dyDescent="0.25">
      <c r="A1956"/>
      <c r="B1956"/>
      <c r="D1956"/>
      <c r="G1956"/>
      <c r="L1956"/>
    </row>
    <row r="1957" spans="1:12" x14ac:dyDescent="0.25">
      <c r="A1957"/>
      <c r="B1957"/>
      <c r="D1957"/>
      <c r="G1957"/>
      <c r="L1957"/>
    </row>
    <row r="1958" spans="1:12" x14ac:dyDescent="0.25">
      <c r="A1958"/>
      <c r="B1958"/>
      <c r="D1958"/>
      <c r="G1958"/>
      <c r="L1958"/>
    </row>
    <row r="1959" spans="1:12" x14ac:dyDescent="0.25">
      <c r="A1959"/>
      <c r="B1959"/>
      <c r="D1959"/>
      <c r="G1959"/>
      <c r="L1959"/>
    </row>
    <row r="1960" spans="1:12" x14ac:dyDescent="0.25">
      <c r="A1960"/>
      <c r="B1960"/>
      <c r="D1960"/>
      <c r="G1960"/>
      <c r="L1960"/>
    </row>
    <row r="1961" spans="1:12" x14ac:dyDescent="0.25">
      <c r="A1961"/>
      <c r="B1961"/>
      <c r="D1961"/>
      <c r="G1961"/>
      <c r="L1961"/>
    </row>
    <row r="1962" spans="1:12" x14ac:dyDescent="0.25">
      <c r="A1962"/>
      <c r="B1962"/>
      <c r="D1962"/>
      <c r="G1962"/>
      <c r="L1962"/>
    </row>
    <row r="1963" spans="1:12" x14ac:dyDescent="0.25">
      <c r="A1963"/>
      <c r="B1963"/>
      <c r="D1963"/>
      <c r="G1963"/>
      <c r="L1963"/>
    </row>
    <row r="1964" spans="1:12" x14ac:dyDescent="0.25">
      <c r="A1964"/>
      <c r="B1964"/>
      <c r="D1964"/>
      <c r="G1964"/>
      <c r="L1964"/>
    </row>
    <row r="1965" spans="1:12" x14ac:dyDescent="0.25">
      <c r="A1965"/>
      <c r="B1965"/>
      <c r="D1965"/>
      <c r="G1965"/>
      <c r="L1965"/>
    </row>
    <row r="1966" spans="1:12" x14ac:dyDescent="0.25">
      <c r="A1966"/>
      <c r="B1966"/>
      <c r="D1966"/>
      <c r="G1966"/>
      <c r="L1966"/>
    </row>
    <row r="1967" spans="1:12" x14ac:dyDescent="0.25">
      <c r="A1967"/>
      <c r="B1967"/>
      <c r="D1967"/>
      <c r="G1967"/>
      <c r="L1967"/>
    </row>
    <row r="1968" spans="1:12" x14ac:dyDescent="0.25">
      <c r="A1968"/>
      <c r="B1968"/>
      <c r="D1968"/>
      <c r="G1968"/>
      <c r="L1968"/>
    </row>
    <row r="1969" spans="1:12" x14ac:dyDescent="0.25">
      <c r="A1969"/>
      <c r="B1969"/>
      <c r="D1969"/>
      <c r="G1969"/>
      <c r="L1969"/>
    </row>
    <row r="1970" spans="1:12" x14ac:dyDescent="0.25">
      <c r="A1970"/>
      <c r="B1970"/>
      <c r="D1970"/>
      <c r="G1970"/>
      <c r="L1970"/>
    </row>
    <row r="1971" spans="1:12" x14ac:dyDescent="0.25">
      <c r="A1971"/>
      <c r="B1971"/>
      <c r="D1971"/>
      <c r="G1971"/>
      <c r="L1971"/>
    </row>
    <row r="1972" spans="1:12" x14ac:dyDescent="0.25">
      <c r="A1972"/>
      <c r="B1972"/>
      <c r="D1972"/>
      <c r="G1972"/>
      <c r="L1972"/>
    </row>
    <row r="1973" spans="1:12" x14ac:dyDescent="0.25">
      <c r="A1973"/>
      <c r="B1973"/>
      <c r="D1973"/>
      <c r="G1973"/>
      <c r="L1973"/>
    </row>
    <row r="1974" spans="1:12" x14ac:dyDescent="0.25">
      <c r="A1974"/>
      <c r="B1974"/>
      <c r="D1974"/>
      <c r="G1974"/>
      <c r="L1974"/>
    </row>
    <row r="1975" spans="1:12" x14ac:dyDescent="0.25">
      <c r="A1975"/>
      <c r="B1975"/>
      <c r="D1975"/>
      <c r="G1975"/>
      <c r="L1975"/>
    </row>
    <row r="1976" spans="1:12" x14ac:dyDescent="0.25">
      <c r="A1976"/>
      <c r="B1976"/>
      <c r="D1976"/>
      <c r="G1976"/>
      <c r="L1976"/>
    </row>
    <row r="1977" spans="1:12" x14ac:dyDescent="0.25">
      <c r="A1977"/>
      <c r="B1977"/>
      <c r="D1977"/>
      <c r="G1977"/>
      <c r="L1977"/>
    </row>
    <row r="1978" spans="1:12" x14ac:dyDescent="0.25">
      <c r="A1978"/>
      <c r="B1978"/>
      <c r="D1978"/>
      <c r="G1978"/>
      <c r="L1978"/>
    </row>
    <row r="1979" spans="1:12" x14ac:dyDescent="0.25">
      <c r="A1979"/>
      <c r="B1979"/>
      <c r="D1979"/>
      <c r="G1979"/>
      <c r="L1979"/>
    </row>
    <row r="1980" spans="1:12" x14ac:dyDescent="0.25">
      <c r="A1980"/>
      <c r="B1980"/>
      <c r="D1980"/>
      <c r="G1980"/>
      <c r="L1980"/>
    </row>
    <row r="1981" spans="1:12" x14ac:dyDescent="0.25">
      <c r="A1981"/>
      <c r="B1981"/>
      <c r="D1981"/>
      <c r="G1981"/>
      <c r="L1981"/>
    </row>
    <row r="1982" spans="1:12" x14ac:dyDescent="0.25">
      <c r="A1982"/>
      <c r="B1982"/>
      <c r="D1982"/>
      <c r="G1982"/>
      <c r="L1982"/>
    </row>
    <row r="1983" spans="1:12" x14ac:dyDescent="0.25">
      <c r="A1983"/>
      <c r="B1983"/>
      <c r="D1983"/>
      <c r="G1983"/>
      <c r="L1983"/>
    </row>
    <row r="1984" spans="1:12" x14ac:dyDescent="0.25">
      <c r="A1984"/>
      <c r="B1984"/>
      <c r="D1984"/>
      <c r="G1984"/>
      <c r="L1984"/>
    </row>
    <row r="1985" spans="1:12" x14ac:dyDescent="0.25">
      <c r="A1985"/>
      <c r="B1985"/>
      <c r="D1985"/>
      <c r="G1985"/>
      <c r="L1985"/>
    </row>
    <row r="1986" spans="1:12" x14ac:dyDescent="0.25">
      <c r="A1986"/>
      <c r="B1986"/>
      <c r="D1986"/>
      <c r="G1986"/>
      <c r="L1986"/>
    </row>
    <row r="1987" spans="1:12" x14ac:dyDescent="0.25">
      <c r="A1987"/>
      <c r="B1987"/>
      <c r="D1987"/>
      <c r="G1987"/>
      <c r="L1987"/>
    </row>
    <row r="1988" spans="1:12" x14ac:dyDescent="0.25">
      <c r="A1988"/>
      <c r="B1988"/>
      <c r="D1988"/>
      <c r="G1988"/>
      <c r="L1988"/>
    </row>
    <row r="1989" spans="1:12" x14ac:dyDescent="0.25">
      <c r="A1989"/>
      <c r="B1989"/>
      <c r="D1989"/>
      <c r="G1989"/>
      <c r="L1989"/>
    </row>
    <row r="1990" spans="1:12" x14ac:dyDescent="0.25">
      <c r="A1990"/>
      <c r="B1990"/>
      <c r="D1990"/>
      <c r="G1990"/>
      <c r="L1990"/>
    </row>
    <row r="1991" spans="1:12" x14ac:dyDescent="0.25">
      <c r="A1991"/>
      <c r="B1991"/>
      <c r="D1991"/>
      <c r="G1991"/>
      <c r="L1991"/>
    </row>
    <row r="1992" spans="1:12" x14ac:dyDescent="0.25">
      <c r="A1992"/>
      <c r="B1992"/>
      <c r="D1992"/>
      <c r="G1992"/>
      <c r="L1992"/>
    </row>
    <row r="1993" spans="1:12" x14ac:dyDescent="0.25">
      <c r="A1993"/>
      <c r="B1993"/>
      <c r="D1993"/>
      <c r="G1993"/>
      <c r="L1993"/>
    </row>
    <row r="1994" spans="1:12" x14ac:dyDescent="0.25">
      <c r="A1994"/>
      <c r="B1994"/>
      <c r="D1994"/>
      <c r="G1994"/>
      <c r="L1994"/>
    </row>
    <row r="1995" spans="1:12" x14ac:dyDescent="0.25">
      <c r="A1995"/>
      <c r="B1995"/>
      <c r="D1995"/>
      <c r="G1995"/>
      <c r="L1995"/>
    </row>
    <row r="1996" spans="1:12" x14ac:dyDescent="0.25">
      <c r="A1996"/>
      <c r="B1996"/>
      <c r="D1996"/>
      <c r="G1996"/>
      <c r="L1996"/>
    </row>
    <row r="1997" spans="1:12" x14ac:dyDescent="0.25">
      <c r="A1997"/>
      <c r="B1997"/>
      <c r="D1997"/>
      <c r="G1997"/>
      <c r="L1997"/>
    </row>
    <row r="1998" spans="1:12" x14ac:dyDescent="0.25">
      <c r="A1998"/>
      <c r="B1998"/>
      <c r="D1998"/>
      <c r="G1998"/>
      <c r="L1998"/>
    </row>
    <row r="1999" spans="1:12" x14ac:dyDescent="0.25">
      <c r="A1999"/>
      <c r="B1999"/>
      <c r="D1999"/>
      <c r="G1999"/>
      <c r="L1999"/>
    </row>
    <row r="2000" spans="1:12" x14ac:dyDescent="0.25">
      <c r="A2000"/>
      <c r="B2000"/>
      <c r="D2000"/>
      <c r="G2000"/>
      <c r="L2000"/>
    </row>
    <row r="2001" spans="1:12" x14ac:dyDescent="0.25">
      <c r="A2001"/>
      <c r="B2001"/>
      <c r="D2001"/>
      <c r="G2001"/>
      <c r="L2001"/>
    </row>
    <row r="2002" spans="1:12" x14ac:dyDescent="0.25">
      <c r="A2002"/>
      <c r="B2002"/>
      <c r="D2002"/>
      <c r="G2002"/>
      <c r="L2002"/>
    </row>
    <row r="2003" spans="1:12" x14ac:dyDescent="0.25">
      <c r="A2003"/>
      <c r="B2003"/>
      <c r="D2003"/>
      <c r="G2003"/>
      <c r="L2003"/>
    </row>
    <row r="2004" spans="1:12" x14ac:dyDescent="0.25">
      <c r="A2004"/>
      <c r="B2004"/>
      <c r="D2004"/>
      <c r="G2004"/>
      <c r="L2004"/>
    </row>
    <row r="2005" spans="1:12" x14ac:dyDescent="0.25">
      <c r="A2005"/>
      <c r="B2005"/>
      <c r="D2005"/>
      <c r="G2005"/>
      <c r="L2005"/>
    </row>
    <row r="2006" spans="1:12" x14ac:dyDescent="0.25">
      <c r="A2006"/>
      <c r="B2006"/>
      <c r="D2006"/>
      <c r="G2006"/>
      <c r="L2006"/>
    </row>
    <row r="2007" spans="1:12" x14ac:dyDescent="0.25">
      <c r="A2007"/>
      <c r="B2007"/>
      <c r="D2007"/>
      <c r="G2007"/>
      <c r="L2007"/>
    </row>
    <row r="2008" spans="1:12" x14ac:dyDescent="0.25">
      <c r="A2008"/>
      <c r="B2008"/>
      <c r="D2008"/>
      <c r="G2008"/>
      <c r="L2008"/>
    </row>
    <row r="2009" spans="1:12" x14ac:dyDescent="0.25">
      <c r="A2009"/>
      <c r="B2009"/>
      <c r="D2009"/>
      <c r="G2009"/>
      <c r="L2009"/>
    </row>
    <row r="2010" spans="1:12" x14ac:dyDescent="0.25">
      <c r="A2010"/>
      <c r="B2010"/>
      <c r="D2010"/>
      <c r="G2010"/>
      <c r="L2010"/>
    </row>
    <row r="2011" spans="1:12" x14ac:dyDescent="0.25">
      <c r="A2011"/>
      <c r="B2011"/>
      <c r="D2011"/>
      <c r="G2011"/>
      <c r="L2011"/>
    </row>
    <row r="2012" spans="1:12" x14ac:dyDescent="0.25">
      <c r="A2012"/>
      <c r="B2012"/>
      <c r="D2012"/>
      <c r="G2012"/>
      <c r="L2012"/>
    </row>
    <row r="2013" spans="1:12" x14ac:dyDescent="0.25">
      <c r="A2013"/>
      <c r="B2013"/>
      <c r="D2013"/>
      <c r="G2013"/>
      <c r="L2013"/>
    </row>
    <row r="2014" spans="1:12" x14ac:dyDescent="0.25">
      <c r="A2014"/>
      <c r="B2014"/>
      <c r="D2014"/>
      <c r="G2014"/>
      <c r="L2014"/>
    </row>
    <row r="2015" spans="1:12" x14ac:dyDescent="0.25">
      <c r="A2015"/>
      <c r="B2015"/>
      <c r="D2015"/>
      <c r="G2015"/>
      <c r="L2015"/>
    </row>
    <row r="2016" spans="1:12" x14ac:dyDescent="0.25">
      <c r="A2016"/>
      <c r="B2016"/>
      <c r="D2016"/>
      <c r="G2016"/>
      <c r="L2016"/>
    </row>
    <row r="2017" spans="1:12" x14ac:dyDescent="0.25">
      <c r="A2017"/>
      <c r="B2017"/>
      <c r="D2017"/>
      <c r="G2017"/>
      <c r="L2017"/>
    </row>
    <row r="2018" spans="1:12" x14ac:dyDescent="0.25">
      <c r="A2018"/>
      <c r="B2018"/>
      <c r="D2018"/>
      <c r="G2018"/>
      <c r="L2018"/>
    </row>
    <row r="2019" spans="1:12" x14ac:dyDescent="0.25">
      <c r="A2019"/>
      <c r="B2019"/>
      <c r="D2019"/>
      <c r="G2019"/>
      <c r="L2019"/>
    </row>
    <row r="2020" spans="1:12" x14ac:dyDescent="0.25">
      <c r="A2020"/>
      <c r="B2020"/>
      <c r="D2020"/>
      <c r="G2020"/>
      <c r="L2020"/>
    </row>
    <row r="2021" spans="1:12" x14ac:dyDescent="0.25">
      <c r="A2021"/>
      <c r="B2021"/>
      <c r="D2021"/>
      <c r="G2021"/>
      <c r="L2021"/>
    </row>
    <row r="2022" spans="1:12" x14ac:dyDescent="0.25">
      <c r="A2022"/>
      <c r="B2022"/>
      <c r="D2022"/>
      <c r="G2022"/>
      <c r="L2022"/>
    </row>
    <row r="2023" spans="1:12" x14ac:dyDescent="0.25">
      <c r="A2023"/>
      <c r="B2023"/>
      <c r="D2023"/>
      <c r="G2023"/>
      <c r="L2023"/>
    </row>
    <row r="2024" spans="1:12" x14ac:dyDescent="0.25">
      <c r="A2024"/>
      <c r="B2024"/>
      <c r="D2024"/>
      <c r="G2024"/>
      <c r="L2024"/>
    </row>
    <row r="2025" spans="1:12" x14ac:dyDescent="0.25">
      <c r="A2025"/>
      <c r="B2025"/>
      <c r="D2025"/>
      <c r="G2025"/>
      <c r="L2025"/>
    </row>
    <row r="2026" spans="1:12" x14ac:dyDescent="0.25">
      <c r="A2026"/>
      <c r="B2026"/>
      <c r="D2026"/>
      <c r="G2026"/>
      <c r="L2026"/>
    </row>
    <row r="2027" spans="1:12" x14ac:dyDescent="0.25">
      <c r="A2027"/>
      <c r="B2027"/>
      <c r="D2027"/>
      <c r="G2027"/>
      <c r="L2027"/>
    </row>
    <row r="2028" spans="1:12" x14ac:dyDescent="0.25">
      <c r="A2028"/>
      <c r="B2028"/>
      <c r="D2028"/>
      <c r="G2028"/>
      <c r="L2028"/>
    </row>
    <row r="2029" spans="1:12" x14ac:dyDescent="0.25">
      <c r="A2029"/>
      <c r="B2029"/>
      <c r="D2029"/>
      <c r="G2029"/>
      <c r="L2029"/>
    </row>
    <row r="2030" spans="1:12" x14ac:dyDescent="0.25">
      <c r="A2030"/>
      <c r="B2030"/>
      <c r="D2030"/>
      <c r="G2030"/>
      <c r="L2030"/>
    </row>
    <row r="2031" spans="1:12" x14ac:dyDescent="0.25">
      <c r="A2031"/>
      <c r="B2031"/>
      <c r="D2031"/>
      <c r="G2031"/>
      <c r="L2031"/>
    </row>
    <row r="2032" spans="1:12" x14ac:dyDescent="0.25">
      <c r="A2032"/>
      <c r="B2032"/>
      <c r="D2032"/>
      <c r="G2032"/>
      <c r="L2032"/>
    </row>
    <row r="2033" spans="1:12" x14ac:dyDescent="0.25">
      <c r="A2033"/>
      <c r="B2033"/>
      <c r="D2033"/>
      <c r="G2033"/>
      <c r="L2033"/>
    </row>
    <row r="2034" spans="1:12" x14ac:dyDescent="0.25">
      <c r="A2034"/>
      <c r="B2034"/>
      <c r="D2034"/>
      <c r="G2034"/>
      <c r="L2034"/>
    </row>
    <row r="2035" spans="1:12" x14ac:dyDescent="0.25">
      <c r="A2035"/>
      <c r="B2035"/>
      <c r="D2035"/>
      <c r="G2035"/>
      <c r="L2035"/>
    </row>
    <row r="2036" spans="1:12" x14ac:dyDescent="0.25">
      <c r="A2036"/>
      <c r="B2036"/>
      <c r="D2036"/>
      <c r="G2036"/>
      <c r="L2036"/>
    </row>
    <row r="2037" spans="1:12" x14ac:dyDescent="0.25">
      <c r="A2037"/>
      <c r="B2037"/>
      <c r="D2037"/>
      <c r="G2037"/>
      <c r="L2037"/>
    </row>
    <row r="2038" spans="1:12" x14ac:dyDescent="0.25">
      <c r="A2038"/>
      <c r="B2038"/>
      <c r="D2038"/>
      <c r="G2038"/>
      <c r="L2038"/>
    </row>
    <row r="2039" spans="1:12" x14ac:dyDescent="0.25">
      <c r="A2039"/>
      <c r="B2039"/>
      <c r="D2039"/>
      <c r="G2039"/>
      <c r="L2039"/>
    </row>
    <row r="2040" spans="1:12" x14ac:dyDescent="0.25">
      <c r="A2040"/>
      <c r="B2040"/>
      <c r="D2040"/>
      <c r="G2040"/>
      <c r="L2040"/>
    </row>
    <row r="2041" spans="1:12" x14ac:dyDescent="0.25">
      <c r="A2041"/>
      <c r="B2041"/>
      <c r="D2041"/>
      <c r="G2041"/>
      <c r="L2041"/>
    </row>
    <row r="2042" spans="1:12" x14ac:dyDescent="0.25">
      <c r="A2042"/>
      <c r="B2042"/>
      <c r="D2042"/>
      <c r="G2042"/>
      <c r="L2042"/>
    </row>
    <row r="2043" spans="1:12" x14ac:dyDescent="0.25">
      <c r="A2043"/>
      <c r="B2043"/>
      <c r="D2043"/>
      <c r="G2043"/>
      <c r="L2043"/>
    </row>
    <row r="2044" spans="1:12" x14ac:dyDescent="0.25">
      <c r="A2044"/>
      <c r="B2044"/>
      <c r="D2044"/>
      <c r="G2044"/>
      <c r="L2044"/>
    </row>
    <row r="2045" spans="1:12" x14ac:dyDescent="0.25">
      <c r="A2045"/>
      <c r="B2045"/>
      <c r="D2045"/>
      <c r="G2045"/>
      <c r="L2045"/>
    </row>
    <row r="2046" spans="1:12" x14ac:dyDescent="0.25">
      <c r="A2046"/>
      <c r="B2046"/>
      <c r="D2046"/>
      <c r="G2046"/>
      <c r="L2046"/>
    </row>
    <row r="2047" spans="1:12" x14ac:dyDescent="0.25">
      <c r="A2047"/>
      <c r="B2047"/>
      <c r="D2047"/>
      <c r="G2047"/>
      <c r="L2047"/>
    </row>
    <row r="2048" spans="1:12" x14ac:dyDescent="0.25">
      <c r="A2048"/>
      <c r="B2048"/>
      <c r="D2048"/>
      <c r="G2048"/>
      <c r="L2048"/>
    </row>
    <row r="2049" spans="1:12" x14ac:dyDescent="0.25">
      <c r="A2049"/>
      <c r="B2049"/>
      <c r="D2049"/>
      <c r="G2049"/>
      <c r="L2049"/>
    </row>
    <row r="2050" spans="1:12" x14ac:dyDescent="0.25">
      <c r="A2050"/>
      <c r="B2050"/>
      <c r="D2050"/>
      <c r="G2050"/>
      <c r="L2050"/>
    </row>
    <row r="2051" spans="1:12" x14ac:dyDescent="0.25">
      <c r="A2051"/>
      <c r="B2051"/>
      <c r="D2051"/>
      <c r="G2051"/>
      <c r="L2051"/>
    </row>
    <row r="2052" spans="1:12" x14ac:dyDescent="0.25">
      <c r="A2052"/>
      <c r="B2052"/>
      <c r="D2052"/>
      <c r="G2052"/>
      <c r="L2052"/>
    </row>
    <row r="2053" spans="1:12" x14ac:dyDescent="0.25">
      <c r="A2053"/>
      <c r="B2053"/>
      <c r="D2053"/>
      <c r="G2053"/>
      <c r="L2053"/>
    </row>
    <row r="2054" spans="1:12" x14ac:dyDescent="0.25">
      <c r="A2054"/>
      <c r="B2054"/>
      <c r="D2054"/>
      <c r="G2054"/>
      <c r="L2054"/>
    </row>
    <row r="2055" spans="1:12" x14ac:dyDescent="0.25">
      <c r="A2055"/>
      <c r="B2055"/>
      <c r="D2055"/>
      <c r="G2055"/>
      <c r="L2055"/>
    </row>
    <row r="2056" spans="1:12" x14ac:dyDescent="0.25">
      <c r="A2056"/>
      <c r="B2056"/>
      <c r="D2056"/>
      <c r="G2056"/>
      <c r="L2056"/>
    </row>
    <row r="2057" spans="1:12" x14ac:dyDescent="0.25">
      <c r="A2057"/>
      <c r="B2057"/>
      <c r="D2057"/>
      <c r="G2057"/>
      <c r="L2057"/>
    </row>
    <row r="2058" spans="1:12" x14ac:dyDescent="0.25">
      <c r="A2058"/>
      <c r="B2058"/>
      <c r="D2058"/>
      <c r="G2058"/>
      <c r="L2058"/>
    </row>
    <row r="2059" spans="1:12" x14ac:dyDescent="0.25">
      <c r="A2059"/>
      <c r="B2059"/>
      <c r="D2059"/>
      <c r="G2059"/>
      <c r="L2059"/>
    </row>
    <row r="2060" spans="1:12" x14ac:dyDescent="0.25">
      <c r="A2060"/>
      <c r="B2060"/>
      <c r="D2060"/>
      <c r="G2060"/>
      <c r="L2060"/>
    </row>
    <row r="2061" spans="1:12" x14ac:dyDescent="0.25">
      <c r="A2061"/>
      <c r="B2061"/>
      <c r="D2061"/>
      <c r="G2061"/>
      <c r="L2061"/>
    </row>
    <row r="2062" spans="1:12" x14ac:dyDescent="0.25">
      <c r="A2062"/>
      <c r="B2062"/>
      <c r="D2062"/>
      <c r="G2062"/>
      <c r="L2062"/>
    </row>
    <row r="2063" spans="1:12" x14ac:dyDescent="0.25">
      <c r="A2063"/>
      <c r="B2063"/>
      <c r="D2063"/>
      <c r="G2063"/>
      <c r="L2063"/>
    </row>
    <row r="2064" spans="1:12" x14ac:dyDescent="0.25">
      <c r="A2064"/>
      <c r="B2064"/>
      <c r="D2064"/>
      <c r="G2064"/>
      <c r="L2064"/>
    </row>
    <row r="2065" spans="1:12" x14ac:dyDescent="0.25">
      <c r="A2065"/>
      <c r="B2065"/>
      <c r="D2065"/>
      <c r="G2065"/>
      <c r="L2065"/>
    </row>
    <row r="2066" spans="1:12" x14ac:dyDescent="0.25">
      <c r="A2066"/>
      <c r="B2066"/>
      <c r="D2066"/>
      <c r="G2066"/>
      <c r="L2066"/>
    </row>
    <row r="2067" spans="1:12" x14ac:dyDescent="0.25">
      <c r="A2067"/>
      <c r="B2067"/>
      <c r="D2067"/>
      <c r="G2067"/>
      <c r="L2067"/>
    </row>
    <row r="2068" spans="1:12" x14ac:dyDescent="0.25">
      <c r="A2068"/>
      <c r="B2068"/>
      <c r="D2068"/>
      <c r="G2068"/>
      <c r="L2068"/>
    </row>
    <row r="2069" spans="1:12" x14ac:dyDescent="0.25">
      <c r="A2069"/>
      <c r="B2069"/>
      <c r="D2069"/>
      <c r="G2069"/>
      <c r="L2069"/>
    </row>
    <row r="2070" spans="1:12" x14ac:dyDescent="0.25">
      <c r="A2070"/>
      <c r="B2070"/>
      <c r="D2070"/>
      <c r="G2070"/>
      <c r="L2070"/>
    </row>
    <row r="2071" spans="1:12" x14ac:dyDescent="0.25">
      <c r="A2071"/>
      <c r="B2071"/>
      <c r="D2071"/>
      <c r="G2071"/>
      <c r="L2071"/>
    </row>
    <row r="2072" spans="1:12" x14ac:dyDescent="0.25">
      <c r="A2072"/>
      <c r="B2072"/>
      <c r="D2072"/>
      <c r="G2072"/>
      <c r="L2072"/>
    </row>
    <row r="2073" spans="1:12" x14ac:dyDescent="0.25">
      <c r="A2073"/>
      <c r="B2073"/>
      <c r="D2073"/>
      <c r="G2073"/>
      <c r="L2073"/>
    </row>
    <row r="2074" spans="1:12" x14ac:dyDescent="0.25">
      <c r="A2074"/>
      <c r="B2074"/>
      <c r="D2074"/>
      <c r="G2074"/>
      <c r="L2074"/>
    </row>
    <row r="2075" spans="1:12" x14ac:dyDescent="0.25">
      <c r="A2075"/>
      <c r="B2075"/>
      <c r="D2075"/>
      <c r="G2075"/>
      <c r="L2075"/>
    </row>
    <row r="2076" spans="1:12" x14ac:dyDescent="0.25">
      <c r="A2076"/>
      <c r="B2076"/>
      <c r="D2076"/>
      <c r="G2076"/>
      <c r="L2076"/>
    </row>
    <row r="2077" spans="1:12" x14ac:dyDescent="0.25">
      <c r="A2077"/>
      <c r="B2077"/>
      <c r="D2077"/>
      <c r="G2077"/>
      <c r="L2077"/>
    </row>
    <row r="2078" spans="1:12" x14ac:dyDescent="0.25">
      <c r="A2078"/>
      <c r="B2078"/>
      <c r="D2078"/>
      <c r="G2078"/>
      <c r="L2078"/>
    </row>
    <row r="2079" spans="1:12" x14ac:dyDescent="0.25">
      <c r="A2079"/>
      <c r="B2079"/>
      <c r="D2079"/>
      <c r="G2079"/>
      <c r="L2079"/>
    </row>
    <row r="2080" spans="1:12" x14ac:dyDescent="0.25">
      <c r="A2080"/>
      <c r="B2080"/>
      <c r="D2080"/>
      <c r="G2080"/>
      <c r="L2080"/>
    </row>
    <row r="2081" spans="1:12" x14ac:dyDescent="0.25">
      <c r="A2081"/>
      <c r="B2081"/>
      <c r="D2081"/>
      <c r="G2081"/>
      <c r="L2081"/>
    </row>
    <row r="2082" spans="1:12" x14ac:dyDescent="0.25">
      <c r="A2082"/>
      <c r="B2082"/>
      <c r="D2082"/>
      <c r="G2082"/>
      <c r="L2082"/>
    </row>
    <row r="2083" spans="1:12" x14ac:dyDescent="0.25">
      <c r="A2083"/>
      <c r="B2083"/>
      <c r="D2083"/>
      <c r="G2083"/>
      <c r="L2083"/>
    </row>
    <row r="2084" spans="1:12" x14ac:dyDescent="0.25">
      <c r="A2084"/>
      <c r="B2084"/>
      <c r="D2084"/>
      <c r="G2084"/>
      <c r="L2084"/>
    </row>
    <row r="2085" spans="1:12" x14ac:dyDescent="0.25">
      <c r="A2085"/>
      <c r="B2085"/>
      <c r="D2085"/>
      <c r="G2085"/>
      <c r="L2085"/>
    </row>
    <row r="2086" spans="1:12" x14ac:dyDescent="0.25">
      <c r="A2086"/>
      <c r="B2086"/>
      <c r="D2086"/>
      <c r="G2086"/>
      <c r="L2086"/>
    </row>
    <row r="2087" spans="1:12" x14ac:dyDescent="0.25">
      <c r="A2087"/>
      <c r="B2087"/>
      <c r="D2087"/>
      <c r="G2087"/>
      <c r="L2087"/>
    </row>
    <row r="2088" spans="1:12" x14ac:dyDescent="0.25">
      <c r="A2088"/>
      <c r="B2088"/>
      <c r="D2088"/>
      <c r="G2088"/>
      <c r="L2088"/>
    </row>
    <row r="2089" spans="1:12" x14ac:dyDescent="0.25">
      <c r="A2089"/>
      <c r="B2089"/>
      <c r="D2089"/>
      <c r="G2089"/>
      <c r="L2089"/>
    </row>
    <row r="2090" spans="1:12" x14ac:dyDescent="0.25">
      <c r="A2090"/>
      <c r="B2090"/>
      <c r="D2090"/>
      <c r="G2090"/>
      <c r="L2090"/>
    </row>
    <row r="2091" spans="1:12" x14ac:dyDescent="0.25">
      <c r="A2091"/>
      <c r="B2091"/>
      <c r="D2091"/>
      <c r="G2091"/>
      <c r="L2091"/>
    </row>
    <row r="2092" spans="1:12" x14ac:dyDescent="0.25">
      <c r="A2092"/>
      <c r="B2092"/>
      <c r="D2092"/>
      <c r="G2092"/>
      <c r="L2092"/>
    </row>
    <row r="2093" spans="1:12" x14ac:dyDescent="0.25">
      <c r="A2093"/>
      <c r="B2093"/>
      <c r="D2093"/>
      <c r="G2093"/>
      <c r="L2093"/>
    </row>
    <row r="2094" spans="1:12" x14ac:dyDescent="0.25">
      <c r="A2094"/>
      <c r="B2094"/>
      <c r="D2094"/>
      <c r="G2094"/>
      <c r="L2094"/>
    </row>
    <row r="2095" spans="1:12" x14ac:dyDescent="0.25">
      <c r="A2095"/>
      <c r="B2095"/>
      <c r="D2095"/>
      <c r="G2095"/>
      <c r="L2095"/>
    </row>
    <row r="2096" spans="1:12" x14ac:dyDescent="0.25">
      <c r="A2096"/>
      <c r="B2096"/>
      <c r="D2096"/>
      <c r="G2096"/>
      <c r="L2096"/>
    </row>
    <row r="2097" spans="1:12" x14ac:dyDescent="0.25">
      <c r="A2097"/>
      <c r="B2097"/>
      <c r="D2097"/>
      <c r="G2097"/>
      <c r="L2097"/>
    </row>
    <row r="2098" spans="1:12" x14ac:dyDescent="0.25">
      <c r="A2098"/>
      <c r="B2098"/>
      <c r="D2098"/>
      <c r="G2098"/>
      <c r="L2098"/>
    </row>
    <row r="2099" spans="1:12" x14ac:dyDescent="0.25">
      <c r="A2099"/>
      <c r="B2099"/>
      <c r="D2099"/>
      <c r="G2099"/>
      <c r="L2099"/>
    </row>
    <row r="2100" spans="1:12" x14ac:dyDescent="0.25">
      <c r="A2100"/>
      <c r="B2100"/>
      <c r="D2100"/>
      <c r="G2100"/>
      <c r="L2100"/>
    </row>
    <row r="2101" spans="1:12" x14ac:dyDescent="0.25">
      <c r="A2101"/>
      <c r="B2101"/>
      <c r="D2101"/>
      <c r="G2101"/>
      <c r="L2101"/>
    </row>
    <row r="2102" spans="1:12" x14ac:dyDescent="0.25">
      <c r="A2102"/>
      <c r="B2102"/>
      <c r="D2102"/>
      <c r="G2102"/>
      <c r="L2102"/>
    </row>
    <row r="2103" spans="1:12" x14ac:dyDescent="0.25">
      <c r="A2103"/>
      <c r="B2103"/>
      <c r="D2103"/>
      <c r="G2103"/>
      <c r="L2103"/>
    </row>
    <row r="2104" spans="1:12" x14ac:dyDescent="0.25">
      <c r="A2104"/>
      <c r="B2104"/>
      <c r="D2104"/>
      <c r="G2104"/>
      <c r="L2104"/>
    </row>
    <row r="2105" spans="1:12" x14ac:dyDescent="0.25">
      <c r="A2105"/>
      <c r="B2105"/>
      <c r="D2105"/>
      <c r="G2105"/>
      <c r="L2105"/>
    </row>
    <row r="2106" spans="1:12" x14ac:dyDescent="0.25">
      <c r="A2106"/>
      <c r="B2106"/>
      <c r="D2106"/>
      <c r="G2106"/>
      <c r="L2106"/>
    </row>
    <row r="2107" spans="1:12" x14ac:dyDescent="0.25">
      <c r="A2107"/>
      <c r="B2107"/>
      <c r="D2107"/>
      <c r="G2107"/>
      <c r="L2107"/>
    </row>
    <row r="2108" spans="1:12" x14ac:dyDescent="0.25">
      <c r="A2108"/>
      <c r="B2108"/>
      <c r="D2108"/>
      <c r="G2108"/>
      <c r="L2108"/>
    </row>
    <row r="2109" spans="1:12" x14ac:dyDescent="0.25">
      <c r="A2109"/>
      <c r="B2109"/>
      <c r="D2109"/>
      <c r="G2109"/>
      <c r="L2109"/>
    </row>
    <row r="2110" spans="1:12" x14ac:dyDescent="0.25">
      <c r="A2110"/>
      <c r="B2110"/>
      <c r="D2110"/>
      <c r="G2110"/>
      <c r="L2110"/>
    </row>
    <row r="2111" spans="1:12" x14ac:dyDescent="0.25">
      <c r="A2111"/>
      <c r="B2111"/>
      <c r="D2111"/>
      <c r="G2111"/>
      <c r="L2111"/>
    </row>
    <row r="2112" spans="1:12" x14ac:dyDescent="0.25">
      <c r="A2112"/>
      <c r="B2112"/>
      <c r="D2112"/>
      <c r="G2112"/>
      <c r="L2112"/>
    </row>
    <row r="2113" spans="1:12" x14ac:dyDescent="0.25">
      <c r="A2113"/>
      <c r="B2113"/>
      <c r="D2113"/>
      <c r="G2113"/>
      <c r="L2113"/>
    </row>
    <row r="2114" spans="1:12" x14ac:dyDescent="0.25">
      <c r="A2114"/>
      <c r="B2114"/>
      <c r="D2114"/>
      <c r="G2114"/>
      <c r="L2114"/>
    </row>
    <row r="2115" spans="1:12" x14ac:dyDescent="0.25">
      <c r="A2115"/>
      <c r="B2115"/>
      <c r="D2115"/>
      <c r="G2115"/>
      <c r="L2115"/>
    </row>
    <row r="2116" spans="1:12" x14ac:dyDescent="0.25">
      <c r="A2116"/>
      <c r="B2116"/>
      <c r="D2116"/>
      <c r="G2116"/>
      <c r="L2116"/>
    </row>
    <row r="2117" spans="1:12" x14ac:dyDescent="0.25">
      <c r="A2117"/>
      <c r="B2117"/>
      <c r="D2117"/>
      <c r="G2117"/>
      <c r="L2117"/>
    </row>
    <row r="2118" spans="1:12" x14ac:dyDescent="0.25">
      <c r="A2118"/>
      <c r="B2118"/>
      <c r="D2118"/>
      <c r="G2118"/>
      <c r="L2118"/>
    </row>
    <row r="2119" spans="1:12" x14ac:dyDescent="0.25">
      <c r="A2119"/>
      <c r="B2119"/>
      <c r="D2119"/>
      <c r="G2119"/>
      <c r="L2119"/>
    </row>
    <row r="2120" spans="1:12" x14ac:dyDescent="0.25">
      <c r="A2120"/>
      <c r="B2120"/>
      <c r="D2120"/>
      <c r="G2120"/>
      <c r="L2120"/>
    </row>
    <row r="2121" spans="1:12" x14ac:dyDescent="0.25">
      <c r="A2121"/>
      <c r="B2121"/>
      <c r="D2121"/>
      <c r="G2121"/>
      <c r="L2121"/>
    </row>
    <row r="2122" spans="1:12" x14ac:dyDescent="0.25">
      <c r="A2122"/>
      <c r="B2122"/>
      <c r="D2122"/>
      <c r="G2122"/>
      <c r="L2122"/>
    </row>
    <row r="2123" spans="1:12" x14ac:dyDescent="0.25">
      <c r="A2123"/>
      <c r="B2123"/>
      <c r="D2123"/>
      <c r="G2123"/>
      <c r="L2123"/>
    </row>
    <row r="2124" spans="1:12" x14ac:dyDescent="0.25">
      <c r="A2124"/>
      <c r="B2124"/>
      <c r="D2124"/>
      <c r="G2124"/>
      <c r="L2124"/>
    </row>
    <row r="2125" spans="1:12" x14ac:dyDescent="0.25">
      <c r="A2125"/>
      <c r="B2125"/>
      <c r="D2125"/>
      <c r="G2125"/>
      <c r="L2125"/>
    </row>
    <row r="2126" spans="1:12" x14ac:dyDescent="0.25">
      <c r="A2126"/>
      <c r="B2126"/>
      <c r="D2126"/>
      <c r="G2126"/>
      <c r="L2126"/>
    </row>
    <row r="2127" spans="1:12" x14ac:dyDescent="0.25">
      <c r="A2127"/>
      <c r="B2127"/>
      <c r="D2127"/>
      <c r="G2127"/>
      <c r="L2127"/>
    </row>
    <row r="2128" spans="1:12" x14ac:dyDescent="0.25">
      <c r="A2128"/>
      <c r="B2128"/>
      <c r="D2128"/>
      <c r="G2128"/>
      <c r="L2128"/>
    </row>
    <row r="2129" spans="1:12" x14ac:dyDescent="0.25">
      <c r="A2129"/>
      <c r="B2129"/>
      <c r="D2129"/>
      <c r="G2129"/>
      <c r="L2129"/>
    </row>
    <row r="2130" spans="1:12" x14ac:dyDescent="0.25">
      <c r="A2130"/>
      <c r="B2130"/>
      <c r="D2130"/>
      <c r="G2130"/>
      <c r="L2130"/>
    </row>
    <row r="2131" spans="1:12" x14ac:dyDescent="0.25">
      <c r="A2131"/>
      <c r="B2131"/>
      <c r="D2131"/>
      <c r="G2131"/>
      <c r="L2131"/>
    </row>
    <row r="2132" spans="1:12" x14ac:dyDescent="0.25">
      <c r="A2132"/>
      <c r="B2132"/>
      <c r="D2132"/>
      <c r="G2132"/>
      <c r="L2132"/>
    </row>
    <row r="2133" spans="1:12" x14ac:dyDescent="0.25">
      <c r="A2133"/>
      <c r="B2133"/>
      <c r="D2133"/>
      <c r="G2133"/>
      <c r="L2133"/>
    </row>
    <row r="2134" spans="1:12" x14ac:dyDescent="0.25">
      <c r="A2134"/>
      <c r="B2134"/>
      <c r="D2134"/>
      <c r="G2134"/>
      <c r="L2134"/>
    </row>
    <row r="2135" spans="1:12" x14ac:dyDescent="0.25">
      <c r="A2135"/>
      <c r="B2135"/>
      <c r="D2135"/>
      <c r="G2135"/>
      <c r="L2135"/>
    </row>
    <row r="2136" spans="1:12" x14ac:dyDescent="0.25">
      <c r="A2136"/>
      <c r="B2136"/>
      <c r="D2136"/>
      <c r="G2136"/>
      <c r="L2136"/>
    </row>
    <row r="2137" spans="1:12" x14ac:dyDescent="0.25">
      <c r="A2137"/>
      <c r="B2137"/>
      <c r="D2137"/>
      <c r="G2137"/>
      <c r="L2137"/>
    </row>
    <row r="2138" spans="1:12" x14ac:dyDescent="0.25">
      <c r="A2138"/>
      <c r="B2138"/>
      <c r="D2138"/>
      <c r="G2138"/>
      <c r="L2138"/>
    </row>
    <row r="2139" spans="1:12" x14ac:dyDescent="0.25">
      <c r="A2139"/>
      <c r="B2139"/>
      <c r="D2139"/>
      <c r="G2139"/>
      <c r="L2139"/>
    </row>
    <row r="2140" spans="1:12" x14ac:dyDescent="0.25">
      <c r="A2140"/>
      <c r="B2140"/>
      <c r="D2140"/>
      <c r="G2140"/>
      <c r="L2140"/>
    </row>
    <row r="2141" spans="1:12" x14ac:dyDescent="0.25">
      <c r="A2141"/>
      <c r="B2141"/>
      <c r="D2141"/>
      <c r="G2141"/>
      <c r="L2141"/>
    </row>
    <row r="2142" spans="1:12" x14ac:dyDescent="0.25">
      <c r="A2142"/>
      <c r="B2142"/>
      <c r="D2142"/>
      <c r="G2142"/>
      <c r="L2142"/>
    </row>
    <row r="2143" spans="1:12" x14ac:dyDescent="0.25">
      <c r="A2143"/>
      <c r="B2143"/>
      <c r="D2143"/>
      <c r="G2143"/>
      <c r="L2143"/>
    </row>
    <row r="2144" spans="1:12" x14ac:dyDescent="0.25">
      <c r="A2144"/>
      <c r="B2144"/>
      <c r="D2144"/>
      <c r="G2144"/>
      <c r="L2144"/>
    </row>
    <row r="2145" spans="1:12" x14ac:dyDescent="0.25">
      <c r="A2145"/>
      <c r="B2145"/>
      <c r="D2145"/>
      <c r="G2145"/>
      <c r="L2145"/>
    </row>
    <row r="2146" spans="1:12" x14ac:dyDescent="0.25">
      <c r="A2146"/>
      <c r="B2146"/>
      <c r="D2146"/>
      <c r="G2146"/>
      <c r="L2146"/>
    </row>
    <row r="2147" spans="1:12" x14ac:dyDescent="0.25">
      <c r="A2147"/>
      <c r="B2147"/>
      <c r="D2147"/>
      <c r="G2147"/>
      <c r="L2147"/>
    </row>
    <row r="2148" spans="1:12" x14ac:dyDescent="0.25">
      <c r="A2148"/>
      <c r="B2148"/>
      <c r="D2148"/>
      <c r="G2148"/>
      <c r="L2148"/>
    </row>
    <row r="2149" spans="1:12" x14ac:dyDescent="0.25">
      <c r="A2149"/>
      <c r="B2149"/>
      <c r="D2149"/>
      <c r="G2149"/>
      <c r="L2149"/>
    </row>
    <row r="2150" spans="1:12" x14ac:dyDescent="0.25">
      <c r="A2150"/>
      <c r="B2150"/>
      <c r="D2150"/>
      <c r="G2150"/>
      <c r="L2150"/>
    </row>
    <row r="2151" spans="1:12" x14ac:dyDescent="0.25">
      <c r="A2151"/>
      <c r="B2151"/>
      <c r="D2151"/>
      <c r="G2151"/>
      <c r="L2151"/>
    </row>
    <row r="2152" spans="1:12" x14ac:dyDescent="0.25">
      <c r="A2152"/>
      <c r="B2152"/>
      <c r="D2152"/>
      <c r="G2152"/>
      <c r="L2152"/>
    </row>
    <row r="2153" spans="1:12" x14ac:dyDescent="0.25">
      <c r="A2153"/>
      <c r="B2153"/>
      <c r="D2153"/>
      <c r="G2153"/>
      <c r="L2153"/>
    </row>
    <row r="2154" spans="1:12" x14ac:dyDescent="0.25">
      <c r="A2154"/>
      <c r="B2154"/>
      <c r="D2154"/>
      <c r="G2154"/>
      <c r="L2154"/>
    </row>
    <row r="2155" spans="1:12" x14ac:dyDescent="0.25">
      <c r="A2155"/>
      <c r="B2155"/>
      <c r="D2155"/>
      <c r="G2155"/>
      <c r="L2155"/>
    </row>
    <row r="2156" spans="1:12" x14ac:dyDescent="0.25">
      <c r="A2156"/>
      <c r="B2156"/>
      <c r="D2156"/>
      <c r="G2156"/>
      <c r="L2156"/>
    </row>
    <row r="2157" spans="1:12" x14ac:dyDescent="0.25">
      <c r="A2157"/>
      <c r="B2157"/>
      <c r="D2157"/>
      <c r="G2157"/>
      <c r="L2157"/>
    </row>
    <row r="2158" spans="1:12" x14ac:dyDescent="0.25">
      <c r="A2158"/>
      <c r="B2158"/>
      <c r="D2158"/>
      <c r="G2158"/>
      <c r="L2158"/>
    </row>
    <row r="2159" spans="1:12" x14ac:dyDescent="0.25">
      <c r="A2159"/>
      <c r="B2159"/>
      <c r="D2159"/>
      <c r="G2159"/>
      <c r="L2159"/>
    </row>
    <row r="2160" spans="1:12" x14ac:dyDescent="0.25">
      <c r="A2160"/>
      <c r="B2160"/>
      <c r="D2160"/>
      <c r="G2160"/>
      <c r="L2160"/>
    </row>
    <row r="2161" spans="1:12" x14ac:dyDescent="0.25">
      <c r="A2161"/>
      <c r="B2161"/>
      <c r="D2161"/>
      <c r="G2161"/>
      <c r="L2161"/>
    </row>
    <row r="2162" spans="1:12" x14ac:dyDescent="0.25">
      <c r="A2162"/>
      <c r="B2162"/>
      <c r="D2162"/>
      <c r="G2162"/>
      <c r="L2162"/>
    </row>
    <row r="2163" spans="1:12" x14ac:dyDescent="0.25">
      <c r="A2163"/>
      <c r="B2163"/>
      <c r="D2163"/>
      <c r="G2163"/>
      <c r="L2163"/>
    </row>
    <row r="2164" spans="1:12" x14ac:dyDescent="0.25">
      <c r="A2164"/>
      <c r="B2164"/>
      <c r="D2164"/>
      <c r="G2164"/>
      <c r="L2164"/>
    </row>
    <row r="2165" spans="1:12" x14ac:dyDescent="0.25">
      <c r="A2165"/>
      <c r="B2165"/>
      <c r="D2165"/>
      <c r="G2165"/>
      <c r="L2165"/>
    </row>
    <row r="2166" spans="1:12" x14ac:dyDescent="0.25">
      <c r="A2166"/>
      <c r="B2166"/>
      <c r="D2166"/>
      <c r="G2166"/>
      <c r="L2166"/>
    </row>
    <row r="2167" spans="1:12" x14ac:dyDescent="0.25">
      <c r="A2167"/>
      <c r="B2167"/>
      <c r="D2167"/>
      <c r="G2167"/>
      <c r="L2167"/>
    </row>
    <row r="2168" spans="1:12" x14ac:dyDescent="0.25">
      <c r="A2168"/>
      <c r="B2168"/>
      <c r="D2168"/>
      <c r="G2168"/>
      <c r="L2168"/>
    </row>
    <row r="2169" spans="1:12" x14ac:dyDescent="0.25">
      <c r="A2169"/>
      <c r="B2169"/>
      <c r="D2169"/>
      <c r="G2169"/>
      <c r="L2169"/>
    </row>
    <row r="2170" spans="1:12" x14ac:dyDescent="0.25">
      <c r="A2170"/>
      <c r="B2170"/>
      <c r="D2170"/>
      <c r="G2170"/>
      <c r="L2170"/>
    </row>
    <row r="2171" spans="1:12" x14ac:dyDescent="0.25">
      <c r="A2171"/>
      <c r="B2171"/>
      <c r="D2171"/>
      <c r="G2171"/>
      <c r="L2171"/>
    </row>
    <row r="2172" spans="1:12" x14ac:dyDescent="0.25">
      <c r="A2172"/>
      <c r="B2172"/>
      <c r="D2172"/>
      <c r="G2172"/>
      <c r="L2172"/>
    </row>
    <row r="2173" spans="1:12" x14ac:dyDescent="0.25">
      <c r="A2173"/>
      <c r="B2173"/>
      <c r="D2173"/>
      <c r="G2173"/>
      <c r="L2173"/>
    </row>
    <row r="2174" spans="1:12" x14ac:dyDescent="0.25">
      <c r="A2174"/>
      <c r="B2174"/>
      <c r="D2174"/>
      <c r="G2174"/>
      <c r="L2174"/>
    </row>
    <row r="2175" spans="1:12" x14ac:dyDescent="0.25">
      <c r="A2175"/>
      <c r="B2175"/>
      <c r="D2175"/>
      <c r="G2175"/>
      <c r="L2175"/>
    </row>
    <row r="2176" spans="1:12" x14ac:dyDescent="0.25">
      <c r="A2176"/>
      <c r="B2176"/>
      <c r="D2176"/>
      <c r="G2176"/>
      <c r="L2176"/>
    </row>
    <row r="2177" spans="1:12" x14ac:dyDescent="0.25">
      <c r="A2177"/>
      <c r="B2177"/>
      <c r="D2177"/>
      <c r="G2177"/>
      <c r="L2177"/>
    </row>
    <row r="2178" spans="1:12" x14ac:dyDescent="0.25">
      <c r="A2178"/>
      <c r="B2178"/>
      <c r="D2178"/>
      <c r="G2178"/>
      <c r="L2178"/>
    </row>
    <row r="2179" spans="1:12" x14ac:dyDescent="0.25">
      <c r="A2179"/>
      <c r="B2179"/>
      <c r="D2179"/>
      <c r="G2179"/>
      <c r="L2179"/>
    </row>
    <row r="2180" spans="1:12" x14ac:dyDescent="0.25">
      <c r="A2180"/>
      <c r="B2180"/>
      <c r="D2180"/>
      <c r="G2180"/>
      <c r="L2180"/>
    </row>
    <row r="2181" spans="1:12" x14ac:dyDescent="0.25">
      <c r="A2181"/>
      <c r="B2181"/>
      <c r="D2181"/>
      <c r="G2181"/>
      <c r="L2181"/>
    </row>
    <row r="2182" spans="1:12" x14ac:dyDescent="0.25">
      <c r="A2182"/>
      <c r="B2182"/>
      <c r="D2182"/>
      <c r="G2182"/>
      <c r="L2182"/>
    </row>
    <row r="2183" spans="1:12" x14ac:dyDescent="0.25">
      <c r="A2183"/>
      <c r="B2183"/>
      <c r="D2183"/>
      <c r="G2183"/>
      <c r="L2183"/>
    </row>
    <row r="2184" spans="1:12" x14ac:dyDescent="0.25">
      <c r="A2184"/>
      <c r="B2184"/>
      <c r="D2184"/>
      <c r="G2184"/>
      <c r="L2184"/>
    </row>
    <row r="2185" spans="1:12" x14ac:dyDescent="0.25">
      <c r="A2185"/>
      <c r="B2185"/>
      <c r="D2185"/>
      <c r="G2185"/>
      <c r="L2185"/>
    </row>
    <row r="2186" spans="1:12" x14ac:dyDescent="0.25">
      <c r="A2186"/>
      <c r="B2186"/>
      <c r="D2186"/>
      <c r="G2186"/>
      <c r="L2186"/>
    </row>
    <row r="2187" spans="1:12" x14ac:dyDescent="0.25">
      <c r="A2187"/>
      <c r="B2187"/>
      <c r="D2187"/>
      <c r="G2187"/>
      <c r="L2187"/>
    </row>
    <row r="2188" spans="1:12" x14ac:dyDescent="0.25">
      <c r="A2188"/>
      <c r="B2188"/>
      <c r="D2188"/>
      <c r="G2188"/>
      <c r="L2188"/>
    </row>
    <row r="2189" spans="1:12" x14ac:dyDescent="0.25">
      <c r="A2189"/>
      <c r="B2189"/>
      <c r="D2189"/>
      <c r="G2189"/>
      <c r="L2189"/>
    </row>
    <row r="2190" spans="1:12" x14ac:dyDescent="0.25">
      <c r="A2190"/>
      <c r="B2190"/>
      <c r="D2190"/>
      <c r="G2190"/>
      <c r="L2190"/>
    </row>
    <row r="2191" spans="1:12" x14ac:dyDescent="0.25">
      <c r="A2191"/>
      <c r="B2191"/>
      <c r="D2191"/>
      <c r="G2191"/>
      <c r="L2191"/>
    </row>
    <row r="2192" spans="1:12" x14ac:dyDescent="0.25">
      <c r="A2192"/>
      <c r="B2192"/>
      <c r="D2192"/>
      <c r="G2192"/>
      <c r="L2192"/>
    </row>
    <row r="2193" spans="1:12" x14ac:dyDescent="0.25">
      <c r="A2193"/>
      <c r="B2193"/>
      <c r="D2193"/>
      <c r="G2193"/>
      <c r="L2193"/>
    </row>
    <row r="2194" spans="1:12" x14ac:dyDescent="0.25">
      <c r="A2194"/>
      <c r="B2194"/>
      <c r="D2194"/>
      <c r="G2194"/>
      <c r="L2194"/>
    </row>
    <row r="2195" spans="1:12" x14ac:dyDescent="0.25">
      <c r="A2195"/>
      <c r="B2195"/>
      <c r="D2195"/>
      <c r="G2195"/>
      <c r="L2195"/>
    </row>
    <row r="2196" spans="1:12" x14ac:dyDescent="0.25">
      <c r="A2196"/>
      <c r="B2196"/>
      <c r="D2196"/>
      <c r="G2196"/>
      <c r="L2196"/>
    </row>
    <row r="2197" spans="1:12" x14ac:dyDescent="0.25">
      <c r="A2197"/>
      <c r="B2197"/>
      <c r="D2197"/>
      <c r="G2197"/>
      <c r="L2197"/>
    </row>
    <row r="2198" spans="1:12" x14ac:dyDescent="0.25">
      <c r="A2198"/>
      <c r="B2198"/>
      <c r="D2198"/>
      <c r="G2198"/>
      <c r="L2198"/>
    </row>
    <row r="2199" spans="1:12" x14ac:dyDescent="0.25">
      <c r="A2199"/>
      <c r="B2199"/>
      <c r="D2199"/>
      <c r="G2199"/>
      <c r="L2199"/>
    </row>
    <row r="2200" spans="1:12" x14ac:dyDescent="0.25">
      <c r="A2200"/>
      <c r="B2200"/>
      <c r="D2200"/>
      <c r="G2200"/>
      <c r="L2200"/>
    </row>
    <row r="2201" spans="1:12" x14ac:dyDescent="0.25">
      <c r="A2201"/>
      <c r="B2201"/>
      <c r="D2201"/>
      <c r="G2201"/>
      <c r="L2201"/>
    </row>
    <row r="2202" spans="1:12" x14ac:dyDescent="0.25">
      <c r="A2202"/>
      <c r="B2202"/>
      <c r="D2202"/>
      <c r="G2202"/>
      <c r="L2202"/>
    </row>
    <row r="2203" spans="1:12" x14ac:dyDescent="0.25">
      <c r="A2203"/>
      <c r="B2203"/>
      <c r="D2203"/>
      <c r="G2203"/>
      <c r="L2203"/>
    </row>
    <row r="2204" spans="1:12" x14ac:dyDescent="0.25">
      <c r="A2204"/>
      <c r="B2204"/>
      <c r="D2204"/>
      <c r="G2204"/>
      <c r="L2204"/>
    </row>
    <row r="2205" spans="1:12" x14ac:dyDescent="0.25">
      <c r="A2205"/>
      <c r="B2205"/>
      <c r="D2205"/>
      <c r="G2205"/>
      <c r="L2205"/>
    </row>
    <row r="2206" spans="1:12" x14ac:dyDescent="0.25">
      <c r="A2206"/>
      <c r="B2206"/>
      <c r="D2206"/>
      <c r="G2206"/>
      <c r="L2206"/>
    </row>
    <row r="2207" spans="1:12" x14ac:dyDescent="0.25">
      <c r="A2207"/>
      <c r="B2207"/>
      <c r="D2207"/>
      <c r="G2207"/>
      <c r="L2207"/>
    </row>
    <row r="2208" spans="1:12" x14ac:dyDescent="0.25">
      <c r="A2208"/>
      <c r="B2208"/>
      <c r="D2208"/>
      <c r="G2208"/>
      <c r="L2208"/>
    </row>
    <row r="2209" spans="1:12" x14ac:dyDescent="0.25">
      <c r="A2209"/>
      <c r="B2209"/>
      <c r="D2209"/>
      <c r="G2209"/>
      <c r="L2209"/>
    </row>
    <row r="2210" spans="1:12" x14ac:dyDescent="0.25">
      <c r="A2210"/>
      <c r="B2210"/>
      <c r="D2210"/>
      <c r="G2210"/>
      <c r="L2210"/>
    </row>
    <row r="2211" spans="1:12" x14ac:dyDescent="0.25">
      <c r="A2211"/>
      <c r="B2211"/>
      <c r="D2211"/>
      <c r="G2211"/>
      <c r="L2211"/>
    </row>
    <row r="2212" spans="1:12" x14ac:dyDescent="0.25">
      <c r="A2212"/>
      <c r="B2212"/>
      <c r="D2212"/>
      <c r="G2212"/>
      <c r="L2212"/>
    </row>
    <row r="2213" spans="1:12" x14ac:dyDescent="0.25">
      <c r="A2213"/>
      <c r="B2213"/>
      <c r="D2213"/>
      <c r="G2213"/>
      <c r="L2213"/>
    </row>
    <row r="2214" spans="1:12" x14ac:dyDescent="0.25">
      <c r="A2214"/>
      <c r="B2214"/>
      <c r="D2214"/>
      <c r="G2214"/>
      <c r="L2214"/>
    </row>
    <row r="2215" spans="1:12" x14ac:dyDescent="0.25">
      <c r="A2215"/>
      <c r="B2215"/>
      <c r="D2215"/>
      <c r="G2215"/>
      <c r="L2215"/>
    </row>
    <row r="2216" spans="1:12" x14ac:dyDescent="0.25">
      <c r="A2216"/>
      <c r="B2216"/>
      <c r="D2216"/>
      <c r="G2216"/>
      <c r="L2216"/>
    </row>
    <row r="2217" spans="1:12" x14ac:dyDescent="0.25">
      <c r="A2217"/>
      <c r="B2217"/>
      <c r="D2217"/>
      <c r="G2217"/>
      <c r="L2217"/>
    </row>
    <row r="2218" spans="1:12" x14ac:dyDescent="0.25">
      <c r="A2218"/>
      <c r="B2218"/>
      <c r="D2218"/>
      <c r="G2218"/>
      <c r="L2218"/>
    </row>
    <row r="2219" spans="1:12" x14ac:dyDescent="0.25">
      <c r="A2219"/>
      <c r="B2219"/>
      <c r="D2219"/>
      <c r="G2219"/>
      <c r="L2219"/>
    </row>
    <row r="2220" spans="1:12" x14ac:dyDescent="0.25">
      <c r="A2220"/>
      <c r="B2220"/>
      <c r="D2220"/>
      <c r="G2220"/>
      <c r="L2220"/>
    </row>
    <row r="2221" spans="1:12" x14ac:dyDescent="0.25">
      <c r="A2221"/>
      <c r="B2221"/>
      <c r="D2221"/>
      <c r="G2221"/>
      <c r="L2221"/>
    </row>
    <row r="2222" spans="1:12" x14ac:dyDescent="0.25">
      <c r="A2222"/>
      <c r="B2222"/>
      <c r="D2222"/>
      <c r="G2222"/>
      <c r="L2222"/>
    </row>
    <row r="2223" spans="1:12" x14ac:dyDescent="0.25">
      <c r="A2223"/>
      <c r="B2223"/>
      <c r="D2223"/>
      <c r="G2223"/>
      <c r="L2223"/>
    </row>
    <row r="2224" spans="1:12" x14ac:dyDescent="0.25">
      <c r="A2224"/>
      <c r="B2224"/>
      <c r="D2224"/>
      <c r="G2224"/>
      <c r="L2224"/>
    </row>
    <row r="2225" spans="1:12" x14ac:dyDescent="0.25">
      <c r="A2225"/>
      <c r="B2225"/>
      <c r="D2225"/>
      <c r="G2225"/>
      <c r="L2225"/>
    </row>
    <row r="2226" spans="1:12" x14ac:dyDescent="0.25">
      <c r="A2226"/>
      <c r="B2226"/>
      <c r="D2226"/>
      <c r="G2226"/>
      <c r="L2226"/>
    </row>
    <row r="2227" spans="1:12" x14ac:dyDescent="0.25">
      <c r="A2227"/>
      <c r="B2227"/>
      <c r="D2227"/>
      <c r="G2227"/>
      <c r="L2227"/>
    </row>
    <row r="2228" spans="1:12" x14ac:dyDescent="0.25">
      <c r="A2228"/>
      <c r="B2228"/>
      <c r="D2228"/>
      <c r="G2228"/>
      <c r="L2228"/>
    </row>
    <row r="2229" spans="1:12" x14ac:dyDescent="0.25">
      <c r="A2229"/>
      <c r="B2229"/>
      <c r="D2229"/>
      <c r="G2229"/>
      <c r="L2229"/>
    </row>
    <row r="2230" spans="1:12" x14ac:dyDescent="0.25">
      <c r="A2230"/>
      <c r="B2230"/>
      <c r="D2230"/>
      <c r="G2230"/>
      <c r="L2230"/>
    </row>
    <row r="2231" spans="1:12" x14ac:dyDescent="0.25">
      <c r="A2231"/>
      <c r="B2231"/>
      <c r="D2231"/>
      <c r="G2231"/>
      <c r="L2231"/>
    </row>
    <row r="2232" spans="1:12" x14ac:dyDescent="0.25">
      <c r="A2232"/>
      <c r="B2232"/>
      <c r="D2232"/>
      <c r="G2232"/>
      <c r="L2232"/>
    </row>
    <row r="2233" spans="1:12" x14ac:dyDescent="0.25">
      <c r="A2233"/>
      <c r="B2233"/>
      <c r="D2233"/>
      <c r="G2233"/>
      <c r="L2233"/>
    </row>
    <row r="2234" spans="1:12" x14ac:dyDescent="0.25">
      <c r="A2234"/>
      <c r="B2234"/>
      <c r="D2234"/>
      <c r="G2234"/>
      <c r="L2234"/>
    </row>
    <row r="2235" spans="1:12" x14ac:dyDescent="0.25">
      <c r="A2235"/>
      <c r="B2235"/>
      <c r="D2235"/>
      <c r="G2235"/>
      <c r="L2235"/>
    </row>
    <row r="2236" spans="1:12" x14ac:dyDescent="0.25">
      <c r="A2236"/>
      <c r="B2236"/>
      <c r="D2236"/>
      <c r="G2236"/>
      <c r="L2236"/>
    </row>
    <row r="2237" spans="1:12" x14ac:dyDescent="0.25">
      <c r="A2237"/>
      <c r="B2237"/>
      <c r="D2237"/>
      <c r="G2237"/>
      <c r="L2237"/>
    </row>
    <row r="2238" spans="1:12" x14ac:dyDescent="0.25">
      <c r="A2238"/>
      <c r="B2238"/>
      <c r="D2238"/>
      <c r="G2238"/>
      <c r="L2238"/>
    </row>
    <row r="2239" spans="1:12" x14ac:dyDescent="0.25">
      <c r="A2239"/>
      <c r="B2239"/>
      <c r="D2239"/>
      <c r="G2239"/>
      <c r="L2239"/>
    </row>
    <row r="2240" spans="1:12" x14ac:dyDescent="0.25">
      <c r="A2240"/>
      <c r="B2240"/>
      <c r="D2240"/>
      <c r="G2240"/>
      <c r="L2240"/>
    </row>
    <row r="2241" spans="1:12" x14ac:dyDescent="0.25">
      <c r="A2241"/>
      <c r="B2241"/>
      <c r="D2241"/>
      <c r="G2241"/>
      <c r="L2241"/>
    </row>
    <row r="2242" spans="1:12" x14ac:dyDescent="0.25">
      <c r="A2242"/>
      <c r="B2242"/>
      <c r="D2242"/>
      <c r="G2242"/>
      <c r="L2242"/>
    </row>
    <row r="2243" spans="1:12" x14ac:dyDescent="0.25">
      <c r="A2243"/>
      <c r="B2243"/>
      <c r="D2243"/>
      <c r="G2243"/>
      <c r="L2243"/>
    </row>
    <row r="2244" spans="1:12" x14ac:dyDescent="0.25">
      <c r="A2244"/>
      <c r="B2244"/>
      <c r="D2244"/>
      <c r="G2244"/>
      <c r="L2244"/>
    </row>
    <row r="2245" spans="1:12" x14ac:dyDescent="0.25">
      <c r="A2245"/>
      <c r="B2245"/>
      <c r="D2245"/>
      <c r="G2245"/>
      <c r="L2245"/>
    </row>
    <row r="2246" spans="1:12" x14ac:dyDescent="0.25">
      <c r="A2246"/>
      <c r="B2246"/>
      <c r="D2246"/>
      <c r="G2246"/>
      <c r="L2246"/>
    </row>
    <row r="2247" spans="1:12" x14ac:dyDescent="0.25">
      <c r="A2247"/>
      <c r="B2247"/>
      <c r="D2247"/>
      <c r="G2247"/>
      <c r="L2247"/>
    </row>
    <row r="2248" spans="1:12" x14ac:dyDescent="0.25">
      <c r="A2248"/>
      <c r="B2248"/>
      <c r="D2248"/>
      <c r="G2248"/>
      <c r="L2248"/>
    </row>
    <row r="2249" spans="1:12" x14ac:dyDescent="0.25">
      <c r="A2249"/>
      <c r="B2249"/>
      <c r="D2249"/>
      <c r="G2249"/>
      <c r="L2249"/>
    </row>
    <row r="2250" spans="1:12" x14ac:dyDescent="0.25">
      <c r="A2250"/>
      <c r="B2250"/>
      <c r="D2250"/>
      <c r="G2250"/>
      <c r="L2250"/>
    </row>
    <row r="2251" spans="1:12" x14ac:dyDescent="0.25">
      <c r="A2251"/>
      <c r="B2251"/>
      <c r="D2251"/>
      <c r="G2251"/>
      <c r="L2251"/>
    </row>
    <row r="2252" spans="1:12" x14ac:dyDescent="0.25">
      <c r="A2252"/>
      <c r="B2252"/>
      <c r="D2252"/>
      <c r="G2252"/>
      <c r="L2252"/>
    </row>
    <row r="2253" spans="1:12" x14ac:dyDescent="0.25">
      <c r="A2253"/>
      <c r="B2253"/>
      <c r="D2253"/>
      <c r="G2253"/>
      <c r="L2253"/>
    </row>
    <row r="2254" spans="1:12" x14ac:dyDescent="0.25">
      <c r="A2254"/>
      <c r="B2254"/>
      <c r="D2254"/>
      <c r="G2254"/>
      <c r="L2254"/>
    </row>
    <row r="2255" spans="1:12" x14ac:dyDescent="0.25">
      <c r="A2255"/>
      <c r="B2255"/>
      <c r="D2255"/>
      <c r="G2255"/>
      <c r="L2255"/>
    </row>
    <row r="2256" spans="1:12" x14ac:dyDescent="0.25">
      <c r="A2256"/>
      <c r="B2256"/>
      <c r="D2256"/>
      <c r="G2256"/>
      <c r="L2256"/>
    </row>
    <row r="2257" spans="1:12" x14ac:dyDescent="0.25">
      <c r="A2257"/>
      <c r="B2257"/>
      <c r="D2257"/>
      <c r="G2257"/>
      <c r="L2257"/>
    </row>
    <row r="2258" spans="1:12" x14ac:dyDescent="0.25">
      <c r="A2258"/>
      <c r="B2258"/>
      <c r="D2258"/>
      <c r="G2258"/>
      <c r="L2258"/>
    </row>
    <row r="2259" spans="1:12" x14ac:dyDescent="0.25">
      <c r="A2259"/>
      <c r="B2259"/>
      <c r="D2259"/>
      <c r="G2259"/>
      <c r="L2259"/>
    </row>
    <row r="2260" spans="1:12" x14ac:dyDescent="0.25">
      <c r="A2260"/>
      <c r="B2260"/>
      <c r="D2260"/>
      <c r="G2260"/>
      <c r="L2260"/>
    </row>
    <row r="2261" spans="1:12" x14ac:dyDescent="0.25">
      <c r="A2261"/>
      <c r="B2261"/>
      <c r="D2261"/>
      <c r="G2261"/>
      <c r="L2261"/>
    </row>
    <row r="2262" spans="1:12" x14ac:dyDescent="0.25">
      <c r="A2262"/>
      <c r="B2262"/>
      <c r="D2262"/>
      <c r="G2262"/>
      <c r="L2262"/>
    </row>
    <row r="2263" spans="1:12" x14ac:dyDescent="0.25">
      <c r="A2263"/>
      <c r="B2263"/>
      <c r="D2263"/>
      <c r="G2263"/>
      <c r="L2263"/>
    </row>
    <row r="2264" spans="1:12" x14ac:dyDescent="0.25">
      <c r="A2264"/>
      <c r="B2264"/>
      <c r="D2264"/>
      <c r="G2264"/>
      <c r="L2264"/>
    </row>
    <row r="2265" spans="1:12" x14ac:dyDescent="0.25">
      <c r="A2265"/>
      <c r="B2265"/>
      <c r="D2265"/>
      <c r="G2265"/>
      <c r="L2265"/>
    </row>
    <row r="2266" spans="1:12" x14ac:dyDescent="0.25">
      <c r="A2266"/>
      <c r="B2266"/>
      <c r="D2266"/>
      <c r="G2266"/>
      <c r="L2266"/>
    </row>
    <row r="2267" spans="1:12" x14ac:dyDescent="0.25">
      <c r="A2267"/>
      <c r="B2267"/>
      <c r="D2267"/>
      <c r="G2267"/>
      <c r="L2267"/>
    </row>
    <row r="2268" spans="1:12" x14ac:dyDescent="0.25">
      <c r="A2268"/>
      <c r="B2268"/>
      <c r="D2268"/>
      <c r="G2268"/>
      <c r="L2268"/>
    </row>
    <row r="2269" spans="1:12" x14ac:dyDescent="0.25">
      <c r="A2269"/>
      <c r="B2269"/>
      <c r="D2269"/>
      <c r="G2269"/>
      <c r="L2269"/>
    </row>
    <row r="2270" spans="1:12" x14ac:dyDescent="0.25">
      <c r="A2270"/>
      <c r="B2270"/>
      <c r="D2270"/>
      <c r="G2270"/>
      <c r="L2270"/>
    </row>
    <row r="2271" spans="1:12" x14ac:dyDescent="0.25">
      <c r="A2271"/>
      <c r="B2271"/>
      <c r="D2271"/>
      <c r="G2271"/>
      <c r="L2271"/>
    </row>
    <row r="2272" spans="1:12" x14ac:dyDescent="0.25">
      <c r="A2272"/>
      <c r="B2272"/>
      <c r="D2272"/>
      <c r="G2272"/>
      <c r="L2272"/>
    </row>
    <row r="2273" spans="1:12" x14ac:dyDescent="0.25">
      <c r="A2273"/>
      <c r="B2273"/>
      <c r="D2273"/>
      <c r="G2273"/>
      <c r="L2273"/>
    </row>
    <row r="2274" spans="1:12" x14ac:dyDescent="0.25">
      <c r="A2274"/>
      <c r="B2274"/>
      <c r="D2274"/>
      <c r="G2274"/>
      <c r="L2274"/>
    </row>
    <row r="2275" spans="1:12" x14ac:dyDescent="0.25">
      <c r="A2275"/>
      <c r="B2275"/>
      <c r="D2275"/>
      <c r="G2275"/>
      <c r="L2275"/>
    </row>
    <row r="2276" spans="1:12" x14ac:dyDescent="0.25">
      <c r="A2276"/>
      <c r="B2276"/>
      <c r="D2276"/>
      <c r="G2276"/>
      <c r="L2276"/>
    </row>
    <row r="2277" spans="1:12" x14ac:dyDescent="0.25">
      <c r="A2277"/>
      <c r="B2277"/>
      <c r="D2277"/>
      <c r="G2277"/>
      <c r="L2277"/>
    </row>
    <row r="2278" spans="1:12" x14ac:dyDescent="0.25">
      <c r="A2278"/>
      <c r="B2278"/>
      <c r="D2278"/>
      <c r="G2278"/>
      <c r="L2278"/>
    </row>
    <row r="2279" spans="1:12" x14ac:dyDescent="0.25">
      <c r="A2279"/>
      <c r="B2279"/>
      <c r="D2279"/>
      <c r="G2279"/>
      <c r="L2279"/>
    </row>
    <row r="2280" spans="1:12" x14ac:dyDescent="0.25">
      <c r="A2280"/>
      <c r="B2280"/>
      <c r="D2280"/>
      <c r="G2280"/>
      <c r="L2280"/>
    </row>
    <row r="2281" spans="1:12" x14ac:dyDescent="0.25">
      <c r="A2281"/>
      <c r="B2281"/>
      <c r="D2281"/>
      <c r="G2281"/>
      <c r="L2281"/>
    </row>
    <row r="2282" spans="1:12" x14ac:dyDescent="0.25">
      <c r="A2282"/>
      <c r="B2282"/>
      <c r="D2282"/>
      <c r="G2282"/>
      <c r="L2282"/>
    </row>
    <row r="2283" spans="1:12" x14ac:dyDescent="0.25">
      <c r="A2283"/>
      <c r="B2283"/>
      <c r="D2283"/>
      <c r="G2283"/>
      <c r="L2283"/>
    </row>
    <row r="2284" spans="1:12" x14ac:dyDescent="0.25">
      <c r="A2284"/>
      <c r="B2284"/>
      <c r="D2284"/>
      <c r="G2284"/>
      <c r="L2284"/>
    </row>
    <row r="2285" spans="1:12" x14ac:dyDescent="0.25">
      <c r="A2285"/>
      <c r="B2285"/>
      <c r="D2285"/>
      <c r="G2285"/>
      <c r="L2285"/>
    </row>
    <row r="2286" spans="1:12" x14ac:dyDescent="0.25">
      <c r="A2286"/>
      <c r="B2286"/>
      <c r="D2286"/>
      <c r="G2286"/>
      <c r="L2286"/>
    </row>
    <row r="2287" spans="1:12" x14ac:dyDescent="0.25">
      <c r="A2287"/>
      <c r="B2287"/>
      <c r="D2287"/>
      <c r="G2287"/>
      <c r="L2287"/>
    </row>
    <row r="2288" spans="1:12" x14ac:dyDescent="0.25">
      <c r="A2288"/>
      <c r="B2288"/>
      <c r="D2288"/>
      <c r="G2288"/>
      <c r="L2288"/>
    </row>
    <row r="2289" spans="1:12" x14ac:dyDescent="0.25">
      <c r="A2289"/>
      <c r="B2289"/>
      <c r="D2289"/>
      <c r="G2289"/>
      <c r="L2289"/>
    </row>
    <row r="2290" spans="1:12" x14ac:dyDescent="0.25">
      <c r="A2290"/>
      <c r="B2290"/>
      <c r="D2290"/>
      <c r="G2290"/>
      <c r="L2290"/>
    </row>
    <row r="2291" spans="1:12" x14ac:dyDescent="0.25">
      <c r="A2291"/>
      <c r="B2291"/>
      <c r="D2291"/>
      <c r="G2291"/>
      <c r="L2291"/>
    </row>
    <row r="2292" spans="1:12" x14ac:dyDescent="0.25">
      <c r="A2292"/>
      <c r="B2292"/>
      <c r="D2292"/>
      <c r="G2292"/>
      <c r="L2292"/>
    </row>
    <row r="2293" spans="1:12" x14ac:dyDescent="0.25">
      <c r="A2293"/>
      <c r="B2293"/>
      <c r="D2293"/>
      <c r="G2293"/>
      <c r="L2293"/>
    </row>
    <row r="2294" spans="1:12" x14ac:dyDescent="0.25">
      <c r="A2294"/>
      <c r="B2294"/>
      <c r="D2294"/>
      <c r="G2294"/>
      <c r="L2294"/>
    </row>
    <row r="2295" spans="1:12" x14ac:dyDescent="0.25">
      <c r="A2295"/>
      <c r="B2295"/>
      <c r="D2295"/>
      <c r="G2295"/>
      <c r="L2295"/>
    </row>
    <row r="2296" spans="1:12" x14ac:dyDescent="0.25">
      <c r="A2296"/>
      <c r="B2296"/>
      <c r="D2296"/>
      <c r="G2296"/>
      <c r="L2296"/>
    </row>
    <row r="2297" spans="1:12" x14ac:dyDescent="0.25">
      <c r="A2297"/>
      <c r="B2297"/>
      <c r="D2297"/>
      <c r="G2297"/>
      <c r="L2297"/>
    </row>
    <row r="2298" spans="1:12" x14ac:dyDescent="0.25">
      <c r="A2298"/>
      <c r="B2298"/>
      <c r="D2298"/>
      <c r="G2298"/>
      <c r="L2298"/>
    </row>
    <row r="2299" spans="1:12" x14ac:dyDescent="0.25">
      <c r="A2299"/>
      <c r="B2299"/>
      <c r="D2299"/>
      <c r="G2299"/>
      <c r="L2299"/>
    </row>
    <row r="2300" spans="1:12" x14ac:dyDescent="0.25">
      <c r="A2300"/>
      <c r="B2300"/>
      <c r="D2300"/>
      <c r="G2300"/>
      <c r="L2300"/>
    </row>
    <row r="2301" spans="1:12" x14ac:dyDescent="0.25">
      <c r="A2301"/>
      <c r="B2301"/>
      <c r="D2301"/>
      <c r="G2301"/>
      <c r="L2301"/>
    </row>
    <row r="2302" spans="1:12" x14ac:dyDescent="0.25">
      <c r="A2302"/>
      <c r="B2302"/>
      <c r="D2302"/>
      <c r="G2302"/>
      <c r="L2302"/>
    </row>
    <row r="2303" spans="1:12" x14ac:dyDescent="0.25">
      <c r="A2303"/>
      <c r="B2303"/>
      <c r="D2303"/>
      <c r="G2303"/>
      <c r="L2303"/>
    </row>
    <row r="2304" spans="1:12" x14ac:dyDescent="0.25">
      <c r="A2304"/>
      <c r="B2304"/>
      <c r="D2304"/>
      <c r="G2304"/>
      <c r="L2304"/>
    </row>
    <row r="2305" spans="1:12" x14ac:dyDescent="0.25">
      <c r="A2305"/>
      <c r="B2305"/>
      <c r="D2305"/>
      <c r="G2305"/>
      <c r="L2305"/>
    </row>
    <row r="2306" spans="1:12" x14ac:dyDescent="0.25">
      <c r="A2306"/>
      <c r="B2306"/>
      <c r="D2306"/>
      <c r="G2306"/>
      <c r="L2306"/>
    </row>
    <row r="2307" spans="1:12" x14ac:dyDescent="0.25">
      <c r="A2307"/>
      <c r="B2307"/>
      <c r="D2307"/>
      <c r="G2307"/>
      <c r="L2307"/>
    </row>
    <row r="2308" spans="1:12" x14ac:dyDescent="0.25">
      <c r="A2308"/>
      <c r="B2308"/>
      <c r="D2308"/>
      <c r="G2308"/>
      <c r="L2308"/>
    </row>
    <row r="2309" spans="1:12" x14ac:dyDescent="0.25">
      <c r="A2309"/>
      <c r="B2309"/>
      <c r="D2309"/>
      <c r="G2309"/>
      <c r="L2309"/>
    </row>
    <row r="2310" spans="1:12" x14ac:dyDescent="0.25">
      <c r="A2310"/>
      <c r="B2310"/>
      <c r="D2310"/>
      <c r="G2310"/>
      <c r="L2310"/>
    </row>
    <row r="2311" spans="1:12" x14ac:dyDescent="0.25">
      <c r="A2311"/>
      <c r="B2311"/>
      <c r="D2311"/>
      <c r="G2311"/>
      <c r="L2311"/>
    </row>
    <row r="2312" spans="1:12" x14ac:dyDescent="0.25">
      <c r="A2312"/>
      <c r="B2312"/>
      <c r="D2312"/>
      <c r="G2312"/>
      <c r="L2312"/>
    </row>
    <row r="2313" spans="1:12" x14ac:dyDescent="0.25">
      <c r="A2313"/>
      <c r="B2313"/>
      <c r="D2313"/>
      <c r="G2313"/>
      <c r="L2313"/>
    </row>
    <row r="2314" spans="1:12" x14ac:dyDescent="0.25">
      <c r="A2314"/>
      <c r="B2314"/>
      <c r="D2314"/>
      <c r="G2314"/>
      <c r="L2314"/>
    </row>
    <row r="2315" spans="1:12" x14ac:dyDescent="0.25">
      <c r="A2315"/>
      <c r="B2315"/>
      <c r="D2315"/>
      <c r="G2315"/>
      <c r="L2315"/>
    </row>
    <row r="2316" spans="1:12" x14ac:dyDescent="0.25">
      <c r="A2316"/>
      <c r="B2316"/>
      <c r="D2316"/>
      <c r="G2316"/>
      <c r="L2316"/>
    </row>
    <row r="2317" spans="1:12" x14ac:dyDescent="0.25">
      <c r="A2317"/>
      <c r="B2317"/>
      <c r="D2317"/>
      <c r="G2317"/>
      <c r="L2317"/>
    </row>
    <row r="2318" spans="1:12" x14ac:dyDescent="0.25">
      <c r="A2318"/>
      <c r="B2318"/>
      <c r="D2318"/>
      <c r="G2318"/>
      <c r="L2318"/>
    </row>
    <row r="2319" spans="1:12" x14ac:dyDescent="0.25">
      <c r="A2319"/>
      <c r="B2319"/>
      <c r="D2319"/>
      <c r="G2319"/>
      <c r="L2319"/>
    </row>
    <row r="2320" spans="1:12" x14ac:dyDescent="0.25">
      <c r="A2320"/>
      <c r="B2320"/>
      <c r="D2320"/>
      <c r="G2320"/>
      <c r="L2320"/>
    </row>
    <row r="2321" spans="1:12" x14ac:dyDescent="0.25">
      <c r="A2321"/>
      <c r="B2321"/>
      <c r="D2321"/>
      <c r="G2321"/>
      <c r="L2321"/>
    </row>
    <row r="2322" spans="1:12" x14ac:dyDescent="0.25">
      <c r="A2322"/>
      <c r="B2322"/>
      <c r="D2322"/>
      <c r="G2322"/>
      <c r="L2322"/>
    </row>
    <row r="2323" spans="1:12" x14ac:dyDescent="0.25">
      <c r="A2323"/>
      <c r="B2323"/>
      <c r="D2323"/>
      <c r="G2323"/>
      <c r="L2323"/>
    </row>
    <row r="2324" spans="1:12" x14ac:dyDescent="0.25">
      <c r="A2324"/>
      <c r="B2324"/>
      <c r="D2324"/>
      <c r="G2324"/>
      <c r="L2324"/>
    </row>
    <row r="2325" spans="1:12" x14ac:dyDescent="0.25">
      <c r="A2325"/>
      <c r="B2325"/>
      <c r="D2325"/>
      <c r="G2325"/>
      <c r="L2325"/>
    </row>
    <row r="2326" spans="1:12" x14ac:dyDescent="0.25">
      <c r="A2326"/>
      <c r="B2326"/>
      <c r="D2326"/>
      <c r="G2326"/>
      <c r="L2326"/>
    </row>
    <row r="2327" spans="1:12" x14ac:dyDescent="0.25">
      <c r="A2327"/>
      <c r="B2327"/>
      <c r="D2327"/>
      <c r="G2327"/>
      <c r="L2327"/>
    </row>
    <row r="2328" spans="1:12" x14ac:dyDescent="0.25">
      <c r="A2328"/>
      <c r="B2328"/>
      <c r="D2328"/>
      <c r="G2328"/>
      <c r="L2328"/>
    </row>
    <row r="2329" spans="1:12" x14ac:dyDescent="0.25">
      <c r="A2329"/>
      <c r="B2329"/>
      <c r="D2329"/>
      <c r="G2329"/>
      <c r="L2329"/>
    </row>
    <row r="2330" spans="1:12" x14ac:dyDescent="0.25">
      <c r="A2330"/>
      <c r="B2330"/>
      <c r="D2330"/>
      <c r="G2330"/>
      <c r="L2330"/>
    </row>
    <row r="2331" spans="1:12" x14ac:dyDescent="0.25">
      <c r="A2331"/>
      <c r="B2331"/>
      <c r="D2331"/>
      <c r="G2331"/>
      <c r="L2331"/>
    </row>
    <row r="2332" spans="1:12" x14ac:dyDescent="0.25">
      <c r="A2332"/>
      <c r="B2332"/>
      <c r="D2332"/>
      <c r="G2332"/>
      <c r="L2332"/>
    </row>
    <row r="2333" spans="1:12" x14ac:dyDescent="0.25">
      <c r="A2333"/>
      <c r="B2333"/>
      <c r="D2333"/>
      <c r="G2333"/>
      <c r="L2333"/>
    </row>
    <row r="2334" spans="1:12" x14ac:dyDescent="0.25">
      <c r="A2334"/>
      <c r="B2334"/>
      <c r="D2334"/>
      <c r="G2334"/>
      <c r="L2334"/>
    </row>
    <row r="2335" spans="1:12" x14ac:dyDescent="0.25">
      <c r="A2335"/>
      <c r="B2335"/>
      <c r="D2335"/>
      <c r="G2335"/>
      <c r="L2335"/>
    </row>
    <row r="2336" spans="1:12" x14ac:dyDescent="0.25">
      <c r="A2336"/>
      <c r="B2336"/>
      <c r="D2336"/>
      <c r="G2336"/>
      <c r="L2336"/>
    </row>
    <row r="2337" spans="1:12" x14ac:dyDescent="0.25">
      <c r="A2337"/>
      <c r="B2337"/>
      <c r="D2337"/>
      <c r="G2337"/>
      <c r="L2337"/>
    </row>
    <row r="2338" spans="1:12" x14ac:dyDescent="0.25">
      <c r="A2338"/>
      <c r="B2338"/>
      <c r="D2338"/>
      <c r="G2338"/>
      <c r="L2338"/>
    </row>
    <row r="2339" spans="1:12" x14ac:dyDescent="0.25">
      <c r="A2339"/>
      <c r="B2339"/>
      <c r="D2339"/>
      <c r="G2339"/>
      <c r="L2339"/>
    </row>
    <row r="2340" spans="1:12" x14ac:dyDescent="0.25">
      <c r="A2340"/>
      <c r="B2340"/>
      <c r="D2340"/>
      <c r="G2340"/>
      <c r="L2340"/>
    </row>
    <row r="2341" spans="1:12" x14ac:dyDescent="0.25">
      <c r="A2341"/>
      <c r="B2341"/>
      <c r="D2341"/>
      <c r="G2341"/>
      <c r="L2341"/>
    </row>
    <row r="2342" spans="1:12" x14ac:dyDescent="0.25">
      <c r="A2342"/>
      <c r="B2342"/>
      <c r="D2342"/>
      <c r="G2342"/>
      <c r="L2342"/>
    </row>
    <row r="2343" spans="1:12" x14ac:dyDescent="0.25">
      <c r="A2343"/>
      <c r="B2343"/>
      <c r="D2343"/>
      <c r="G2343"/>
      <c r="L2343"/>
    </row>
    <row r="2344" spans="1:12" x14ac:dyDescent="0.25">
      <c r="A2344"/>
      <c r="B2344"/>
      <c r="D2344"/>
      <c r="G2344"/>
      <c r="L2344"/>
    </row>
    <row r="2345" spans="1:12" x14ac:dyDescent="0.25">
      <c r="A2345"/>
      <c r="B2345"/>
      <c r="D2345"/>
      <c r="G2345"/>
      <c r="L2345"/>
    </row>
    <row r="2346" spans="1:12" x14ac:dyDescent="0.25">
      <c r="A2346"/>
      <c r="B2346"/>
      <c r="D2346"/>
      <c r="G2346"/>
      <c r="L2346"/>
    </row>
    <row r="2347" spans="1:12" x14ac:dyDescent="0.25">
      <c r="A2347"/>
      <c r="B2347"/>
      <c r="D2347"/>
      <c r="G2347"/>
      <c r="L2347"/>
    </row>
    <row r="2348" spans="1:12" x14ac:dyDescent="0.25">
      <c r="A2348"/>
      <c r="B2348"/>
      <c r="D2348"/>
      <c r="G2348"/>
      <c r="L2348"/>
    </row>
    <row r="2349" spans="1:12" x14ac:dyDescent="0.25">
      <c r="A2349"/>
      <c r="B2349"/>
      <c r="D2349"/>
      <c r="G2349"/>
      <c r="L2349"/>
    </row>
    <row r="2350" spans="1:12" x14ac:dyDescent="0.25">
      <c r="A2350"/>
      <c r="B2350"/>
      <c r="D2350"/>
      <c r="G2350"/>
      <c r="L2350"/>
    </row>
    <row r="2351" spans="1:12" x14ac:dyDescent="0.25">
      <c r="A2351"/>
      <c r="B2351"/>
      <c r="D2351"/>
      <c r="G2351"/>
      <c r="L2351"/>
    </row>
    <row r="2352" spans="1:12" x14ac:dyDescent="0.25">
      <c r="A2352"/>
      <c r="B2352"/>
      <c r="D2352"/>
      <c r="G2352"/>
      <c r="L2352"/>
    </row>
    <row r="2353" spans="1:12" x14ac:dyDescent="0.25">
      <c r="A2353"/>
      <c r="B2353"/>
      <c r="D2353"/>
      <c r="G2353"/>
      <c r="L2353"/>
    </row>
    <row r="2354" spans="1:12" x14ac:dyDescent="0.25">
      <c r="A2354"/>
      <c r="B2354"/>
      <c r="D2354"/>
      <c r="G2354"/>
      <c r="L2354"/>
    </row>
    <row r="2355" spans="1:12" x14ac:dyDescent="0.25">
      <c r="A2355"/>
      <c r="B2355"/>
      <c r="D2355"/>
      <c r="G2355"/>
      <c r="L2355"/>
    </row>
    <row r="2356" spans="1:12" x14ac:dyDescent="0.25">
      <c r="A2356"/>
      <c r="B2356"/>
      <c r="D2356"/>
      <c r="G2356"/>
      <c r="L2356"/>
    </row>
    <row r="2357" spans="1:12" x14ac:dyDescent="0.25">
      <c r="A2357"/>
      <c r="B2357"/>
      <c r="D2357"/>
      <c r="G2357"/>
      <c r="L2357"/>
    </row>
    <row r="2358" spans="1:12" x14ac:dyDescent="0.25">
      <c r="A2358"/>
      <c r="B2358"/>
      <c r="D2358"/>
      <c r="G2358"/>
      <c r="L2358"/>
    </row>
    <row r="2359" spans="1:12" x14ac:dyDescent="0.25">
      <c r="A2359"/>
      <c r="B2359"/>
      <c r="D2359"/>
      <c r="G2359"/>
      <c r="L2359"/>
    </row>
    <row r="2360" spans="1:12" x14ac:dyDescent="0.25">
      <c r="A2360"/>
      <c r="B2360"/>
      <c r="D2360"/>
      <c r="G2360"/>
      <c r="L2360"/>
    </row>
    <row r="2361" spans="1:12" x14ac:dyDescent="0.25">
      <c r="A2361"/>
      <c r="B2361"/>
      <c r="D2361"/>
      <c r="G2361"/>
      <c r="L2361"/>
    </row>
    <row r="2362" spans="1:12" x14ac:dyDescent="0.25">
      <c r="A2362"/>
      <c r="B2362"/>
      <c r="D2362"/>
      <c r="G2362"/>
      <c r="L2362"/>
    </row>
    <row r="2363" spans="1:12" x14ac:dyDescent="0.25">
      <c r="A2363"/>
      <c r="B2363"/>
      <c r="D2363"/>
      <c r="G2363"/>
      <c r="L2363"/>
    </row>
    <row r="2364" spans="1:12" x14ac:dyDescent="0.25">
      <c r="A2364"/>
      <c r="B2364"/>
      <c r="D2364"/>
      <c r="G2364"/>
      <c r="L2364"/>
    </row>
    <row r="2365" spans="1:12" x14ac:dyDescent="0.25">
      <c r="A2365"/>
      <c r="B2365"/>
      <c r="D2365"/>
      <c r="G2365"/>
      <c r="L2365"/>
    </row>
    <row r="2366" spans="1:12" x14ac:dyDescent="0.25">
      <c r="A2366"/>
      <c r="B2366"/>
      <c r="D2366"/>
      <c r="G2366"/>
      <c r="L2366"/>
    </row>
    <row r="2367" spans="1:12" x14ac:dyDescent="0.25">
      <c r="A2367"/>
      <c r="B2367"/>
      <c r="D2367"/>
      <c r="G2367"/>
      <c r="L2367"/>
    </row>
    <row r="2368" spans="1:12" x14ac:dyDescent="0.25">
      <c r="A2368"/>
      <c r="B2368"/>
      <c r="D2368"/>
      <c r="G2368"/>
      <c r="L2368"/>
    </row>
    <row r="2369" spans="1:12" x14ac:dyDescent="0.25">
      <c r="A2369"/>
      <c r="B2369"/>
      <c r="D2369"/>
      <c r="G2369"/>
      <c r="L2369"/>
    </row>
    <row r="2370" spans="1:12" x14ac:dyDescent="0.25">
      <c r="A2370"/>
      <c r="B2370"/>
      <c r="D2370"/>
      <c r="G2370"/>
      <c r="L2370"/>
    </row>
    <row r="2371" spans="1:12" x14ac:dyDescent="0.25">
      <c r="A2371"/>
      <c r="B2371"/>
      <c r="D2371"/>
      <c r="G2371"/>
      <c r="L2371"/>
    </row>
    <row r="2372" spans="1:12" x14ac:dyDescent="0.25">
      <c r="A2372"/>
      <c r="B2372"/>
      <c r="D2372"/>
      <c r="G2372"/>
      <c r="L2372"/>
    </row>
    <row r="2373" spans="1:12" x14ac:dyDescent="0.25">
      <c r="A2373"/>
      <c r="B2373"/>
      <c r="D2373"/>
      <c r="G2373"/>
      <c r="L2373"/>
    </row>
    <row r="2374" spans="1:12" x14ac:dyDescent="0.25">
      <c r="A2374"/>
      <c r="B2374"/>
      <c r="D2374"/>
      <c r="G2374"/>
      <c r="L2374"/>
    </row>
    <row r="2375" spans="1:12" x14ac:dyDescent="0.25">
      <c r="A2375"/>
      <c r="B2375"/>
      <c r="D2375"/>
      <c r="G2375"/>
      <c r="L2375"/>
    </row>
    <row r="2376" spans="1:12" x14ac:dyDescent="0.25">
      <c r="A2376"/>
      <c r="B2376"/>
      <c r="D2376"/>
      <c r="G2376"/>
      <c r="L2376"/>
    </row>
    <row r="2377" spans="1:12" x14ac:dyDescent="0.25">
      <c r="A2377"/>
      <c r="B2377"/>
      <c r="D2377"/>
      <c r="G2377"/>
      <c r="L2377"/>
    </row>
    <row r="2378" spans="1:12" x14ac:dyDescent="0.25">
      <c r="A2378"/>
      <c r="B2378"/>
      <c r="D2378"/>
      <c r="G2378"/>
      <c r="L2378"/>
    </row>
    <row r="2379" spans="1:12" x14ac:dyDescent="0.25">
      <c r="A2379"/>
      <c r="B2379"/>
      <c r="D2379"/>
      <c r="G2379"/>
      <c r="L2379"/>
    </row>
    <row r="2380" spans="1:12" x14ac:dyDescent="0.25">
      <c r="A2380"/>
      <c r="B2380"/>
      <c r="D2380"/>
      <c r="G2380"/>
      <c r="L2380"/>
    </row>
    <row r="2381" spans="1:12" x14ac:dyDescent="0.25">
      <c r="A2381"/>
      <c r="B2381"/>
      <c r="D2381"/>
      <c r="G2381"/>
      <c r="L2381"/>
    </row>
    <row r="2382" spans="1:12" x14ac:dyDescent="0.25">
      <c r="A2382"/>
      <c r="B2382"/>
      <c r="D2382"/>
      <c r="G2382"/>
      <c r="L2382"/>
    </row>
    <row r="2383" spans="1:12" x14ac:dyDescent="0.25">
      <c r="A2383"/>
      <c r="B2383"/>
      <c r="D2383"/>
      <c r="G2383"/>
      <c r="L2383"/>
    </row>
    <row r="2384" spans="1:12" x14ac:dyDescent="0.25">
      <c r="A2384"/>
      <c r="B2384"/>
      <c r="D2384"/>
      <c r="G2384"/>
      <c r="L2384"/>
    </row>
    <row r="2385" spans="1:12" x14ac:dyDescent="0.25">
      <c r="A2385"/>
      <c r="B2385"/>
      <c r="D2385"/>
      <c r="G2385"/>
      <c r="L2385"/>
    </row>
    <row r="2386" spans="1:12" x14ac:dyDescent="0.25">
      <c r="A2386"/>
      <c r="B2386"/>
      <c r="D2386"/>
      <c r="G2386"/>
      <c r="L2386"/>
    </row>
    <row r="2387" spans="1:12" x14ac:dyDescent="0.25">
      <c r="A2387"/>
      <c r="B2387"/>
      <c r="D2387"/>
      <c r="G2387"/>
      <c r="L2387"/>
    </row>
    <row r="2388" spans="1:12" x14ac:dyDescent="0.25">
      <c r="A2388"/>
      <c r="B2388"/>
      <c r="D2388"/>
      <c r="G2388"/>
      <c r="L2388"/>
    </row>
    <row r="2389" spans="1:12" x14ac:dyDescent="0.25">
      <c r="A2389"/>
      <c r="B2389"/>
      <c r="D2389"/>
      <c r="G2389"/>
      <c r="L2389"/>
    </row>
    <row r="2390" spans="1:12" x14ac:dyDescent="0.25">
      <c r="A2390"/>
      <c r="B2390"/>
      <c r="D2390"/>
      <c r="G2390"/>
      <c r="L2390"/>
    </row>
    <row r="2391" spans="1:12" x14ac:dyDescent="0.25">
      <c r="A2391"/>
      <c r="B2391"/>
      <c r="D2391"/>
      <c r="G2391"/>
      <c r="L2391"/>
    </row>
    <row r="2392" spans="1:12" x14ac:dyDescent="0.25">
      <c r="A2392"/>
      <c r="B2392"/>
      <c r="D2392"/>
      <c r="G2392"/>
      <c r="L2392"/>
    </row>
    <row r="2393" spans="1:12" x14ac:dyDescent="0.25">
      <c r="A2393"/>
      <c r="B2393"/>
      <c r="D2393"/>
      <c r="G2393"/>
      <c r="L2393"/>
    </row>
    <row r="2394" spans="1:12" x14ac:dyDescent="0.25">
      <c r="A2394"/>
      <c r="B2394"/>
      <c r="D2394"/>
      <c r="G2394"/>
      <c r="L2394"/>
    </row>
    <row r="2395" spans="1:12" x14ac:dyDescent="0.25">
      <c r="A2395"/>
      <c r="B2395"/>
      <c r="D2395"/>
      <c r="G2395"/>
      <c r="L2395"/>
    </row>
    <row r="2396" spans="1:12" x14ac:dyDescent="0.25">
      <c r="A2396"/>
      <c r="B2396"/>
      <c r="D2396"/>
      <c r="G2396"/>
      <c r="L2396"/>
    </row>
    <row r="2397" spans="1:12" x14ac:dyDescent="0.25">
      <c r="A2397"/>
      <c r="B2397"/>
      <c r="D2397"/>
      <c r="G2397"/>
      <c r="L2397"/>
    </row>
    <row r="2398" spans="1:12" x14ac:dyDescent="0.25">
      <c r="A2398"/>
      <c r="B2398"/>
      <c r="D2398"/>
      <c r="G2398"/>
      <c r="L2398"/>
    </row>
    <row r="2399" spans="1:12" x14ac:dyDescent="0.25">
      <c r="A2399"/>
      <c r="B2399"/>
      <c r="D2399"/>
      <c r="G2399"/>
      <c r="L2399"/>
    </row>
    <row r="2400" spans="1:12" x14ac:dyDescent="0.25">
      <c r="A2400"/>
      <c r="B2400"/>
      <c r="D2400"/>
      <c r="G2400"/>
      <c r="L2400"/>
    </row>
    <row r="2401" spans="1:12" x14ac:dyDescent="0.25">
      <c r="A2401"/>
      <c r="B2401"/>
      <c r="D2401"/>
      <c r="G2401"/>
      <c r="L2401"/>
    </row>
    <row r="2402" spans="1:12" x14ac:dyDescent="0.25">
      <c r="A2402"/>
      <c r="B2402"/>
      <c r="D2402"/>
      <c r="G2402"/>
      <c r="L2402"/>
    </row>
    <row r="2403" spans="1:12" x14ac:dyDescent="0.25">
      <c r="A2403"/>
      <c r="B2403"/>
      <c r="D2403"/>
      <c r="G2403"/>
      <c r="L2403"/>
    </row>
    <row r="2404" spans="1:12" x14ac:dyDescent="0.25">
      <c r="A2404"/>
      <c r="B2404"/>
      <c r="D2404"/>
      <c r="G2404"/>
      <c r="L2404"/>
    </row>
    <row r="2405" spans="1:12" x14ac:dyDescent="0.25">
      <c r="A2405"/>
      <c r="B2405"/>
      <c r="D2405"/>
      <c r="G2405"/>
      <c r="L2405"/>
    </row>
    <row r="2406" spans="1:12" x14ac:dyDescent="0.25">
      <c r="A2406"/>
      <c r="B2406"/>
      <c r="D2406"/>
      <c r="G2406"/>
      <c r="L2406"/>
    </row>
    <row r="2407" spans="1:12" x14ac:dyDescent="0.25">
      <c r="A2407"/>
      <c r="B2407"/>
      <c r="D2407"/>
      <c r="G2407"/>
      <c r="L2407"/>
    </row>
    <row r="2408" spans="1:12" x14ac:dyDescent="0.25">
      <c r="A2408"/>
      <c r="B2408"/>
      <c r="D2408"/>
      <c r="G2408"/>
      <c r="L2408"/>
    </row>
    <row r="2409" spans="1:12" x14ac:dyDescent="0.25">
      <c r="A2409"/>
      <c r="B2409"/>
      <c r="D2409"/>
      <c r="G2409"/>
      <c r="L2409"/>
    </row>
    <row r="2410" spans="1:12" x14ac:dyDescent="0.25">
      <c r="A2410"/>
      <c r="B2410"/>
      <c r="D2410"/>
      <c r="G2410"/>
      <c r="L2410"/>
    </row>
    <row r="2411" spans="1:12" x14ac:dyDescent="0.25">
      <c r="A2411"/>
      <c r="B2411"/>
      <c r="D2411"/>
      <c r="G2411"/>
      <c r="L2411"/>
    </row>
    <row r="2412" spans="1:12" x14ac:dyDescent="0.25">
      <c r="A2412"/>
      <c r="B2412"/>
      <c r="D2412"/>
      <c r="G2412"/>
      <c r="L2412"/>
    </row>
    <row r="2413" spans="1:12" x14ac:dyDescent="0.25">
      <c r="A2413"/>
      <c r="B2413"/>
      <c r="D2413"/>
      <c r="G2413"/>
      <c r="L2413"/>
    </row>
    <row r="2414" spans="1:12" x14ac:dyDescent="0.25">
      <c r="A2414"/>
      <c r="B2414"/>
      <c r="D2414"/>
      <c r="G2414"/>
      <c r="L2414"/>
    </row>
    <row r="2415" spans="1:12" x14ac:dyDescent="0.25">
      <c r="A2415"/>
      <c r="B2415"/>
      <c r="D2415"/>
      <c r="G2415"/>
      <c r="L2415"/>
    </row>
    <row r="2416" spans="1:12" x14ac:dyDescent="0.25">
      <c r="A2416"/>
      <c r="B2416"/>
      <c r="D2416"/>
      <c r="G2416"/>
      <c r="L2416"/>
    </row>
    <row r="2417" spans="1:12" x14ac:dyDescent="0.25">
      <c r="A2417"/>
      <c r="B2417"/>
      <c r="D2417"/>
      <c r="G2417"/>
      <c r="L2417"/>
    </row>
    <row r="2418" spans="1:12" x14ac:dyDescent="0.25">
      <c r="A2418"/>
      <c r="B2418"/>
      <c r="D2418"/>
      <c r="G2418"/>
      <c r="L2418"/>
    </row>
    <row r="2419" spans="1:12" x14ac:dyDescent="0.25">
      <c r="A2419"/>
      <c r="B2419"/>
      <c r="D2419"/>
      <c r="G2419"/>
      <c r="L2419"/>
    </row>
    <row r="2420" spans="1:12" x14ac:dyDescent="0.25">
      <c r="A2420"/>
      <c r="B2420"/>
      <c r="D2420"/>
      <c r="G2420"/>
      <c r="L2420"/>
    </row>
    <row r="2421" spans="1:12" x14ac:dyDescent="0.25">
      <c r="A2421"/>
      <c r="B2421"/>
      <c r="D2421"/>
      <c r="G2421"/>
      <c r="L2421"/>
    </row>
    <row r="2422" spans="1:12" x14ac:dyDescent="0.25">
      <c r="A2422"/>
      <c r="B2422"/>
      <c r="D2422"/>
      <c r="G2422"/>
      <c r="L2422"/>
    </row>
    <row r="2423" spans="1:12" x14ac:dyDescent="0.25">
      <c r="A2423"/>
      <c r="B2423"/>
      <c r="D2423"/>
      <c r="G2423"/>
      <c r="L2423"/>
    </row>
    <row r="2424" spans="1:12" x14ac:dyDescent="0.25">
      <c r="A2424"/>
      <c r="B2424"/>
      <c r="D2424"/>
      <c r="G2424"/>
      <c r="L2424"/>
    </row>
    <row r="2425" spans="1:12" x14ac:dyDescent="0.25">
      <c r="A2425"/>
      <c r="B2425"/>
      <c r="D2425"/>
      <c r="G2425"/>
      <c r="L2425"/>
    </row>
    <row r="2426" spans="1:12" x14ac:dyDescent="0.25">
      <c r="A2426"/>
      <c r="B2426"/>
      <c r="D2426"/>
      <c r="G2426"/>
      <c r="L2426"/>
    </row>
    <row r="2427" spans="1:12" x14ac:dyDescent="0.25">
      <c r="A2427"/>
      <c r="B2427"/>
      <c r="D2427"/>
      <c r="G2427"/>
      <c r="L2427"/>
    </row>
    <row r="2428" spans="1:12" x14ac:dyDescent="0.25">
      <c r="A2428"/>
      <c r="B2428"/>
      <c r="D2428"/>
      <c r="G2428"/>
      <c r="L2428"/>
    </row>
    <row r="2429" spans="1:12" x14ac:dyDescent="0.25">
      <c r="A2429"/>
      <c r="B2429"/>
      <c r="D2429"/>
      <c r="G2429"/>
      <c r="L2429"/>
    </row>
    <row r="2430" spans="1:12" x14ac:dyDescent="0.25">
      <c r="A2430"/>
      <c r="B2430"/>
      <c r="D2430"/>
      <c r="G2430"/>
      <c r="L2430"/>
    </row>
    <row r="2431" spans="1:12" x14ac:dyDescent="0.25">
      <c r="A2431"/>
      <c r="B2431"/>
      <c r="D2431"/>
      <c r="G2431"/>
      <c r="L2431"/>
    </row>
    <row r="2432" spans="1:12" x14ac:dyDescent="0.25">
      <c r="A2432"/>
      <c r="B2432"/>
      <c r="D2432"/>
      <c r="G2432"/>
      <c r="L2432"/>
    </row>
    <row r="2433" spans="1:12" x14ac:dyDescent="0.25">
      <c r="A2433"/>
      <c r="B2433"/>
      <c r="D2433"/>
      <c r="G2433"/>
      <c r="L2433"/>
    </row>
    <row r="2434" spans="1:12" x14ac:dyDescent="0.25">
      <c r="A2434"/>
      <c r="B2434"/>
      <c r="D2434"/>
      <c r="G2434"/>
      <c r="L2434"/>
    </row>
    <row r="2435" spans="1:12" x14ac:dyDescent="0.25">
      <c r="A2435"/>
      <c r="B2435"/>
      <c r="D2435"/>
      <c r="G2435"/>
      <c r="L2435"/>
    </row>
    <row r="2436" spans="1:12" x14ac:dyDescent="0.25">
      <c r="A2436"/>
      <c r="B2436"/>
      <c r="D2436"/>
      <c r="G2436"/>
      <c r="L2436"/>
    </row>
    <row r="2437" spans="1:12" x14ac:dyDescent="0.25">
      <c r="A2437"/>
      <c r="B2437"/>
      <c r="D2437"/>
      <c r="G2437"/>
      <c r="L2437"/>
    </row>
    <row r="2438" spans="1:12" x14ac:dyDescent="0.25">
      <c r="A2438"/>
      <c r="B2438"/>
      <c r="D2438"/>
      <c r="G2438"/>
      <c r="L2438"/>
    </row>
    <row r="2439" spans="1:12" x14ac:dyDescent="0.25">
      <c r="A2439"/>
      <c r="B2439"/>
      <c r="D2439"/>
      <c r="G2439"/>
      <c r="L2439"/>
    </row>
    <row r="2440" spans="1:12" x14ac:dyDescent="0.25">
      <c r="A2440"/>
      <c r="B2440"/>
      <c r="D2440"/>
      <c r="G2440"/>
      <c r="L2440"/>
    </row>
    <row r="2441" spans="1:12" x14ac:dyDescent="0.25">
      <c r="A2441"/>
      <c r="B2441"/>
      <c r="D2441"/>
      <c r="G2441"/>
      <c r="L2441"/>
    </row>
    <row r="2442" spans="1:12" x14ac:dyDescent="0.25">
      <c r="A2442"/>
      <c r="B2442"/>
      <c r="D2442"/>
      <c r="G2442"/>
      <c r="L2442"/>
    </row>
    <row r="2443" spans="1:12" x14ac:dyDescent="0.25">
      <c r="A2443"/>
      <c r="B2443"/>
      <c r="D2443"/>
      <c r="G2443"/>
      <c r="L2443"/>
    </row>
    <row r="2444" spans="1:12" x14ac:dyDescent="0.25">
      <c r="A2444"/>
      <c r="B2444"/>
      <c r="D2444"/>
      <c r="G2444"/>
      <c r="L2444"/>
    </row>
    <row r="2445" spans="1:12" x14ac:dyDescent="0.25">
      <c r="A2445"/>
      <c r="B2445"/>
      <c r="D2445"/>
      <c r="G2445"/>
      <c r="L2445"/>
    </row>
    <row r="2446" spans="1:12" x14ac:dyDescent="0.25">
      <c r="A2446"/>
      <c r="B2446"/>
      <c r="D2446"/>
      <c r="G2446"/>
      <c r="L2446"/>
    </row>
    <row r="2447" spans="1:12" x14ac:dyDescent="0.25">
      <c r="A2447"/>
      <c r="B2447"/>
      <c r="D2447"/>
      <c r="G2447"/>
      <c r="L2447"/>
    </row>
    <row r="2448" spans="1:12" x14ac:dyDescent="0.25">
      <c r="A2448"/>
      <c r="B2448"/>
      <c r="D2448"/>
      <c r="G2448"/>
      <c r="L2448"/>
    </row>
    <row r="2449" spans="1:12" x14ac:dyDescent="0.25">
      <c r="A2449"/>
      <c r="B2449"/>
      <c r="D2449"/>
      <c r="G2449"/>
      <c r="L2449"/>
    </row>
    <row r="2450" spans="1:12" x14ac:dyDescent="0.25">
      <c r="A2450"/>
      <c r="B2450"/>
      <c r="D2450"/>
      <c r="G2450"/>
      <c r="L2450"/>
    </row>
    <row r="2451" spans="1:12" x14ac:dyDescent="0.25">
      <c r="A2451"/>
      <c r="B2451"/>
      <c r="D2451"/>
      <c r="G2451"/>
      <c r="L2451"/>
    </row>
    <row r="2452" spans="1:12" x14ac:dyDescent="0.25">
      <c r="A2452"/>
      <c r="B2452"/>
      <c r="D2452"/>
      <c r="G2452"/>
      <c r="L2452"/>
    </row>
    <row r="2453" spans="1:12" x14ac:dyDescent="0.25">
      <c r="A2453"/>
      <c r="B2453"/>
      <c r="D2453"/>
      <c r="G2453"/>
      <c r="L2453"/>
    </row>
    <row r="2454" spans="1:12" x14ac:dyDescent="0.25">
      <c r="A2454"/>
      <c r="B2454"/>
      <c r="D2454"/>
      <c r="G2454"/>
      <c r="L2454"/>
    </row>
    <row r="2455" spans="1:12" x14ac:dyDescent="0.25">
      <c r="A2455"/>
      <c r="B2455"/>
      <c r="D2455"/>
      <c r="G2455"/>
      <c r="L2455"/>
    </row>
    <row r="2456" spans="1:12" x14ac:dyDescent="0.25">
      <c r="A2456"/>
      <c r="B2456"/>
      <c r="D2456"/>
      <c r="G2456"/>
      <c r="L2456"/>
    </row>
    <row r="2457" spans="1:12" x14ac:dyDescent="0.25">
      <c r="A2457"/>
      <c r="B2457"/>
      <c r="D2457"/>
      <c r="G2457"/>
      <c r="L2457"/>
    </row>
    <row r="2458" spans="1:12" x14ac:dyDescent="0.25">
      <c r="A2458"/>
      <c r="B2458"/>
      <c r="D2458"/>
      <c r="G2458"/>
      <c r="L2458"/>
    </row>
    <row r="2459" spans="1:12" x14ac:dyDescent="0.25">
      <c r="A2459"/>
      <c r="B2459"/>
      <c r="D2459"/>
      <c r="G2459"/>
      <c r="L2459"/>
    </row>
    <row r="2460" spans="1:12" x14ac:dyDescent="0.25">
      <c r="A2460"/>
      <c r="B2460"/>
      <c r="D2460"/>
      <c r="G2460"/>
      <c r="L2460"/>
    </row>
    <row r="2461" spans="1:12" x14ac:dyDescent="0.25">
      <c r="A2461"/>
      <c r="B2461"/>
      <c r="D2461"/>
      <c r="G2461"/>
      <c r="L2461"/>
    </row>
    <row r="2462" spans="1:12" x14ac:dyDescent="0.25">
      <c r="A2462"/>
      <c r="B2462"/>
      <c r="D2462"/>
      <c r="G2462"/>
      <c r="L2462"/>
    </row>
    <row r="2463" spans="1:12" x14ac:dyDescent="0.25">
      <c r="A2463"/>
      <c r="B2463"/>
      <c r="D2463"/>
      <c r="G2463"/>
      <c r="L2463"/>
    </row>
    <row r="2464" spans="1:12" x14ac:dyDescent="0.25">
      <c r="A2464"/>
      <c r="B2464"/>
      <c r="D2464"/>
      <c r="G2464"/>
      <c r="L2464"/>
    </row>
    <row r="2465" spans="1:12" x14ac:dyDescent="0.25">
      <c r="A2465"/>
      <c r="B2465"/>
      <c r="D2465"/>
      <c r="G2465"/>
      <c r="L2465"/>
    </row>
    <row r="2466" spans="1:12" x14ac:dyDescent="0.25">
      <c r="A2466"/>
      <c r="B2466"/>
      <c r="D2466"/>
      <c r="G2466"/>
      <c r="L2466"/>
    </row>
    <row r="2467" spans="1:12" x14ac:dyDescent="0.25">
      <c r="A2467"/>
      <c r="B2467"/>
      <c r="D2467"/>
      <c r="G2467"/>
      <c r="L2467"/>
    </row>
    <row r="2468" spans="1:12" x14ac:dyDescent="0.25">
      <c r="A2468"/>
      <c r="B2468"/>
      <c r="D2468"/>
      <c r="G2468"/>
      <c r="L2468"/>
    </row>
    <row r="2469" spans="1:12" x14ac:dyDescent="0.25">
      <c r="A2469"/>
      <c r="B2469"/>
      <c r="D2469"/>
      <c r="G2469"/>
      <c r="L2469"/>
    </row>
    <row r="2470" spans="1:12" x14ac:dyDescent="0.25">
      <c r="A2470"/>
      <c r="B2470"/>
      <c r="D2470"/>
      <c r="G2470"/>
      <c r="L2470"/>
    </row>
    <row r="2471" spans="1:12" x14ac:dyDescent="0.25">
      <c r="A2471"/>
      <c r="B2471"/>
      <c r="D2471"/>
      <c r="G2471"/>
      <c r="L2471"/>
    </row>
    <row r="2472" spans="1:12" x14ac:dyDescent="0.25">
      <c r="A2472"/>
      <c r="B2472"/>
      <c r="D2472"/>
      <c r="G2472"/>
      <c r="L2472"/>
    </row>
    <row r="2473" spans="1:12" x14ac:dyDescent="0.25">
      <c r="A2473"/>
      <c r="B2473"/>
      <c r="D2473"/>
      <c r="G2473"/>
      <c r="L2473"/>
    </row>
    <row r="2474" spans="1:12" x14ac:dyDescent="0.25">
      <c r="A2474"/>
      <c r="B2474"/>
      <c r="D2474"/>
      <c r="G2474"/>
      <c r="L2474"/>
    </row>
    <row r="2475" spans="1:12" x14ac:dyDescent="0.25">
      <c r="A2475"/>
      <c r="B2475"/>
      <c r="D2475"/>
      <c r="G2475"/>
      <c r="L2475"/>
    </row>
    <row r="2476" spans="1:12" x14ac:dyDescent="0.25">
      <c r="A2476"/>
      <c r="B2476"/>
      <c r="D2476"/>
      <c r="G2476"/>
      <c r="L2476"/>
    </row>
    <row r="2477" spans="1:12" x14ac:dyDescent="0.25">
      <c r="A2477"/>
      <c r="B2477"/>
      <c r="D2477"/>
      <c r="G2477"/>
      <c r="L2477"/>
    </row>
    <row r="2478" spans="1:12" x14ac:dyDescent="0.25">
      <c r="A2478"/>
      <c r="B2478"/>
      <c r="D2478"/>
      <c r="G2478"/>
      <c r="L2478"/>
    </row>
    <row r="2479" spans="1:12" x14ac:dyDescent="0.25">
      <c r="A2479"/>
      <c r="B2479"/>
      <c r="D2479"/>
      <c r="G2479"/>
      <c r="L2479"/>
    </row>
    <row r="2480" spans="1:12" x14ac:dyDescent="0.25">
      <c r="A2480"/>
      <c r="B2480"/>
      <c r="D2480"/>
      <c r="G2480"/>
      <c r="L2480"/>
    </row>
    <row r="2481" spans="1:12" x14ac:dyDescent="0.25">
      <c r="A2481"/>
      <c r="B2481"/>
      <c r="D2481"/>
      <c r="G2481"/>
      <c r="L2481"/>
    </row>
    <row r="2482" spans="1:12" x14ac:dyDescent="0.25">
      <c r="A2482"/>
      <c r="B2482"/>
      <c r="D2482"/>
      <c r="G2482"/>
      <c r="L2482"/>
    </row>
    <row r="2483" spans="1:12" x14ac:dyDescent="0.25">
      <c r="A2483"/>
      <c r="B2483"/>
      <c r="D2483"/>
      <c r="G2483"/>
      <c r="L2483"/>
    </row>
    <row r="2484" spans="1:12" x14ac:dyDescent="0.25">
      <c r="A2484"/>
      <c r="B2484"/>
      <c r="D2484"/>
      <c r="G2484"/>
      <c r="L2484"/>
    </row>
    <row r="2485" spans="1:12" x14ac:dyDescent="0.25">
      <c r="A2485"/>
      <c r="B2485"/>
      <c r="D2485"/>
      <c r="G2485"/>
      <c r="L2485"/>
    </row>
    <row r="2486" spans="1:12" x14ac:dyDescent="0.25">
      <c r="A2486"/>
      <c r="B2486"/>
      <c r="D2486"/>
      <c r="G2486"/>
      <c r="L2486"/>
    </row>
    <row r="2487" spans="1:12" x14ac:dyDescent="0.25">
      <c r="A2487"/>
      <c r="B2487"/>
      <c r="D2487"/>
      <c r="G2487"/>
      <c r="L2487"/>
    </row>
    <row r="2488" spans="1:12" x14ac:dyDescent="0.25">
      <c r="A2488"/>
      <c r="B2488"/>
      <c r="D2488"/>
      <c r="G2488"/>
      <c r="L2488"/>
    </row>
    <row r="2489" spans="1:12" x14ac:dyDescent="0.25">
      <c r="A2489"/>
      <c r="B2489"/>
      <c r="D2489"/>
      <c r="G2489"/>
      <c r="L2489"/>
    </row>
    <row r="2490" spans="1:12" x14ac:dyDescent="0.25">
      <c r="A2490"/>
      <c r="B2490"/>
      <c r="D2490"/>
      <c r="G2490"/>
      <c r="L2490"/>
    </row>
    <row r="2491" spans="1:12" x14ac:dyDescent="0.25">
      <c r="A2491"/>
      <c r="B2491"/>
      <c r="D2491"/>
      <c r="G2491"/>
      <c r="L2491"/>
    </row>
    <row r="2492" spans="1:12" x14ac:dyDescent="0.25">
      <c r="A2492"/>
      <c r="B2492"/>
      <c r="D2492"/>
      <c r="G2492"/>
      <c r="L2492"/>
    </row>
    <row r="2493" spans="1:12" x14ac:dyDescent="0.25">
      <c r="A2493"/>
      <c r="B2493"/>
      <c r="D2493"/>
      <c r="G2493"/>
      <c r="L2493"/>
    </row>
    <row r="2494" spans="1:12" x14ac:dyDescent="0.25">
      <c r="A2494"/>
      <c r="B2494"/>
      <c r="D2494"/>
      <c r="G2494"/>
      <c r="L2494"/>
    </row>
    <row r="2495" spans="1:12" x14ac:dyDescent="0.25">
      <c r="A2495"/>
      <c r="B2495"/>
      <c r="D2495"/>
      <c r="G2495"/>
      <c r="L2495"/>
    </row>
    <row r="2496" spans="1:12" x14ac:dyDescent="0.25">
      <c r="A2496"/>
      <c r="B2496"/>
      <c r="D2496"/>
      <c r="G2496"/>
      <c r="L2496"/>
    </row>
    <row r="2497" spans="1:12" x14ac:dyDescent="0.25">
      <c r="A2497"/>
      <c r="B2497"/>
      <c r="D2497"/>
      <c r="G2497"/>
      <c r="L2497"/>
    </row>
    <row r="2498" spans="1:12" x14ac:dyDescent="0.25">
      <c r="A2498"/>
      <c r="B2498"/>
      <c r="D2498"/>
      <c r="G2498"/>
      <c r="L2498"/>
    </row>
    <row r="2499" spans="1:12" x14ac:dyDescent="0.25">
      <c r="A2499"/>
      <c r="B2499"/>
      <c r="D2499"/>
      <c r="G2499"/>
      <c r="L2499"/>
    </row>
    <row r="2500" spans="1:12" x14ac:dyDescent="0.25">
      <c r="A2500"/>
      <c r="B2500"/>
      <c r="D2500"/>
      <c r="G2500"/>
      <c r="L2500"/>
    </row>
    <row r="2501" spans="1:12" x14ac:dyDescent="0.25">
      <c r="A2501"/>
      <c r="B2501"/>
      <c r="D2501"/>
      <c r="G2501"/>
      <c r="L2501"/>
    </row>
    <row r="2502" spans="1:12" x14ac:dyDescent="0.25">
      <c r="A2502"/>
      <c r="B2502"/>
      <c r="D2502"/>
      <c r="G2502"/>
      <c r="L2502"/>
    </row>
    <row r="2503" spans="1:12" x14ac:dyDescent="0.25">
      <c r="A2503"/>
      <c r="B2503"/>
      <c r="D2503"/>
      <c r="G2503"/>
      <c r="L2503"/>
    </row>
    <row r="2504" spans="1:12" x14ac:dyDescent="0.25">
      <c r="A2504"/>
      <c r="B2504"/>
      <c r="D2504"/>
      <c r="G2504"/>
      <c r="L2504"/>
    </row>
    <row r="2505" spans="1:12" x14ac:dyDescent="0.25">
      <c r="A2505"/>
      <c r="B2505"/>
      <c r="D2505"/>
      <c r="G2505"/>
      <c r="L2505"/>
    </row>
    <row r="2506" spans="1:12" x14ac:dyDescent="0.25">
      <c r="A2506"/>
      <c r="B2506"/>
      <c r="D2506"/>
      <c r="G2506"/>
      <c r="L2506"/>
    </row>
    <row r="2507" spans="1:12" x14ac:dyDescent="0.25">
      <c r="A2507"/>
      <c r="B2507"/>
      <c r="D2507"/>
      <c r="G2507"/>
      <c r="L2507"/>
    </row>
    <row r="2508" spans="1:12" x14ac:dyDescent="0.25">
      <c r="A2508"/>
      <c r="B2508"/>
      <c r="D2508"/>
      <c r="G2508"/>
      <c r="L2508"/>
    </row>
    <row r="2509" spans="1:12" x14ac:dyDescent="0.25">
      <c r="A2509"/>
      <c r="B2509"/>
      <c r="D2509"/>
      <c r="G2509"/>
      <c r="L2509"/>
    </row>
    <row r="2510" spans="1:12" x14ac:dyDescent="0.25">
      <c r="A2510"/>
      <c r="B2510"/>
      <c r="D2510"/>
      <c r="G2510"/>
      <c r="L2510"/>
    </row>
    <row r="2511" spans="1:12" x14ac:dyDescent="0.25">
      <c r="A2511"/>
      <c r="B2511"/>
      <c r="D2511"/>
      <c r="G2511"/>
      <c r="L2511"/>
    </row>
    <row r="2512" spans="1:12" x14ac:dyDescent="0.25">
      <c r="A2512"/>
      <c r="B2512"/>
      <c r="D2512"/>
      <c r="G2512"/>
      <c r="L2512"/>
    </row>
    <row r="2513" spans="1:12" x14ac:dyDescent="0.25">
      <c r="A2513"/>
      <c r="B2513"/>
      <c r="D2513"/>
      <c r="G2513"/>
      <c r="L2513"/>
    </row>
    <row r="2514" spans="1:12" x14ac:dyDescent="0.25">
      <c r="A2514"/>
      <c r="B2514"/>
      <c r="D2514"/>
      <c r="G2514"/>
      <c r="L2514"/>
    </row>
    <row r="2515" spans="1:12" x14ac:dyDescent="0.25">
      <c r="A2515"/>
      <c r="B2515"/>
      <c r="D2515"/>
      <c r="G2515"/>
      <c r="L2515"/>
    </row>
    <row r="2516" spans="1:12" x14ac:dyDescent="0.25">
      <c r="A2516"/>
      <c r="B2516"/>
      <c r="D2516"/>
      <c r="G2516"/>
      <c r="L2516"/>
    </row>
    <row r="2517" spans="1:12" x14ac:dyDescent="0.25">
      <c r="A2517"/>
      <c r="B2517"/>
      <c r="D2517"/>
      <c r="G2517"/>
      <c r="L2517"/>
    </row>
    <row r="2518" spans="1:12" x14ac:dyDescent="0.25">
      <c r="A2518"/>
      <c r="B2518"/>
      <c r="D2518"/>
      <c r="G2518"/>
      <c r="L2518"/>
    </row>
    <row r="2519" spans="1:12" x14ac:dyDescent="0.25">
      <c r="A2519"/>
      <c r="B2519"/>
      <c r="D2519"/>
      <c r="G2519"/>
      <c r="L2519"/>
    </row>
    <row r="2520" spans="1:12" x14ac:dyDescent="0.25">
      <c r="A2520"/>
      <c r="B2520"/>
      <c r="D2520"/>
      <c r="G2520"/>
      <c r="L2520"/>
    </row>
    <row r="2521" spans="1:12" x14ac:dyDescent="0.25">
      <c r="A2521"/>
      <c r="B2521"/>
      <c r="D2521"/>
      <c r="G2521"/>
      <c r="L2521"/>
    </row>
    <row r="2522" spans="1:12" x14ac:dyDescent="0.25">
      <c r="A2522"/>
      <c r="B2522"/>
      <c r="D2522"/>
      <c r="G2522"/>
      <c r="L2522"/>
    </row>
    <row r="2523" spans="1:12" x14ac:dyDescent="0.25">
      <c r="A2523"/>
      <c r="B2523"/>
      <c r="D2523"/>
      <c r="G2523"/>
      <c r="L2523"/>
    </row>
    <row r="2524" spans="1:12" x14ac:dyDescent="0.25">
      <c r="A2524"/>
      <c r="B2524"/>
      <c r="D2524"/>
      <c r="G2524"/>
      <c r="L2524"/>
    </row>
    <row r="2525" spans="1:12" x14ac:dyDescent="0.25">
      <c r="A2525"/>
      <c r="B2525"/>
      <c r="D2525"/>
      <c r="G2525"/>
      <c r="L2525"/>
    </row>
    <row r="2526" spans="1:12" x14ac:dyDescent="0.25">
      <c r="A2526"/>
      <c r="B2526"/>
      <c r="D2526"/>
      <c r="G2526"/>
      <c r="L2526"/>
    </row>
    <row r="2527" spans="1:12" x14ac:dyDescent="0.25">
      <c r="A2527"/>
      <c r="B2527"/>
      <c r="D2527"/>
      <c r="G2527"/>
      <c r="L2527"/>
    </row>
    <row r="2528" spans="1:12" x14ac:dyDescent="0.25">
      <c r="A2528"/>
      <c r="B2528"/>
      <c r="D2528"/>
      <c r="G2528"/>
      <c r="L2528"/>
    </row>
    <row r="2529" spans="1:12" x14ac:dyDescent="0.25">
      <c r="A2529"/>
      <c r="B2529"/>
      <c r="D2529"/>
      <c r="G2529"/>
      <c r="L2529"/>
    </row>
    <row r="2530" spans="1:12" x14ac:dyDescent="0.25">
      <c r="A2530"/>
      <c r="B2530"/>
      <c r="D2530"/>
      <c r="G2530"/>
      <c r="L2530"/>
    </row>
    <row r="2531" spans="1:12" x14ac:dyDescent="0.25">
      <c r="A2531"/>
      <c r="B2531"/>
      <c r="D2531"/>
      <c r="G2531"/>
      <c r="L2531"/>
    </row>
    <row r="2532" spans="1:12" x14ac:dyDescent="0.25">
      <c r="A2532"/>
      <c r="B2532"/>
      <c r="D2532"/>
      <c r="G2532"/>
      <c r="L2532"/>
    </row>
    <row r="2533" spans="1:12" x14ac:dyDescent="0.25">
      <c r="A2533"/>
      <c r="B2533"/>
      <c r="D2533"/>
      <c r="G2533"/>
      <c r="L2533"/>
    </row>
    <row r="2534" spans="1:12" x14ac:dyDescent="0.25">
      <c r="A2534"/>
      <c r="B2534"/>
      <c r="D2534"/>
      <c r="G2534"/>
      <c r="L2534"/>
    </row>
    <row r="2535" spans="1:12" x14ac:dyDescent="0.25">
      <c r="A2535"/>
      <c r="B2535"/>
      <c r="D2535"/>
      <c r="G2535"/>
      <c r="L2535"/>
    </row>
    <row r="2536" spans="1:12" x14ac:dyDescent="0.25">
      <c r="A2536"/>
      <c r="B2536"/>
      <c r="D2536"/>
      <c r="G2536"/>
      <c r="L2536"/>
    </row>
    <row r="2537" spans="1:12" x14ac:dyDescent="0.25">
      <c r="A2537"/>
      <c r="B2537"/>
      <c r="D2537"/>
      <c r="G2537"/>
      <c r="L2537"/>
    </row>
    <row r="2538" spans="1:12" x14ac:dyDescent="0.25">
      <c r="A2538"/>
      <c r="B2538"/>
      <c r="D2538"/>
      <c r="G2538"/>
      <c r="L2538"/>
    </row>
    <row r="2539" spans="1:12" x14ac:dyDescent="0.25">
      <c r="A2539"/>
      <c r="B2539"/>
      <c r="D2539"/>
      <c r="G2539"/>
      <c r="L2539"/>
    </row>
    <row r="2540" spans="1:12" x14ac:dyDescent="0.25">
      <c r="A2540"/>
      <c r="B2540"/>
      <c r="D2540"/>
      <c r="G2540"/>
      <c r="L2540"/>
    </row>
    <row r="2541" spans="1:12" x14ac:dyDescent="0.25">
      <c r="A2541"/>
      <c r="B2541"/>
      <c r="D2541"/>
      <c r="G2541"/>
      <c r="L2541"/>
    </row>
    <row r="2542" spans="1:12" x14ac:dyDescent="0.25">
      <c r="A2542"/>
      <c r="B2542"/>
      <c r="D2542"/>
      <c r="G2542"/>
      <c r="L2542"/>
    </row>
    <row r="2543" spans="1:12" x14ac:dyDescent="0.25">
      <c r="A2543"/>
      <c r="B2543"/>
      <c r="D2543"/>
      <c r="G2543"/>
      <c r="L2543"/>
    </row>
    <row r="2544" spans="1:12" x14ac:dyDescent="0.25">
      <c r="A2544"/>
      <c r="B2544"/>
      <c r="D2544"/>
      <c r="G2544"/>
      <c r="L2544"/>
    </row>
    <row r="2545" spans="1:12" x14ac:dyDescent="0.25">
      <c r="A2545"/>
      <c r="B2545"/>
      <c r="D2545"/>
      <c r="G2545"/>
      <c r="L2545"/>
    </row>
    <row r="2546" spans="1:12" x14ac:dyDescent="0.25">
      <c r="A2546"/>
      <c r="B2546"/>
      <c r="D2546"/>
      <c r="G2546"/>
      <c r="L2546"/>
    </row>
    <row r="2547" spans="1:12" x14ac:dyDescent="0.25">
      <c r="A2547"/>
      <c r="B2547"/>
      <c r="D2547"/>
      <c r="G2547"/>
      <c r="L2547"/>
    </row>
    <row r="2548" spans="1:12" x14ac:dyDescent="0.25">
      <c r="A2548"/>
      <c r="B2548"/>
      <c r="D2548"/>
      <c r="G2548"/>
      <c r="L2548"/>
    </row>
    <row r="2549" spans="1:12" x14ac:dyDescent="0.25">
      <c r="A2549"/>
      <c r="B2549"/>
      <c r="D2549"/>
      <c r="G2549"/>
      <c r="L2549"/>
    </row>
    <row r="2550" spans="1:12" x14ac:dyDescent="0.25">
      <c r="A2550"/>
      <c r="B2550"/>
      <c r="D2550"/>
      <c r="G2550"/>
      <c r="L2550"/>
    </row>
    <row r="2551" spans="1:12" x14ac:dyDescent="0.25">
      <c r="A2551"/>
      <c r="B2551"/>
      <c r="D2551"/>
      <c r="G2551"/>
      <c r="L2551"/>
    </row>
    <row r="2552" spans="1:12" x14ac:dyDescent="0.25">
      <c r="A2552"/>
      <c r="B2552"/>
      <c r="D2552"/>
      <c r="G2552"/>
      <c r="L2552"/>
    </row>
    <row r="2553" spans="1:12" x14ac:dyDescent="0.25">
      <c r="A2553"/>
      <c r="B2553"/>
      <c r="D2553"/>
      <c r="G2553"/>
      <c r="L2553"/>
    </row>
    <row r="2554" spans="1:12" x14ac:dyDescent="0.25">
      <c r="A2554"/>
      <c r="B2554"/>
      <c r="D2554"/>
      <c r="G2554"/>
      <c r="L2554"/>
    </row>
    <row r="2555" spans="1:12" x14ac:dyDescent="0.25">
      <c r="A2555"/>
      <c r="B2555"/>
      <c r="D2555"/>
      <c r="G2555"/>
      <c r="L2555"/>
    </row>
    <row r="2556" spans="1:12" x14ac:dyDescent="0.25">
      <c r="A2556"/>
      <c r="B2556"/>
      <c r="D2556"/>
      <c r="G2556"/>
      <c r="L2556"/>
    </row>
    <row r="2557" spans="1:12" x14ac:dyDescent="0.25">
      <c r="A2557"/>
      <c r="B2557"/>
      <c r="D2557"/>
      <c r="G2557"/>
      <c r="L2557"/>
    </row>
    <row r="2558" spans="1:12" x14ac:dyDescent="0.25">
      <c r="A2558"/>
      <c r="B2558"/>
      <c r="D2558"/>
      <c r="G2558"/>
      <c r="L2558"/>
    </row>
    <row r="2559" spans="1:12" x14ac:dyDescent="0.25">
      <c r="A2559"/>
      <c r="B2559"/>
      <c r="D2559"/>
      <c r="G2559"/>
      <c r="L2559"/>
    </row>
    <row r="2560" spans="1:12" x14ac:dyDescent="0.25">
      <c r="A2560"/>
      <c r="B2560"/>
      <c r="D2560"/>
      <c r="G2560"/>
      <c r="L2560"/>
    </row>
    <row r="2561" spans="1:12" x14ac:dyDescent="0.25">
      <c r="A2561"/>
      <c r="B2561"/>
      <c r="D2561"/>
      <c r="G2561"/>
      <c r="L2561"/>
    </row>
    <row r="2562" spans="1:12" x14ac:dyDescent="0.25">
      <c r="A2562"/>
      <c r="B2562"/>
      <c r="D2562"/>
      <c r="G2562"/>
      <c r="L2562"/>
    </row>
    <row r="2563" spans="1:12" x14ac:dyDescent="0.25">
      <c r="A2563"/>
      <c r="B2563"/>
      <c r="D2563"/>
      <c r="G2563"/>
      <c r="L2563"/>
    </row>
    <row r="2564" spans="1:12" x14ac:dyDescent="0.25">
      <c r="A2564"/>
      <c r="B2564"/>
      <c r="D2564"/>
      <c r="G2564"/>
      <c r="L2564"/>
    </row>
    <row r="2565" spans="1:12" x14ac:dyDescent="0.25">
      <c r="A2565"/>
      <c r="B2565"/>
      <c r="D2565"/>
      <c r="G2565"/>
      <c r="L2565"/>
    </row>
    <row r="2566" spans="1:12" x14ac:dyDescent="0.25">
      <c r="A2566"/>
      <c r="B2566"/>
      <c r="D2566"/>
      <c r="G2566"/>
      <c r="L2566"/>
    </row>
    <row r="2567" spans="1:12" x14ac:dyDescent="0.25">
      <c r="A2567"/>
      <c r="B2567"/>
      <c r="D2567"/>
      <c r="G2567"/>
      <c r="L2567"/>
    </row>
    <row r="2568" spans="1:12" x14ac:dyDescent="0.25">
      <c r="A2568"/>
      <c r="B2568"/>
      <c r="D2568"/>
      <c r="G2568"/>
      <c r="L2568"/>
    </row>
    <row r="2569" spans="1:12" x14ac:dyDescent="0.25">
      <c r="A2569"/>
      <c r="B2569"/>
      <c r="D2569"/>
      <c r="G2569"/>
      <c r="L2569"/>
    </row>
    <row r="2570" spans="1:12" x14ac:dyDescent="0.25">
      <c r="A2570"/>
      <c r="B2570"/>
      <c r="D2570"/>
      <c r="G2570"/>
      <c r="L2570"/>
    </row>
    <row r="2571" spans="1:12" x14ac:dyDescent="0.25">
      <c r="A2571"/>
      <c r="B2571"/>
      <c r="D2571"/>
      <c r="G2571"/>
      <c r="L2571"/>
    </row>
    <row r="2572" spans="1:12" x14ac:dyDescent="0.25">
      <c r="A2572"/>
      <c r="B2572"/>
      <c r="D2572"/>
      <c r="G2572"/>
      <c r="L2572"/>
    </row>
    <row r="2573" spans="1:12" x14ac:dyDescent="0.25">
      <c r="A2573"/>
      <c r="B2573"/>
      <c r="D2573"/>
      <c r="G2573"/>
      <c r="L2573"/>
    </row>
    <row r="2574" spans="1:12" x14ac:dyDescent="0.25">
      <c r="A2574"/>
      <c r="B2574"/>
      <c r="D2574"/>
      <c r="G2574"/>
      <c r="L2574"/>
    </row>
    <row r="2575" spans="1:12" x14ac:dyDescent="0.25">
      <c r="A2575"/>
      <c r="B2575"/>
      <c r="D2575"/>
      <c r="G2575"/>
      <c r="L2575"/>
    </row>
    <row r="2576" spans="1:12" x14ac:dyDescent="0.25">
      <c r="A2576"/>
      <c r="B2576"/>
      <c r="D2576"/>
      <c r="G2576"/>
      <c r="L2576"/>
    </row>
    <row r="2577" spans="1:12" x14ac:dyDescent="0.25">
      <c r="A2577"/>
      <c r="B2577"/>
      <c r="D2577"/>
      <c r="G2577"/>
      <c r="L2577"/>
    </row>
    <row r="2578" spans="1:12" x14ac:dyDescent="0.25">
      <c r="A2578"/>
      <c r="B2578"/>
      <c r="D2578"/>
      <c r="G2578"/>
      <c r="L2578"/>
    </row>
    <row r="2579" spans="1:12" x14ac:dyDescent="0.25">
      <c r="A2579"/>
      <c r="B2579"/>
      <c r="D2579"/>
      <c r="G2579"/>
      <c r="L2579"/>
    </row>
    <row r="2580" spans="1:12" x14ac:dyDescent="0.25">
      <c r="A2580"/>
      <c r="B2580"/>
      <c r="D2580"/>
      <c r="G2580"/>
      <c r="L2580"/>
    </row>
    <row r="2581" spans="1:12" x14ac:dyDescent="0.25">
      <c r="A2581"/>
      <c r="B2581"/>
      <c r="D2581"/>
      <c r="G2581"/>
      <c r="L2581"/>
    </row>
    <row r="2582" spans="1:12" x14ac:dyDescent="0.25">
      <c r="A2582"/>
      <c r="B2582"/>
      <c r="D2582"/>
      <c r="G2582"/>
      <c r="L2582"/>
    </row>
    <row r="2583" spans="1:12" x14ac:dyDescent="0.25">
      <c r="A2583"/>
      <c r="B2583"/>
      <c r="D2583"/>
      <c r="G2583"/>
      <c r="L2583"/>
    </row>
    <row r="2584" spans="1:12" x14ac:dyDescent="0.25">
      <c r="A2584"/>
      <c r="B2584"/>
      <c r="D2584"/>
      <c r="G2584"/>
      <c r="L2584"/>
    </row>
    <row r="2585" spans="1:12" x14ac:dyDescent="0.25">
      <c r="A2585"/>
      <c r="B2585"/>
      <c r="D2585"/>
      <c r="G2585"/>
      <c r="L2585"/>
    </row>
    <row r="2586" spans="1:12" x14ac:dyDescent="0.25">
      <c r="A2586"/>
      <c r="B2586"/>
      <c r="D2586"/>
      <c r="G2586"/>
      <c r="L2586"/>
    </row>
    <row r="2587" spans="1:12" x14ac:dyDescent="0.25">
      <c r="A2587"/>
      <c r="B2587"/>
      <c r="D2587"/>
      <c r="G2587"/>
      <c r="L2587"/>
    </row>
    <row r="2588" spans="1:12" x14ac:dyDescent="0.25">
      <c r="A2588"/>
      <c r="B2588"/>
      <c r="D2588"/>
      <c r="G2588"/>
      <c r="L2588"/>
    </row>
    <row r="2589" spans="1:12" x14ac:dyDescent="0.25">
      <c r="A2589"/>
      <c r="B2589"/>
      <c r="D2589"/>
      <c r="G2589"/>
      <c r="L2589"/>
    </row>
    <row r="2590" spans="1:12" x14ac:dyDescent="0.25">
      <c r="A2590"/>
      <c r="B2590"/>
      <c r="D2590"/>
      <c r="G2590"/>
      <c r="L2590"/>
    </row>
    <row r="2591" spans="1:12" x14ac:dyDescent="0.25">
      <c r="A2591"/>
      <c r="B2591"/>
      <c r="D2591"/>
      <c r="G2591"/>
      <c r="L2591"/>
    </row>
    <row r="2592" spans="1:12" x14ac:dyDescent="0.25">
      <c r="A2592"/>
      <c r="B2592"/>
      <c r="D2592"/>
      <c r="G2592"/>
      <c r="L2592"/>
    </row>
    <row r="2593" spans="1:12" x14ac:dyDescent="0.25">
      <c r="A2593"/>
      <c r="B2593"/>
      <c r="D2593"/>
      <c r="G2593"/>
      <c r="L2593"/>
    </row>
    <row r="2594" spans="1:12" x14ac:dyDescent="0.25">
      <c r="A2594"/>
      <c r="B2594"/>
      <c r="D2594"/>
      <c r="G2594"/>
      <c r="L2594"/>
    </row>
    <row r="2595" spans="1:12" x14ac:dyDescent="0.25">
      <c r="A2595"/>
      <c r="B2595"/>
      <c r="D2595"/>
      <c r="G2595"/>
      <c r="L2595"/>
    </row>
    <row r="2596" spans="1:12" x14ac:dyDescent="0.25">
      <c r="A2596"/>
      <c r="B2596"/>
      <c r="D2596"/>
      <c r="G2596"/>
      <c r="L2596"/>
    </row>
    <row r="2597" spans="1:12" x14ac:dyDescent="0.25">
      <c r="A2597"/>
      <c r="B2597"/>
      <c r="D2597"/>
      <c r="G2597"/>
      <c r="L2597"/>
    </row>
    <row r="2598" spans="1:12" x14ac:dyDescent="0.25">
      <c r="A2598"/>
      <c r="B2598"/>
      <c r="D2598"/>
      <c r="G2598"/>
      <c r="L2598"/>
    </row>
    <row r="2599" spans="1:12" x14ac:dyDescent="0.25">
      <c r="A2599"/>
      <c r="B2599"/>
      <c r="D2599"/>
      <c r="G2599"/>
      <c r="L2599"/>
    </row>
    <row r="2600" spans="1:12" x14ac:dyDescent="0.25">
      <c r="A2600"/>
      <c r="B2600"/>
      <c r="D2600"/>
      <c r="G2600"/>
      <c r="L2600"/>
    </row>
    <row r="2601" spans="1:12" x14ac:dyDescent="0.25">
      <c r="A2601"/>
      <c r="B2601"/>
      <c r="D2601"/>
      <c r="G2601"/>
      <c r="L2601"/>
    </row>
    <row r="2602" spans="1:12" x14ac:dyDescent="0.25">
      <c r="A2602"/>
      <c r="B2602"/>
      <c r="D2602"/>
      <c r="G2602"/>
      <c r="L2602"/>
    </row>
    <row r="2603" spans="1:12" x14ac:dyDescent="0.25">
      <c r="A2603"/>
      <c r="B2603"/>
      <c r="D2603"/>
      <c r="G2603"/>
      <c r="L2603"/>
    </row>
    <row r="2604" spans="1:12" x14ac:dyDescent="0.25">
      <c r="A2604"/>
      <c r="B2604"/>
      <c r="D2604"/>
      <c r="G2604"/>
      <c r="L2604"/>
    </row>
    <row r="2605" spans="1:12" x14ac:dyDescent="0.25">
      <c r="A2605"/>
      <c r="B2605"/>
      <c r="D2605"/>
      <c r="G2605"/>
      <c r="L2605"/>
    </row>
    <row r="2606" spans="1:12" x14ac:dyDescent="0.25">
      <c r="A2606"/>
      <c r="B2606"/>
      <c r="D2606"/>
      <c r="G2606"/>
      <c r="L2606"/>
    </row>
    <row r="2607" spans="1:12" x14ac:dyDescent="0.25">
      <c r="A2607"/>
      <c r="B2607"/>
      <c r="D2607"/>
      <c r="G2607"/>
      <c r="L2607"/>
    </row>
    <row r="2608" spans="1:12" x14ac:dyDescent="0.25">
      <c r="A2608"/>
      <c r="B2608"/>
      <c r="D2608"/>
      <c r="G2608"/>
      <c r="L2608"/>
    </row>
    <row r="2609" spans="1:12" x14ac:dyDescent="0.25">
      <c r="A2609"/>
      <c r="B2609"/>
      <c r="D2609"/>
      <c r="G2609"/>
      <c r="L2609"/>
    </row>
    <row r="2610" spans="1:12" x14ac:dyDescent="0.25">
      <c r="A2610"/>
      <c r="B2610"/>
      <c r="D2610"/>
      <c r="G2610"/>
      <c r="L2610"/>
    </row>
    <row r="2611" spans="1:12" x14ac:dyDescent="0.25">
      <c r="A2611"/>
      <c r="B2611"/>
      <c r="D2611"/>
      <c r="G2611"/>
      <c r="L2611"/>
    </row>
    <row r="2612" spans="1:12" x14ac:dyDescent="0.25">
      <c r="A2612"/>
      <c r="B2612"/>
      <c r="D2612"/>
      <c r="G2612"/>
      <c r="L2612"/>
    </row>
    <row r="2613" spans="1:12" x14ac:dyDescent="0.25">
      <c r="A2613"/>
      <c r="B2613"/>
      <c r="D2613"/>
      <c r="G2613"/>
      <c r="L2613"/>
    </row>
    <row r="2614" spans="1:12" x14ac:dyDescent="0.25">
      <c r="A2614"/>
      <c r="B2614"/>
      <c r="D2614"/>
      <c r="G2614"/>
      <c r="L2614"/>
    </row>
    <row r="2615" spans="1:12" x14ac:dyDescent="0.25">
      <c r="A2615"/>
      <c r="B2615"/>
      <c r="D2615"/>
      <c r="G2615"/>
      <c r="L2615"/>
    </row>
    <row r="2616" spans="1:12" x14ac:dyDescent="0.25">
      <c r="A2616"/>
      <c r="B2616"/>
      <c r="D2616"/>
      <c r="G2616"/>
      <c r="L2616"/>
    </row>
    <row r="2617" spans="1:12" x14ac:dyDescent="0.25">
      <c r="A2617"/>
      <c r="B2617"/>
      <c r="D2617"/>
      <c r="G2617"/>
      <c r="L2617"/>
    </row>
    <row r="2618" spans="1:12" x14ac:dyDescent="0.25">
      <c r="A2618"/>
      <c r="B2618"/>
      <c r="D2618"/>
      <c r="G2618"/>
      <c r="L2618"/>
    </row>
    <row r="2619" spans="1:12" x14ac:dyDescent="0.25">
      <c r="A2619"/>
      <c r="B2619"/>
      <c r="D2619"/>
      <c r="G2619"/>
      <c r="L2619"/>
    </row>
    <row r="2620" spans="1:12" x14ac:dyDescent="0.25">
      <c r="A2620"/>
      <c r="B2620"/>
      <c r="D2620"/>
      <c r="G2620"/>
      <c r="L2620"/>
    </row>
    <row r="2621" spans="1:12" x14ac:dyDescent="0.25">
      <c r="A2621"/>
      <c r="B2621"/>
      <c r="D2621"/>
      <c r="G2621"/>
      <c r="L2621"/>
    </row>
    <row r="2622" spans="1:12" x14ac:dyDescent="0.25">
      <c r="A2622"/>
      <c r="B2622"/>
      <c r="D2622"/>
      <c r="G2622"/>
      <c r="L2622"/>
    </row>
    <row r="2623" spans="1:12" x14ac:dyDescent="0.25">
      <c r="A2623"/>
      <c r="B2623"/>
      <c r="D2623"/>
      <c r="G2623"/>
      <c r="L2623"/>
    </row>
    <row r="2624" spans="1:12" x14ac:dyDescent="0.25">
      <c r="A2624"/>
      <c r="B2624"/>
      <c r="D2624"/>
      <c r="G2624"/>
      <c r="L2624"/>
    </row>
    <row r="2625" spans="1:12" x14ac:dyDescent="0.25">
      <c r="A2625"/>
      <c r="B2625"/>
      <c r="D2625"/>
      <c r="G2625"/>
      <c r="L2625"/>
    </row>
    <row r="2626" spans="1:12" x14ac:dyDescent="0.25">
      <c r="A2626"/>
      <c r="B2626"/>
      <c r="D2626"/>
      <c r="G2626"/>
      <c r="L2626"/>
    </row>
    <row r="2627" spans="1:12" x14ac:dyDescent="0.25">
      <c r="A2627"/>
      <c r="B2627"/>
      <c r="D2627"/>
      <c r="G2627"/>
      <c r="L2627"/>
    </row>
    <row r="2628" spans="1:12" x14ac:dyDescent="0.25">
      <c r="A2628"/>
      <c r="B2628"/>
      <c r="D2628"/>
      <c r="G2628"/>
      <c r="L2628"/>
    </row>
    <row r="2629" spans="1:12" x14ac:dyDescent="0.25">
      <c r="A2629"/>
      <c r="B2629"/>
      <c r="D2629"/>
      <c r="G2629"/>
      <c r="L2629"/>
    </row>
    <row r="2630" spans="1:12" x14ac:dyDescent="0.25">
      <c r="A2630"/>
      <c r="B2630"/>
      <c r="D2630"/>
      <c r="G2630"/>
      <c r="L2630"/>
    </row>
    <row r="2631" spans="1:12" x14ac:dyDescent="0.25">
      <c r="A2631"/>
      <c r="B2631"/>
      <c r="D2631"/>
      <c r="G2631"/>
      <c r="L2631"/>
    </row>
    <row r="2632" spans="1:12" x14ac:dyDescent="0.25">
      <c r="A2632"/>
      <c r="B2632"/>
      <c r="D2632"/>
      <c r="G2632"/>
      <c r="L2632"/>
    </row>
    <row r="2633" spans="1:12" x14ac:dyDescent="0.25">
      <c r="A2633"/>
      <c r="B2633"/>
      <c r="D2633"/>
      <c r="G2633"/>
      <c r="L2633"/>
    </row>
    <row r="2634" spans="1:12" x14ac:dyDescent="0.25">
      <c r="A2634"/>
      <c r="B2634"/>
      <c r="D2634"/>
      <c r="G2634"/>
      <c r="L2634"/>
    </row>
    <row r="2635" spans="1:12" x14ac:dyDescent="0.25">
      <c r="A2635"/>
      <c r="B2635"/>
      <c r="D2635"/>
      <c r="G2635"/>
      <c r="L2635"/>
    </row>
    <row r="2636" spans="1:12" x14ac:dyDescent="0.25">
      <c r="A2636"/>
      <c r="B2636"/>
      <c r="D2636"/>
      <c r="G2636"/>
      <c r="L2636"/>
    </row>
    <row r="2637" spans="1:12" x14ac:dyDescent="0.25">
      <c r="A2637"/>
      <c r="B2637"/>
      <c r="D2637"/>
      <c r="G2637"/>
      <c r="L2637"/>
    </row>
    <row r="2638" spans="1:12" x14ac:dyDescent="0.25">
      <c r="A2638"/>
      <c r="B2638"/>
      <c r="D2638"/>
      <c r="G2638"/>
      <c r="L2638"/>
    </row>
    <row r="2639" spans="1:12" x14ac:dyDescent="0.25">
      <c r="A2639"/>
      <c r="B2639"/>
      <c r="D2639"/>
      <c r="G2639"/>
      <c r="L2639"/>
    </row>
    <row r="2640" spans="1:12" x14ac:dyDescent="0.25">
      <c r="A2640"/>
      <c r="B2640"/>
      <c r="D2640"/>
      <c r="G2640"/>
      <c r="L2640"/>
    </row>
    <row r="2641" spans="1:12" x14ac:dyDescent="0.25">
      <c r="A2641"/>
      <c r="B2641"/>
      <c r="D2641"/>
      <c r="G2641"/>
      <c r="L2641"/>
    </row>
    <row r="2642" spans="1:12" x14ac:dyDescent="0.25">
      <c r="A2642"/>
      <c r="B2642"/>
      <c r="D2642"/>
      <c r="G2642"/>
      <c r="L2642"/>
    </row>
    <row r="2643" spans="1:12" x14ac:dyDescent="0.25">
      <c r="A2643"/>
      <c r="B2643"/>
      <c r="D2643"/>
      <c r="G2643"/>
      <c r="L2643"/>
    </row>
    <row r="2644" spans="1:12" x14ac:dyDescent="0.25">
      <c r="A2644"/>
      <c r="B2644"/>
      <c r="D2644"/>
      <c r="G2644"/>
      <c r="L2644"/>
    </row>
    <row r="2645" spans="1:12" x14ac:dyDescent="0.25">
      <c r="A2645"/>
      <c r="B2645"/>
      <c r="D2645"/>
      <c r="G2645"/>
      <c r="L2645"/>
    </row>
    <row r="2646" spans="1:12" x14ac:dyDescent="0.25">
      <c r="A2646"/>
      <c r="B2646"/>
      <c r="D2646"/>
      <c r="G2646"/>
      <c r="L2646"/>
    </row>
    <row r="2647" spans="1:12" x14ac:dyDescent="0.25">
      <c r="A2647"/>
      <c r="B2647"/>
      <c r="D2647"/>
      <c r="G2647"/>
      <c r="L2647"/>
    </row>
    <row r="2648" spans="1:12" x14ac:dyDescent="0.25">
      <c r="A2648"/>
      <c r="B2648"/>
      <c r="D2648"/>
      <c r="G2648"/>
      <c r="L2648"/>
    </row>
    <row r="2649" spans="1:12" x14ac:dyDescent="0.25">
      <c r="A2649"/>
      <c r="B2649"/>
      <c r="D2649"/>
      <c r="G2649"/>
      <c r="L2649"/>
    </row>
    <row r="2650" spans="1:12" x14ac:dyDescent="0.25">
      <c r="A2650"/>
      <c r="B2650"/>
      <c r="D2650"/>
      <c r="G2650"/>
      <c r="L2650"/>
    </row>
    <row r="2651" spans="1:12" x14ac:dyDescent="0.25">
      <c r="A2651"/>
      <c r="B2651"/>
      <c r="D2651"/>
      <c r="G2651"/>
      <c r="L2651"/>
    </row>
    <row r="2652" spans="1:12" x14ac:dyDescent="0.25">
      <c r="A2652"/>
      <c r="B2652"/>
      <c r="D2652"/>
      <c r="G2652"/>
      <c r="L2652"/>
    </row>
    <row r="2653" spans="1:12" x14ac:dyDescent="0.25">
      <c r="A2653"/>
      <c r="B2653"/>
      <c r="D2653"/>
      <c r="G2653"/>
      <c r="L2653"/>
    </row>
    <row r="2654" spans="1:12" x14ac:dyDescent="0.25">
      <c r="A2654"/>
      <c r="B2654"/>
      <c r="D2654"/>
      <c r="G2654"/>
      <c r="L2654"/>
    </row>
    <row r="2655" spans="1:12" x14ac:dyDescent="0.25">
      <c r="A2655"/>
      <c r="B2655"/>
      <c r="D2655"/>
      <c r="G2655"/>
      <c r="L2655"/>
    </row>
    <row r="2656" spans="1:12" x14ac:dyDescent="0.25">
      <c r="A2656"/>
      <c r="B2656"/>
      <c r="D2656"/>
      <c r="G2656"/>
      <c r="L2656"/>
    </row>
    <row r="2657" spans="1:12" x14ac:dyDescent="0.25">
      <c r="A2657"/>
      <c r="B2657"/>
      <c r="D2657"/>
      <c r="G2657"/>
      <c r="L2657"/>
    </row>
    <row r="2658" spans="1:12" x14ac:dyDescent="0.25">
      <c r="A2658"/>
      <c r="B2658"/>
      <c r="D2658"/>
      <c r="G2658"/>
      <c r="L2658"/>
    </row>
    <row r="2659" spans="1:12" x14ac:dyDescent="0.25">
      <c r="A2659"/>
      <c r="B2659"/>
      <c r="D2659"/>
      <c r="G2659"/>
      <c r="L2659"/>
    </row>
    <row r="2660" spans="1:12" x14ac:dyDescent="0.25">
      <c r="A2660"/>
      <c r="B2660"/>
      <c r="D2660"/>
      <c r="G2660"/>
      <c r="L2660"/>
    </row>
    <row r="2661" spans="1:12" x14ac:dyDescent="0.25">
      <c r="A2661"/>
      <c r="B2661"/>
      <c r="D2661"/>
      <c r="G2661"/>
      <c r="L2661"/>
    </row>
    <row r="2662" spans="1:12" x14ac:dyDescent="0.25">
      <c r="A2662"/>
      <c r="B2662"/>
      <c r="D2662"/>
      <c r="G2662"/>
      <c r="L2662"/>
    </row>
    <row r="2663" spans="1:12" x14ac:dyDescent="0.25">
      <c r="A2663"/>
      <c r="B2663"/>
      <c r="D2663"/>
      <c r="G2663"/>
      <c r="L2663"/>
    </row>
    <row r="2664" spans="1:12" x14ac:dyDescent="0.25">
      <c r="A2664"/>
      <c r="B2664"/>
      <c r="D2664"/>
      <c r="G2664"/>
      <c r="L2664"/>
    </row>
    <row r="2665" spans="1:12" x14ac:dyDescent="0.25">
      <c r="A2665"/>
      <c r="B2665"/>
      <c r="D2665"/>
      <c r="G2665"/>
      <c r="L2665"/>
    </row>
    <row r="2666" spans="1:12" x14ac:dyDescent="0.25">
      <c r="A2666"/>
      <c r="B2666"/>
      <c r="D2666"/>
      <c r="G2666"/>
      <c r="L2666"/>
    </row>
    <row r="2667" spans="1:12" x14ac:dyDescent="0.25">
      <c r="A2667"/>
      <c r="B2667"/>
      <c r="D2667"/>
      <c r="G2667"/>
      <c r="L2667"/>
    </row>
    <row r="2668" spans="1:12" x14ac:dyDescent="0.25">
      <c r="A2668"/>
      <c r="B2668"/>
      <c r="D2668"/>
      <c r="G2668"/>
      <c r="L2668"/>
    </row>
    <row r="2669" spans="1:12" x14ac:dyDescent="0.25">
      <c r="A2669"/>
      <c r="B2669"/>
      <c r="D2669"/>
      <c r="G2669"/>
      <c r="L2669"/>
    </row>
    <row r="2670" spans="1:12" x14ac:dyDescent="0.25">
      <c r="A2670"/>
      <c r="B2670"/>
      <c r="D2670"/>
      <c r="G2670"/>
      <c r="L2670"/>
    </row>
    <row r="2671" spans="1:12" x14ac:dyDescent="0.25">
      <c r="A2671"/>
      <c r="B2671"/>
      <c r="D2671"/>
      <c r="G2671"/>
      <c r="L2671"/>
    </row>
    <row r="2672" spans="1:12" x14ac:dyDescent="0.25">
      <c r="A2672"/>
      <c r="B2672"/>
      <c r="D2672"/>
      <c r="G2672"/>
      <c r="L2672"/>
    </row>
    <row r="2673" spans="1:12" x14ac:dyDescent="0.25">
      <c r="A2673"/>
      <c r="B2673"/>
      <c r="D2673"/>
      <c r="G2673"/>
      <c r="L2673"/>
    </row>
    <row r="2674" spans="1:12" x14ac:dyDescent="0.25">
      <c r="A2674"/>
      <c r="B2674"/>
      <c r="D2674"/>
      <c r="G2674"/>
      <c r="L2674"/>
    </row>
    <row r="2675" spans="1:12" x14ac:dyDescent="0.25">
      <c r="A2675"/>
      <c r="B2675"/>
      <c r="D2675"/>
      <c r="G2675"/>
      <c r="L2675"/>
    </row>
    <row r="2676" spans="1:12" x14ac:dyDescent="0.25">
      <c r="A2676"/>
      <c r="B2676"/>
      <c r="D2676"/>
      <c r="G2676"/>
      <c r="L2676"/>
    </row>
    <row r="2677" spans="1:12" x14ac:dyDescent="0.25">
      <c r="A2677"/>
      <c r="B2677"/>
      <c r="D2677"/>
      <c r="G2677"/>
      <c r="L2677"/>
    </row>
    <row r="2678" spans="1:12" x14ac:dyDescent="0.25">
      <c r="A2678"/>
      <c r="B2678"/>
      <c r="D2678"/>
      <c r="G2678"/>
      <c r="L2678"/>
    </row>
    <row r="2679" spans="1:12" x14ac:dyDescent="0.25">
      <c r="A2679"/>
      <c r="B2679"/>
      <c r="D2679"/>
      <c r="G2679"/>
      <c r="L2679"/>
    </row>
    <row r="2680" spans="1:12" x14ac:dyDescent="0.25">
      <c r="A2680"/>
      <c r="B2680"/>
      <c r="D2680"/>
      <c r="G2680"/>
      <c r="L2680"/>
    </row>
    <row r="2681" spans="1:12" x14ac:dyDescent="0.25">
      <c r="A2681"/>
      <c r="B2681"/>
      <c r="D2681"/>
      <c r="G2681"/>
      <c r="L2681"/>
    </row>
    <row r="2682" spans="1:12" x14ac:dyDescent="0.25">
      <c r="A2682"/>
      <c r="B2682"/>
      <c r="D2682"/>
      <c r="G2682"/>
      <c r="L2682"/>
    </row>
    <row r="2683" spans="1:12" x14ac:dyDescent="0.25">
      <c r="A2683"/>
      <c r="B2683"/>
      <c r="D2683"/>
      <c r="G2683"/>
      <c r="L2683"/>
    </row>
    <row r="2684" spans="1:12" x14ac:dyDescent="0.25">
      <c r="A2684"/>
      <c r="B2684"/>
      <c r="D2684"/>
      <c r="G2684"/>
      <c r="L2684"/>
    </row>
    <row r="2685" spans="1:12" x14ac:dyDescent="0.25">
      <c r="A2685"/>
      <c r="B2685"/>
      <c r="D2685"/>
      <c r="G2685"/>
      <c r="L2685"/>
    </row>
    <row r="2686" spans="1:12" x14ac:dyDescent="0.25">
      <c r="A2686"/>
      <c r="B2686"/>
      <c r="D2686"/>
      <c r="G2686"/>
      <c r="L2686"/>
    </row>
    <row r="2687" spans="1:12" x14ac:dyDescent="0.25">
      <c r="A2687"/>
      <c r="B2687"/>
      <c r="D2687"/>
      <c r="G2687"/>
      <c r="L2687"/>
    </row>
    <row r="2688" spans="1:12" x14ac:dyDescent="0.25">
      <c r="A2688"/>
      <c r="B2688"/>
      <c r="D2688"/>
      <c r="G2688"/>
      <c r="L2688"/>
    </row>
    <row r="2689" spans="1:12" x14ac:dyDescent="0.25">
      <c r="A2689"/>
      <c r="B2689"/>
      <c r="D2689"/>
      <c r="G2689"/>
      <c r="L2689"/>
    </row>
    <row r="2690" spans="1:12" x14ac:dyDescent="0.25">
      <c r="A2690"/>
      <c r="B2690"/>
      <c r="D2690"/>
      <c r="G2690"/>
      <c r="L2690"/>
    </row>
    <row r="2691" spans="1:12" x14ac:dyDescent="0.25">
      <c r="A2691"/>
      <c r="B2691"/>
      <c r="D2691"/>
      <c r="G2691"/>
      <c r="L2691"/>
    </row>
    <row r="2692" spans="1:12" x14ac:dyDescent="0.25">
      <c r="A2692"/>
      <c r="B2692"/>
      <c r="D2692"/>
      <c r="G2692"/>
      <c r="L2692"/>
    </row>
    <row r="2693" spans="1:12" x14ac:dyDescent="0.25">
      <c r="A2693"/>
      <c r="B2693"/>
      <c r="D2693"/>
      <c r="G2693"/>
      <c r="L2693"/>
    </row>
    <row r="2694" spans="1:12" x14ac:dyDescent="0.25">
      <c r="A2694"/>
      <c r="B2694"/>
      <c r="D2694"/>
      <c r="G2694"/>
      <c r="L2694"/>
    </row>
    <row r="2695" spans="1:12" x14ac:dyDescent="0.25">
      <c r="A2695"/>
      <c r="B2695"/>
      <c r="D2695"/>
      <c r="G2695"/>
      <c r="L2695"/>
    </row>
    <row r="2696" spans="1:12" x14ac:dyDescent="0.25">
      <c r="A2696"/>
      <c r="B2696"/>
      <c r="D2696"/>
      <c r="G2696"/>
      <c r="L2696"/>
    </row>
    <row r="2697" spans="1:12" x14ac:dyDescent="0.25">
      <c r="A2697"/>
      <c r="B2697"/>
      <c r="D2697"/>
      <c r="G2697"/>
      <c r="L2697"/>
    </row>
    <row r="2698" spans="1:12" x14ac:dyDescent="0.25">
      <c r="A2698"/>
      <c r="B2698"/>
      <c r="D2698"/>
      <c r="G2698"/>
      <c r="L2698"/>
    </row>
    <row r="2699" spans="1:12" x14ac:dyDescent="0.25">
      <c r="A2699"/>
      <c r="B2699"/>
      <c r="D2699"/>
      <c r="G2699"/>
      <c r="L2699"/>
    </row>
    <row r="2700" spans="1:12" x14ac:dyDescent="0.25">
      <c r="A2700"/>
      <c r="B2700"/>
      <c r="D2700"/>
      <c r="G2700"/>
      <c r="L2700"/>
    </row>
    <row r="2701" spans="1:12" x14ac:dyDescent="0.25">
      <c r="A2701"/>
      <c r="B2701"/>
      <c r="D2701"/>
      <c r="G2701"/>
      <c r="L2701"/>
    </row>
    <row r="2702" spans="1:12" x14ac:dyDescent="0.25">
      <c r="A2702"/>
      <c r="B2702"/>
      <c r="D2702"/>
      <c r="G2702"/>
      <c r="L2702"/>
    </row>
    <row r="2703" spans="1:12" x14ac:dyDescent="0.25">
      <c r="A2703"/>
      <c r="B2703"/>
      <c r="D2703"/>
      <c r="G2703"/>
      <c r="L2703"/>
    </row>
    <row r="2704" spans="1:12" x14ac:dyDescent="0.25">
      <c r="A2704"/>
      <c r="B2704"/>
      <c r="D2704"/>
      <c r="G2704"/>
      <c r="L2704"/>
    </row>
    <row r="2705" spans="1:12" x14ac:dyDescent="0.25">
      <c r="A2705"/>
      <c r="B2705"/>
      <c r="D2705"/>
      <c r="G2705"/>
      <c r="L2705"/>
    </row>
    <row r="2706" spans="1:12" x14ac:dyDescent="0.25">
      <c r="A2706"/>
      <c r="B2706"/>
      <c r="D2706"/>
      <c r="G2706"/>
      <c r="L2706"/>
    </row>
    <row r="2707" spans="1:12" x14ac:dyDescent="0.25">
      <c r="A2707"/>
      <c r="B2707"/>
      <c r="D2707"/>
      <c r="G2707"/>
      <c r="L2707"/>
    </row>
    <row r="2708" spans="1:12" x14ac:dyDescent="0.25">
      <c r="A2708"/>
      <c r="B2708"/>
      <c r="D2708"/>
      <c r="G2708"/>
      <c r="L2708"/>
    </row>
    <row r="2709" spans="1:12" x14ac:dyDescent="0.25">
      <c r="A2709"/>
      <c r="B2709"/>
      <c r="D2709"/>
      <c r="G2709"/>
      <c r="L2709"/>
    </row>
    <row r="2710" spans="1:12" x14ac:dyDescent="0.25">
      <c r="A2710"/>
      <c r="B2710"/>
      <c r="D2710"/>
      <c r="G2710"/>
      <c r="L2710"/>
    </row>
    <row r="2711" spans="1:12" x14ac:dyDescent="0.25">
      <c r="A2711"/>
      <c r="B2711"/>
      <c r="D2711"/>
      <c r="G2711"/>
      <c r="L2711"/>
    </row>
    <row r="2712" spans="1:12" x14ac:dyDescent="0.25">
      <c r="A2712"/>
      <c r="B2712"/>
      <c r="D2712"/>
      <c r="G2712"/>
      <c r="L2712"/>
    </row>
    <row r="2713" spans="1:12" x14ac:dyDescent="0.25">
      <c r="A2713"/>
      <c r="B2713"/>
      <c r="D2713"/>
      <c r="G2713"/>
      <c r="L2713"/>
    </row>
    <row r="2714" spans="1:12" x14ac:dyDescent="0.25">
      <c r="A2714"/>
      <c r="B2714"/>
      <c r="D2714"/>
      <c r="G2714"/>
      <c r="L2714"/>
    </row>
    <row r="2715" spans="1:12" x14ac:dyDescent="0.25">
      <c r="A2715"/>
      <c r="B2715"/>
      <c r="D2715"/>
      <c r="G2715"/>
      <c r="L2715"/>
    </row>
    <row r="2716" spans="1:12" x14ac:dyDescent="0.25">
      <c r="A2716"/>
      <c r="B2716"/>
      <c r="D2716"/>
      <c r="G2716"/>
      <c r="L2716"/>
    </row>
    <row r="2717" spans="1:12" x14ac:dyDescent="0.25">
      <c r="A2717"/>
      <c r="B2717"/>
      <c r="D2717"/>
      <c r="G2717"/>
      <c r="L2717"/>
    </row>
    <row r="2718" spans="1:12" x14ac:dyDescent="0.25">
      <c r="A2718"/>
      <c r="B2718"/>
      <c r="D2718"/>
      <c r="G2718"/>
      <c r="L2718"/>
    </row>
    <row r="2719" spans="1:12" x14ac:dyDescent="0.25">
      <c r="A2719"/>
      <c r="B2719"/>
      <c r="D2719"/>
      <c r="G2719"/>
      <c r="L2719"/>
    </row>
    <row r="2720" spans="1:12" x14ac:dyDescent="0.25">
      <c r="A2720"/>
      <c r="B2720"/>
      <c r="D2720"/>
      <c r="G2720"/>
      <c r="L2720"/>
    </row>
    <row r="2721" spans="1:12" x14ac:dyDescent="0.25">
      <c r="A2721"/>
      <c r="B2721"/>
      <c r="D2721"/>
      <c r="G2721"/>
      <c r="L2721"/>
    </row>
    <row r="2722" spans="1:12" x14ac:dyDescent="0.25">
      <c r="A2722"/>
      <c r="B2722"/>
      <c r="D2722"/>
      <c r="G2722"/>
      <c r="L2722"/>
    </row>
    <row r="2723" spans="1:12" x14ac:dyDescent="0.25">
      <c r="A2723"/>
      <c r="B2723"/>
      <c r="D2723"/>
      <c r="G2723"/>
      <c r="L2723"/>
    </row>
    <row r="2724" spans="1:12" x14ac:dyDescent="0.25">
      <c r="A2724"/>
      <c r="B2724"/>
      <c r="D2724"/>
      <c r="G2724"/>
      <c r="L2724"/>
    </row>
    <row r="2725" spans="1:12" x14ac:dyDescent="0.25">
      <c r="A2725"/>
      <c r="B2725"/>
      <c r="D2725"/>
      <c r="G2725"/>
      <c r="L2725"/>
    </row>
    <row r="2726" spans="1:12" x14ac:dyDescent="0.25">
      <c r="A2726"/>
      <c r="B2726"/>
      <c r="D2726"/>
      <c r="G2726"/>
      <c r="L2726"/>
    </row>
    <row r="2727" spans="1:12" x14ac:dyDescent="0.25">
      <c r="A2727"/>
      <c r="B2727"/>
      <c r="D2727"/>
      <c r="G2727"/>
      <c r="L2727"/>
    </row>
    <row r="2728" spans="1:12" x14ac:dyDescent="0.25">
      <c r="A2728"/>
      <c r="B2728"/>
      <c r="D2728"/>
      <c r="G2728"/>
      <c r="L2728"/>
    </row>
    <row r="2729" spans="1:12" x14ac:dyDescent="0.25">
      <c r="A2729"/>
      <c r="B2729"/>
      <c r="D2729"/>
      <c r="G2729"/>
      <c r="L2729"/>
    </row>
    <row r="2730" spans="1:12" x14ac:dyDescent="0.25">
      <c r="A2730"/>
      <c r="B2730"/>
      <c r="D2730"/>
      <c r="G2730"/>
      <c r="L2730"/>
    </row>
    <row r="2731" spans="1:12" x14ac:dyDescent="0.25">
      <c r="A2731"/>
      <c r="B2731"/>
      <c r="D2731"/>
      <c r="G2731"/>
      <c r="L2731"/>
    </row>
    <row r="2732" spans="1:12" x14ac:dyDescent="0.25">
      <c r="A2732"/>
      <c r="B2732"/>
      <c r="D2732"/>
      <c r="G2732"/>
      <c r="L2732"/>
    </row>
    <row r="2733" spans="1:12" x14ac:dyDescent="0.25">
      <c r="A2733"/>
      <c r="B2733"/>
      <c r="D2733"/>
      <c r="G2733"/>
      <c r="L2733"/>
    </row>
    <row r="2734" spans="1:12" x14ac:dyDescent="0.25">
      <c r="A2734"/>
      <c r="B2734"/>
      <c r="D2734"/>
      <c r="G2734"/>
      <c r="L2734"/>
    </row>
    <row r="2735" spans="1:12" x14ac:dyDescent="0.25">
      <c r="A2735"/>
      <c r="B2735"/>
      <c r="D2735"/>
      <c r="G2735"/>
      <c r="L2735"/>
    </row>
    <row r="2736" spans="1:12" x14ac:dyDescent="0.25">
      <c r="A2736"/>
      <c r="B2736"/>
      <c r="D2736"/>
      <c r="G2736"/>
      <c r="L2736"/>
    </row>
    <row r="2737" spans="1:12" x14ac:dyDescent="0.25">
      <c r="A2737"/>
      <c r="B2737"/>
      <c r="D2737"/>
      <c r="G2737"/>
      <c r="L2737"/>
    </row>
    <row r="2738" spans="1:12" x14ac:dyDescent="0.25">
      <c r="A2738"/>
      <c r="B2738"/>
      <c r="D2738"/>
      <c r="G2738"/>
      <c r="L2738"/>
    </row>
    <row r="2739" spans="1:12" x14ac:dyDescent="0.25">
      <c r="A2739"/>
      <c r="B2739"/>
      <c r="D2739"/>
      <c r="G2739"/>
      <c r="L2739"/>
    </row>
    <row r="2740" spans="1:12" x14ac:dyDescent="0.25">
      <c r="A2740"/>
      <c r="B2740"/>
      <c r="D2740"/>
      <c r="G2740"/>
      <c r="L2740"/>
    </row>
    <row r="2741" spans="1:12" x14ac:dyDescent="0.25">
      <c r="A2741"/>
      <c r="B2741"/>
      <c r="D2741"/>
      <c r="G2741"/>
      <c r="L2741"/>
    </row>
    <row r="2742" spans="1:12" x14ac:dyDescent="0.25">
      <c r="A2742"/>
      <c r="B2742"/>
      <c r="D2742"/>
      <c r="G2742"/>
      <c r="L2742"/>
    </row>
    <row r="2743" spans="1:12" x14ac:dyDescent="0.25">
      <c r="A2743"/>
      <c r="B2743"/>
      <c r="D2743"/>
      <c r="G2743"/>
      <c r="L2743"/>
    </row>
    <row r="2744" spans="1:12" x14ac:dyDescent="0.25">
      <c r="A2744"/>
      <c r="B2744"/>
      <c r="D2744"/>
      <c r="G2744"/>
      <c r="L2744"/>
    </row>
    <row r="2745" spans="1:12" x14ac:dyDescent="0.25">
      <c r="A2745"/>
      <c r="B2745"/>
      <c r="D2745"/>
      <c r="G2745"/>
      <c r="L2745"/>
    </row>
    <row r="2746" spans="1:12" x14ac:dyDescent="0.25">
      <c r="A2746"/>
      <c r="B2746"/>
      <c r="D2746"/>
      <c r="G2746"/>
      <c r="L2746"/>
    </row>
    <row r="2747" spans="1:12" x14ac:dyDescent="0.25">
      <c r="A2747"/>
      <c r="B2747"/>
      <c r="D2747"/>
      <c r="G2747"/>
      <c r="L2747"/>
    </row>
    <row r="2748" spans="1:12" x14ac:dyDescent="0.25">
      <c r="A2748"/>
      <c r="B2748"/>
      <c r="D2748"/>
      <c r="G2748"/>
      <c r="L2748"/>
    </row>
    <row r="2749" spans="1:12" x14ac:dyDescent="0.25">
      <c r="A2749"/>
      <c r="B2749"/>
      <c r="D2749"/>
      <c r="G2749"/>
      <c r="L2749"/>
    </row>
    <row r="2750" spans="1:12" x14ac:dyDescent="0.25">
      <c r="A2750"/>
      <c r="B2750"/>
      <c r="D2750"/>
      <c r="G2750"/>
      <c r="L2750"/>
    </row>
    <row r="2751" spans="1:12" x14ac:dyDescent="0.25">
      <c r="A2751"/>
      <c r="B2751"/>
      <c r="D2751"/>
      <c r="G2751"/>
      <c r="L2751"/>
    </row>
    <row r="2752" spans="1:12" x14ac:dyDescent="0.25">
      <c r="A2752"/>
      <c r="B2752"/>
      <c r="D2752"/>
      <c r="G2752"/>
      <c r="L2752"/>
    </row>
    <row r="2753" spans="1:12" x14ac:dyDescent="0.25">
      <c r="A2753"/>
      <c r="B2753"/>
      <c r="D2753"/>
      <c r="G2753"/>
      <c r="L2753"/>
    </row>
    <row r="2754" spans="1:12" x14ac:dyDescent="0.25">
      <c r="A2754"/>
      <c r="B2754"/>
      <c r="D2754"/>
      <c r="G2754"/>
      <c r="L2754"/>
    </row>
    <row r="2755" spans="1:12" x14ac:dyDescent="0.25">
      <c r="A2755"/>
      <c r="B2755"/>
      <c r="D2755"/>
      <c r="G2755"/>
      <c r="L2755"/>
    </row>
    <row r="2756" spans="1:12" x14ac:dyDescent="0.25">
      <c r="A2756"/>
      <c r="B2756"/>
      <c r="D2756"/>
      <c r="G2756"/>
      <c r="L2756"/>
    </row>
    <row r="2757" spans="1:12" x14ac:dyDescent="0.25">
      <c r="A2757"/>
      <c r="B2757"/>
      <c r="D2757"/>
      <c r="G2757"/>
      <c r="L2757"/>
    </row>
    <row r="2758" spans="1:12" x14ac:dyDescent="0.25">
      <c r="A2758"/>
      <c r="B2758"/>
      <c r="D2758"/>
      <c r="G2758"/>
      <c r="L2758"/>
    </row>
    <row r="2759" spans="1:12" x14ac:dyDescent="0.25">
      <c r="A2759"/>
      <c r="B2759"/>
      <c r="D2759"/>
      <c r="G2759"/>
      <c r="L2759"/>
    </row>
    <row r="2760" spans="1:12" x14ac:dyDescent="0.25">
      <c r="A2760"/>
      <c r="B2760"/>
      <c r="D2760"/>
      <c r="G2760"/>
      <c r="L2760"/>
    </row>
    <row r="2761" spans="1:12" x14ac:dyDescent="0.25">
      <c r="A2761"/>
      <c r="B2761"/>
      <c r="D2761"/>
      <c r="G2761"/>
      <c r="L2761"/>
    </row>
    <row r="2762" spans="1:12" x14ac:dyDescent="0.25">
      <c r="A2762"/>
      <c r="B2762"/>
      <c r="D2762"/>
      <c r="G2762"/>
      <c r="L2762"/>
    </row>
    <row r="2763" spans="1:12" x14ac:dyDescent="0.25">
      <c r="A2763"/>
      <c r="B2763"/>
      <c r="D2763"/>
      <c r="G2763"/>
      <c r="L2763"/>
    </row>
    <row r="2764" spans="1:12" x14ac:dyDescent="0.25">
      <c r="A2764"/>
      <c r="B2764"/>
      <c r="D2764"/>
      <c r="G2764"/>
      <c r="L2764"/>
    </row>
    <row r="2765" spans="1:12" x14ac:dyDescent="0.25">
      <c r="A2765"/>
      <c r="B2765"/>
      <c r="D2765"/>
      <c r="G2765"/>
      <c r="L2765"/>
    </row>
    <row r="2766" spans="1:12" x14ac:dyDescent="0.25">
      <c r="A2766"/>
      <c r="B2766"/>
      <c r="D2766"/>
      <c r="G2766"/>
      <c r="L2766"/>
    </row>
    <row r="2767" spans="1:12" x14ac:dyDescent="0.25">
      <c r="A2767"/>
      <c r="B2767"/>
      <c r="D2767"/>
      <c r="G2767"/>
      <c r="L2767"/>
    </row>
    <row r="2768" spans="1:12" x14ac:dyDescent="0.25">
      <c r="A2768"/>
      <c r="B2768"/>
      <c r="D2768"/>
      <c r="G2768"/>
      <c r="L2768"/>
    </row>
    <row r="2769" spans="1:12" x14ac:dyDescent="0.25">
      <c r="A2769"/>
      <c r="B2769"/>
      <c r="D2769"/>
      <c r="G2769"/>
      <c r="L2769"/>
    </row>
    <row r="2770" spans="1:12" x14ac:dyDescent="0.25">
      <c r="A2770"/>
      <c r="B2770"/>
      <c r="D2770"/>
      <c r="G2770"/>
      <c r="L2770"/>
    </row>
    <row r="2771" spans="1:12" x14ac:dyDescent="0.25">
      <c r="A2771"/>
      <c r="B2771"/>
      <c r="D2771"/>
      <c r="G2771"/>
      <c r="L2771"/>
    </row>
    <row r="2772" spans="1:12" x14ac:dyDescent="0.25">
      <c r="A2772"/>
      <c r="B2772"/>
      <c r="D2772"/>
      <c r="G2772"/>
      <c r="L2772"/>
    </row>
    <row r="2773" spans="1:12" x14ac:dyDescent="0.25">
      <c r="A2773"/>
      <c r="B2773"/>
      <c r="D2773"/>
      <c r="G2773"/>
      <c r="L2773"/>
    </row>
    <row r="2774" spans="1:12" x14ac:dyDescent="0.25">
      <c r="A2774"/>
      <c r="B2774"/>
      <c r="D2774"/>
      <c r="G2774"/>
      <c r="L2774"/>
    </row>
    <row r="2775" spans="1:12" x14ac:dyDescent="0.25">
      <c r="A2775"/>
      <c r="B2775"/>
      <c r="D2775"/>
      <c r="G2775"/>
      <c r="L2775"/>
    </row>
    <row r="2776" spans="1:12" x14ac:dyDescent="0.25">
      <c r="A2776"/>
      <c r="B2776"/>
      <c r="D2776"/>
      <c r="G2776"/>
      <c r="L2776"/>
    </row>
    <row r="2777" spans="1:12" x14ac:dyDescent="0.25">
      <c r="A2777"/>
      <c r="B2777"/>
      <c r="D2777"/>
      <c r="G2777"/>
      <c r="L2777"/>
    </row>
    <row r="2778" spans="1:12" x14ac:dyDescent="0.25">
      <c r="A2778"/>
      <c r="B2778"/>
      <c r="D2778"/>
      <c r="G2778"/>
      <c r="L2778"/>
    </row>
    <row r="2779" spans="1:12" x14ac:dyDescent="0.25">
      <c r="A2779"/>
      <c r="B2779"/>
      <c r="D2779"/>
      <c r="G2779"/>
      <c r="L2779"/>
    </row>
    <row r="2780" spans="1:12" x14ac:dyDescent="0.25">
      <c r="A2780"/>
      <c r="B2780"/>
      <c r="D2780"/>
      <c r="G2780"/>
      <c r="L2780"/>
    </row>
    <row r="2781" spans="1:12" x14ac:dyDescent="0.25">
      <c r="A2781"/>
      <c r="B2781"/>
      <c r="D2781"/>
      <c r="G2781"/>
      <c r="L2781"/>
    </row>
    <row r="2782" spans="1:12" x14ac:dyDescent="0.25">
      <c r="A2782"/>
      <c r="B2782"/>
      <c r="D2782"/>
      <c r="G2782"/>
      <c r="L2782"/>
    </row>
    <row r="2783" spans="1:12" x14ac:dyDescent="0.25">
      <c r="A2783"/>
      <c r="B2783"/>
      <c r="D2783"/>
      <c r="G2783"/>
      <c r="L2783"/>
    </row>
    <row r="2784" spans="1:12" x14ac:dyDescent="0.25">
      <c r="A2784"/>
      <c r="B2784"/>
      <c r="D2784"/>
      <c r="G2784"/>
      <c r="L2784"/>
    </row>
    <row r="2785" spans="1:12" x14ac:dyDescent="0.25">
      <c r="A2785"/>
      <c r="B2785"/>
      <c r="D2785"/>
      <c r="G2785"/>
      <c r="L2785"/>
    </row>
    <row r="2786" spans="1:12" x14ac:dyDescent="0.25">
      <c r="A2786"/>
      <c r="B2786"/>
      <c r="D2786"/>
      <c r="G2786"/>
      <c r="L2786"/>
    </row>
    <row r="2787" spans="1:12" x14ac:dyDescent="0.25">
      <c r="A2787"/>
      <c r="B2787"/>
      <c r="D2787"/>
      <c r="G2787"/>
      <c r="L2787"/>
    </row>
    <row r="2788" spans="1:12" x14ac:dyDescent="0.25">
      <c r="A2788"/>
      <c r="B2788"/>
      <c r="D2788"/>
      <c r="G2788"/>
      <c r="L2788"/>
    </row>
    <row r="2789" spans="1:12" x14ac:dyDescent="0.25">
      <c r="A2789"/>
      <c r="B2789"/>
      <c r="D2789"/>
      <c r="G2789"/>
      <c r="L2789"/>
    </row>
    <row r="2790" spans="1:12" x14ac:dyDescent="0.25">
      <c r="A2790"/>
      <c r="B2790"/>
      <c r="D2790"/>
      <c r="G2790"/>
      <c r="L2790"/>
    </row>
    <row r="2791" spans="1:12" x14ac:dyDescent="0.25">
      <c r="A2791"/>
      <c r="B2791"/>
      <c r="D2791"/>
      <c r="G2791"/>
      <c r="L2791"/>
    </row>
    <row r="2792" spans="1:12" x14ac:dyDescent="0.25">
      <c r="A2792"/>
      <c r="B2792"/>
      <c r="D2792"/>
      <c r="G2792"/>
      <c r="L2792"/>
    </row>
    <row r="2793" spans="1:12" x14ac:dyDescent="0.25">
      <c r="A2793"/>
      <c r="B2793"/>
      <c r="D2793"/>
      <c r="G2793"/>
      <c r="L2793"/>
    </row>
    <row r="2794" spans="1:12" x14ac:dyDescent="0.25">
      <c r="A2794"/>
      <c r="B2794"/>
      <c r="D2794"/>
      <c r="G2794"/>
      <c r="L2794"/>
    </row>
    <row r="2795" spans="1:12" x14ac:dyDescent="0.25">
      <c r="A2795"/>
      <c r="B2795"/>
      <c r="D2795"/>
      <c r="G2795"/>
      <c r="L2795"/>
    </row>
    <row r="2796" spans="1:12" x14ac:dyDescent="0.25">
      <c r="A2796"/>
      <c r="B2796"/>
      <c r="D2796"/>
      <c r="G2796"/>
      <c r="L2796"/>
    </row>
    <row r="2797" spans="1:12" x14ac:dyDescent="0.25">
      <c r="A2797"/>
      <c r="B2797"/>
      <c r="D2797"/>
      <c r="G2797"/>
      <c r="L2797"/>
    </row>
    <row r="2798" spans="1:12" x14ac:dyDescent="0.25">
      <c r="A2798"/>
      <c r="B2798"/>
      <c r="D2798"/>
      <c r="G2798"/>
      <c r="L2798"/>
    </row>
    <row r="2799" spans="1:12" x14ac:dyDescent="0.25">
      <c r="A2799"/>
      <c r="B2799"/>
      <c r="D2799"/>
      <c r="G2799"/>
      <c r="L2799"/>
    </row>
    <row r="2800" spans="1:12" x14ac:dyDescent="0.25">
      <c r="A2800"/>
      <c r="B2800"/>
      <c r="D2800"/>
      <c r="G2800"/>
      <c r="L2800"/>
    </row>
    <row r="2801" spans="1:12" x14ac:dyDescent="0.25">
      <c r="A2801"/>
      <c r="B2801"/>
      <c r="D2801"/>
      <c r="G2801"/>
      <c r="L2801"/>
    </row>
    <row r="2802" spans="1:12" x14ac:dyDescent="0.25">
      <c r="A2802"/>
      <c r="B2802"/>
      <c r="D2802"/>
      <c r="G2802"/>
      <c r="L2802"/>
    </row>
    <row r="2803" spans="1:12" x14ac:dyDescent="0.25">
      <c r="A2803"/>
      <c r="B2803"/>
      <c r="D2803"/>
      <c r="G2803"/>
      <c r="L2803"/>
    </row>
    <row r="2804" spans="1:12" x14ac:dyDescent="0.25">
      <c r="A2804"/>
      <c r="B2804"/>
      <c r="D2804"/>
      <c r="G2804"/>
      <c r="L2804"/>
    </row>
    <row r="2805" spans="1:12" x14ac:dyDescent="0.25">
      <c r="A2805"/>
      <c r="B2805"/>
      <c r="D2805"/>
      <c r="G2805"/>
      <c r="L2805"/>
    </row>
    <row r="2806" spans="1:12" x14ac:dyDescent="0.25">
      <c r="A2806"/>
      <c r="B2806"/>
      <c r="D2806"/>
      <c r="G2806"/>
      <c r="L2806"/>
    </row>
    <row r="2807" spans="1:12" x14ac:dyDescent="0.25">
      <c r="A2807"/>
      <c r="B2807"/>
      <c r="D2807"/>
      <c r="G2807"/>
      <c r="L2807"/>
    </row>
    <row r="2808" spans="1:12" x14ac:dyDescent="0.25">
      <c r="A2808"/>
      <c r="B2808"/>
      <c r="D2808"/>
      <c r="G2808"/>
      <c r="L2808"/>
    </row>
    <row r="2809" spans="1:12" x14ac:dyDescent="0.25">
      <c r="A2809"/>
      <c r="B2809"/>
      <c r="D2809"/>
      <c r="G2809"/>
      <c r="L2809"/>
    </row>
    <row r="2810" spans="1:12" x14ac:dyDescent="0.25">
      <c r="A2810"/>
      <c r="B2810"/>
      <c r="D2810"/>
      <c r="G2810"/>
      <c r="L2810"/>
    </row>
    <row r="2811" spans="1:12" x14ac:dyDescent="0.25">
      <c r="A2811"/>
      <c r="B2811"/>
      <c r="D2811"/>
      <c r="G2811"/>
      <c r="L2811"/>
    </row>
    <row r="2812" spans="1:12" x14ac:dyDescent="0.25">
      <c r="A2812"/>
      <c r="B2812"/>
      <c r="D2812"/>
      <c r="G2812"/>
      <c r="L2812"/>
    </row>
    <row r="2813" spans="1:12" x14ac:dyDescent="0.25">
      <c r="A2813"/>
      <c r="B2813"/>
      <c r="D2813"/>
      <c r="G2813"/>
      <c r="L2813"/>
    </row>
    <row r="2814" spans="1:12" x14ac:dyDescent="0.25">
      <c r="A2814"/>
      <c r="B2814"/>
      <c r="D2814"/>
      <c r="G2814"/>
      <c r="L2814"/>
    </row>
    <row r="2815" spans="1:12" x14ac:dyDescent="0.25">
      <c r="A2815"/>
      <c r="B2815"/>
      <c r="D2815"/>
      <c r="G2815"/>
      <c r="L2815"/>
    </row>
    <row r="2816" spans="1:12" x14ac:dyDescent="0.25">
      <c r="A2816"/>
      <c r="B2816"/>
      <c r="D2816"/>
      <c r="G2816"/>
      <c r="L2816"/>
    </row>
    <row r="2817" spans="1:12" x14ac:dyDescent="0.25">
      <c r="A2817"/>
      <c r="B2817"/>
      <c r="D2817"/>
      <c r="G2817"/>
      <c r="L2817"/>
    </row>
    <row r="2818" spans="1:12" x14ac:dyDescent="0.25">
      <c r="A2818"/>
      <c r="B2818"/>
      <c r="D2818"/>
      <c r="G2818"/>
      <c r="L2818"/>
    </row>
    <row r="2819" spans="1:12" x14ac:dyDescent="0.25">
      <c r="A2819"/>
      <c r="B2819"/>
      <c r="D2819"/>
      <c r="G2819"/>
      <c r="L2819"/>
    </row>
    <row r="2820" spans="1:12" x14ac:dyDescent="0.25">
      <c r="A2820"/>
      <c r="B2820"/>
      <c r="D2820"/>
      <c r="G2820"/>
      <c r="L2820"/>
    </row>
    <row r="2821" spans="1:12" x14ac:dyDescent="0.25">
      <c r="A2821"/>
      <c r="B2821"/>
      <c r="D2821"/>
      <c r="G2821"/>
      <c r="L2821"/>
    </row>
    <row r="2822" spans="1:12" x14ac:dyDescent="0.25">
      <c r="A2822"/>
      <c r="B2822"/>
      <c r="D2822"/>
      <c r="G2822"/>
      <c r="L2822"/>
    </row>
    <row r="2823" spans="1:12" x14ac:dyDescent="0.25">
      <c r="A2823"/>
      <c r="B2823"/>
      <c r="D2823"/>
      <c r="G2823"/>
      <c r="L2823"/>
    </row>
    <row r="2824" spans="1:12" x14ac:dyDescent="0.25">
      <c r="A2824"/>
      <c r="B2824"/>
      <c r="D2824"/>
      <c r="G2824"/>
      <c r="L2824"/>
    </row>
    <row r="2825" spans="1:12" x14ac:dyDescent="0.25">
      <c r="A2825"/>
      <c r="B2825"/>
      <c r="D2825"/>
      <c r="G2825"/>
      <c r="L2825"/>
    </row>
    <row r="2826" spans="1:12" x14ac:dyDescent="0.25">
      <c r="A2826"/>
      <c r="B2826"/>
      <c r="D2826"/>
      <c r="G2826"/>
      <c r="L2826"/>
    </row>
    <row r="2827" spans="1:12" x14ac:dyDescent="0.25">
      <c r="A2827"/>
      <c r="B2827"/>
      <c r="D2827"/>
      <c r="G2827"/>
      <c r="L2827"/>
    </row>
    <row r="2828" spans="1:12" x14ac:dyDescent="0.25">
      <c r="A2828"/>
      <c r="B2828"/>
      <c r="D2828"/>
      <c r="G2828"/>
      <c r="L2828"/>
    </row>
    <row r="2829" spans="1:12" x14ac:dyDescent="0.25">
      <c r="A2829"/>
      <c r="B2829"/>
      <c r="D2829"/>
      <c r="G2829"/>
      <c r="L2829"/>
    </row>
    <row r="2830" spans="1:12" x14ac:dyDescent="0.25">
      <c r="A2830"/>
      <c r="B2830"/>
      <c r="D2830"/>
      <c r="G2830"/>
      <c r="L2830"/>
    </row>
    <row r="2831" spans="1:12" x14ac:dyDescent="0.25">
      <c r="A2831"/>
      <c r="B2831"/>
      <c r="D2831"/>
      <c r="G2831"/>
      <c r="L2831"/>
    </row>
    <row r="2832" spans="1:12" x14ac:dyDescent="0.25">
      <c r="A2832"/>
      <c r="B2832"/>
      <c r="D2832"/>
      <c r="G2832"/>
      <c r="L2832"/>
    </row>
    <row r="2833" spans="1:12" x14ac:dyDescent="0.25">
      <c r="A2833"/>
      <c r="B2833"/>
      <c r="D2833"/>
      <c r="G2833"/>
      <c r="L2833"/>
    </row>
    <row r="2834" spans="1:12" x14ac:dyDescent="0.25">
      <c r="A2834"/>
      <c r="B2834"/>
      <c r="D2834"/>
      <c r="G2834"/>
      <c r="L2834"/>
    </row>
    <row r="2835" spans="1:12" x14ac:dyDescent="0.25">
      <c r="A2835"/>
      <c r="B2835"/>
      <c r="D2835"/>
      <c r="G2835"/>
      <c r="L2835"/>
    </row>
    <row r="2836" spans="1:12" x14ac:dyDescent="0.25">
      <c r="A2836"/>
      <c r="B2836"/>
      <c r="D2836"/>
      <c r="G2836"/>
      <c r="L2836"/>
    </row>
    <row r="2837" spans="1:12" x14ac:dyDescent="0.25">
      <c r="A2837"/>
      <c r="B2837"/>
      <c r="D2837"/>
      <c r="G2837"/>
      <c r="L2837"/>
    </row>
    <row r="2838" spans="1:12" x14ac:dyDescent="0.25">
      <c r="A2838"/>
      <c r="B2838"/>
      <c r="D2838"/>
      <c r="G2838"/>
      <c r="L2838"/>
    </row>
    <row r="2839" spans="1:12" x14ac:dyDescent="0.25">
      <c r="A2839"/>
      <c r="B2839"/>
      <c r="D2839"/>
      <c r="G2839"/>
      <c r="L2839"/>
    </row>
    <row r="2840" spans="1:12" x14ac:dyDescent="0.25">
      <c r="A2840"/>
      <c r="B2840"/>
      <c r="D2840"/>
      <c r="G2840"/>
      <c r="L2840"/>
    </row>
    <row r="2841" spans="1:12" x14ac:dyDescent="0.25">
      <c r="A2841"/>
      <c r="B2841"/>
      <c r="D2841"/>
      <c r="G2841"/>
      <c r="L2841"/>
    </row>
    <row r="2842" spans="1:12" x14ac:dyDescent="0.25">
      <c r="A2842"/>
      <c r="B2842"/>
      <c r="D2842"/>
      <c r="G2842"/>
      <c r="L2842"/>
    </row>
    <row r="2843" spans="1:12" x14ac:dyDescent="0.25">
      <c r="A2843"/>
      <c r="B2843"/>
      <c r="D2843"/>
      <c r="G2843"/>
      <c r="L2843"/>
    </row>
    <row r="2844" spans="1:12" x14ac:dyDescent="0.25">
      <c r="A2844"/>
      <c r="B2844"/>
      <c r="D2844"/>
      <c r="G2844"/>
      <c r="L2844"/>
    </row>
    <row r="2845" spans="1:12" x14ac:dyDescent="0.25">
      <c r="A2845"/>
      <c r="B2845"/>
      <c r="D2845"/>
      <c r="G2845"/>
      <c r="L2845"/>
    </row>
    <row r="2846" spans="1:12" x14ac:dyDescent="0.25">
      <c r="A2846"/>
      <c r="B2846"/>
      <c r="D2846"/>
      <c r="G2846"/>
      <c r="L2846"/>
    </row>
    <row r="2847" spans="1:12" x14ac:dyDescent="0.25">
      <c r="A2847"/>
      <c r="B2847"/>
      <c r="D2847"/>
      <c r="G2847"/>
      <c r="L2847"/>
    </row>
    <row r="2848" spans="1:12" x14ac:dyDescent="0.25">
      <c r="A2848"/>
      <c r="B2848"/>
      <c r="D2848"/>
      <c r="G2848"/>
      <c r="L2848"/>
    </row>
    <row r="2849" spans="1:12" x14ac:dyDescent="0.25">
      <c r="A2849"/>
      <c r="B2849"/>
      <c r="D2849"/>
      <c r="G2849"/>
      <c r="L2849"/>
    </row>
    <row r="2850" spans="1:12" x14ac:dyDescent="0.25">
      <c r="A2850"/>
      <c r="B2850"/>
      <c r="D2850"/>
      <c r="G2850"/>
      <c r="L2850"/>
    </row>
    <row r="2851" spans="1:12" x14ac:dyDescent="0.25">
      <c r="A2851"/>
      <c r="B2851"/>
      <c r="D2851"/>
      <c r="G2851"/>
      <c r="L2851"/>
    </row>
    <row r="2852" spans="1:12" x14ac:dyDescent="0.25">
      <c r="A2852"/>
      <c r="B2852"/>
      <c r="D2852"/>
      <c r="G2852"/>
      <c r="L2852"/>
    </row>
    <row r="2853" spans="1:12" x14ac:dyDescent="0.25">
      <c r="A2853"/>
      <c r="B2853"/>
      <c r="D2853"/>
      <c r="G2853"/>
      <c r="L2853"/>
    </row>
    <row r="2854" spans="1:12" x14ac:dyDescent="0.25">
      <c r="A2854"/>
      <c r="B2854"/>
      <c r="D2854"/>
      <c r="G2854"/>
      <c r="L2854"/>
    </row>
    <row r="2855" spans="1:12" x14ac:dyDescent="0.25">
      <c r="A2855"/>
      <c r="B2855"/>
      <c r="D2855"/>
      <c r="G2855"/>
      <c r="L2855"/>
    </row>
    <row r="2856" spans="1:12" x14ac:dyDescent="0.25">
      <c r="A2856"/>
      <c r="B2856"/>
      <c r="D2856"/>
      <c r="G2856"/>
      <c r="L2856"/>
    </row>
    <row r="2857" spans="1:12" x14ac:dyDescent="0.25">
      <c r="A2857"/>
      <c r="B2857"/>
      <c r="D2857"/>
      <c r="G2857"/>
      <c r="L2857"/>
    </row>
    <row r="2858" spans="1:12" x14ac:dyDescent="0.25">
      <c r="A2858"/>
      <c r="B2858"/>
      <c r="D2858"/>
      <c r="G2858"/>
      <c r="L2858"/>
    </row>
    <row r="2859" spans="1:12" x14ac:dyDescent="0.25">
      <c r="A2859"/>
      <c r="B2859"/>
      <c r="D2859"/>
      <c r="G2859"/>
      <c r="L2859"/>
    </row>
    <row r="2860" spans="1:12" x14ac:dyDescent="0.25">
      <c r="A2860"/>
      <c r="B2860"/>
      <c r="D2860"/>
      <c r="G2860"/>
      <c r="L2860"/>
    </row>
    <row r="2861" spans="1:12" x14ac:dyDescent="0.25">
      <c r="A2861"/>
      <c r="B2861"/>
      <c r="D2861"/>
      <c r="G2861"/>
      <c r="L2861"/>
    </row>
    <row r="2862" spans="1:12" x14ac:dyDescent="0.25">
      <c r="A2862"/>
      <c r="B2862"/>
      <c r="D2862"/>
      <c r="G2862"/>
      <c r="L2862"/>
    </row>
    <row r="2863" spans="1:12" x14ac:dyDescent="0.25">
      <c r="A2863"/>
      <c r="B2863"/>
      <c r="D2863"/>
      <c r="G2863"/>
      <c r="L2863"/>
    </row>
    <row r="2864" spans="1:12" x14ac:dyDescent="0.25">
      <c r="A2864"/>
      <c r="B2864"/>
      <c r="D2864"/>
      <c r="G2864"/>
      <c r="L2864"/>
    </row>
    <row r="2865" spans="1:12" x14ac:dyDescent="0.25">
      <c r="A2865"/>
      <c r="B2865"/>
      <c r="D2865"/>
      <c r="G2865"/>
      <c r="L2865"/>
    </row>
    <row r="2866" spans="1:12" x14ac:dyDescent="0.25">
      <c r="A2866"/>
      <c r="B2866"/>
      <c r="D2866"/>
      <c r="G2866"/>
      <c r="L2866"/>
    </row>
    <row r="2867" spans="1:12" x14ac:dyDescent="0.25">
      <c r="A2867"/>
      <c r="B2867"/>
      <c r="D2867"/>
      <c r="G2867"/>
      <c r="L2867"/>
    </row>
    <row r="2868" spans="1:12" x14ac:dyDescent="0.25">
      <c r="A2868"/>
      <c r="B2868"/>
      <c r="D2868"/>
      <c r="G2868"/>
      <c r="L2868"/>
    </row>
    <row r="2869" spans="1:12" x14ac:dyDescent="0.25">
      <c r="A2869"/>
      <c r="B2869"/>
      <c r="D2869"/>
      <c r="G2869"/>
      <c r="L2869"/>
    </row>
    <row r="2870" spans="1:12" x14ac:dyDescent="0.25">
      <c r="A2870"/>
      <c r="B2870"/>
      <c r="D2870"/>
      <c r="G2870"/>
      <c r="L2870"/>
    </row>
    <row r="2871" spans="1:12" x14ac:dyDescent="0.25">
      <c r="A2871"/>
      <c r="B2871"/>
      <c r="D2871"/>
      <c r="G2871"/>
      <c r="L2871"/>
    </row>
    <row r="2872" spans="1:12" x14ac:dyDescent="0.25">
      <c r="A2872"/>
      <c r="B2872"/>
      <c r="D2872"/>
      <c r="G2872"/>
      <c r="L2872"/>
    </row>
    <row r="2873" spans="1:12" x14ac:dyDescent="0.25">
      <c r="A2873"/>
      <c r="B2873"/>
      <c r="D2873"/>
      <c r="G2873"/>
      <c r="L2873"/>
    </row>
    <row r="2874" spans="1:12" x14ac:dyDescent="0.25">
      <c r="A2874"/>
      <c r="B2874"/>
      <c r="D2874"/>
      <c r="G2874"/>
      <c r="L2874"/>
    </row>
    <row r="2875" spans="1:12" x14ac:dyDescent="0.25">
      <c r="A2875"/>
      <c r="B2875"/>
      <c r="D2875"/>
      <c r="G2875"/>
      <c r="L2875"/>
    </row>
    <row r="2876" spans="1:12" x14ac:dyDescent="0.25">
      <c r="A2876"/>
      <c r="B2876"/>
      <c r="D2876"/>
      <c r="G2876"/>
      <c r="L2876"/>
    </row>
    <row r="2877" spans="1:12" x14ac:dyDescent="0.25">
      <c r="A2877"/>
      <c r="B2877"/>
      <c r="D2877"/>
      <c r="G2877"/>
      <c r="L2877"/>
    </row>
    <row r="2878" spans="1:12" x14ac:dyDescent="0.25">
      <c r="A2878"/>
      <c r="B2878"/>
      <c r="D2878"/>
      <c r="G2878"/>
      <c r="L2878"/>
    </row>
    <row r="2879" spans="1:12" x14ac:dyDescent="0.25">
      <c r="A2879"/>
      <c r="B2879"/>
      <c r="D2879"/>
      <c r="G2879"/>
      <c r="L2879"/>
    </row>
    <row r="2880" spans="1:12" x14ac:dyDescent="0.25">
      <c r="A2880"/>
      <c r="B2880"/>
      <c r="D2880"/>
      <c r="G2880"/>
      <c r="L2880"/>
    </row>
    <row r="2881" spans="1:12" x14ac:dyDescent="0.25">
      <c r="A2881"/>
      <c r="B2881"/>
      <c r="D2881"/>
      <c r="G2881"/>
      <c r="L2881"/>
    </row>
    <row r="2882" spans="1:12" x14ac:dyDescent="0.25">
      <c r="A2882"/>
      <c r="B2882"/>
      <c r="D2882"/>
      <c r="G2882"/>
      <c r="L2882"/>
    </row>
    <row r="2883" spans="1:12" x14ac:dyDescent="0.25">
      <c r="A2883"/>
      <c r="B2883"/>
      <c r="D2883"/>
      <c r="G2883"/>
      <c r="L2883"/>
    </row>
    <row r="2884" spans="1:12" x14ac:dyDescent="0.25">
      <c r="A2884"/>
      <c r="B2884"/>
      <c r="D2884"/>
      <c r="G2884"/>
      <c r="L2884"/>
    </row>
    <row r="2885" spans="1:12" x14ac:dyDescent="0.25">
      <c r="A2885"/>
      <c r="B2885"/>
      <c r="D2885"/>
      <c r="G2885"/>
      <c r="L2885"/>
    </row>
    <row r="2886" spans="1:12" x14ac:dyDescent="0.25">
      <c r="A2886"/>
      <c r="B2886"/>
      <c r="D2886"/>
      <c r="G2886"/>
      <c r="L2886"/>
    </row>
    <row r="2887" spans="1:12" x14ac:dyDescent="0.25">
      <c r="A2887"/>
      <c r="B2887"/>
      <c r="D2887"/>
      <c r="G2887"/>
      <c r="L2887"/>
    </row>
    <row r="2888" spans="1:12" x14ac:dyDescent="0.25">
      <c r="A2888"/>
      <c r="B2888"/>
      <c r="D2888"/>
      <c r="G2888"/>
      <c r="L2888"/>
    </row>
    <row r="2889" spans="1:12" x14ac:dyDescent="0.25">
      <c r="A2889"/>
      <c r="B2889"/>
      <c r="D2889"/>
      <c r="G2889"/>
      <c r="L2889"/>
    </row>
    <row r="2890" spans="1:12" x14ac:dyDescent="0.25">
      <c r="A2890"/>
      <c r="B2890"/>
      <c r="D2890"/>
      <c r="G2890"/>
      <c r="L2890"/>
    </row>
    <row r="2891" spans="1:12" x14ac:dyDescent="0.25">
      <c r="A2891"/>
      <c r="B2891"/>
      <c r="D2891"/>
      <c r="G2891"/>
      <c r="L2891"/>
    </row>
    <row r="2892" spans="1:12" x14ac:dyDescent="0.25">
      <c r="A2892"/>
      <c r="B2892"/>
      <c r="D2892"/>
      <c r="G2892"/>
      <c r="L2892"/>
    </row>
    <row r="2893" spans="1:12" x14ac:dyDescent="0.25">
      <c r="A2893"/>
      <c r="B2893"/>
      <c r="D2893"/>
      <c r="G2893"/>
      <c r="L2893"/>
    </row>
    <row r="2894" spans="1:12" x14ac:dyDescent="0.25">
      <c r="A2894"/>
      <c r="B2894"/>
      <c r="D2894"/>
      <c r="G2894"/>
      <c r="L2894"/>
    </row>
    <row r="2895" spans="1:12" x14ac:dyDescent="0.25">
      <c r="A2895"/>
      <c r="B2895"/>
      <c r="D2895"/>
      <c r="G2895"/>
      <c r="L2895"/>
    </row>
    <row r="2896" spans="1:12" x14ac:dyDescent="0.25">
      <c r="A2896"/>
      <c r="B2896"/>
      <c r="D2896"/>
      <c r="G2896"/>
      <c r="L2896"/>
    </row>
    <row r="2897" spans="1:12" x14ac:dyDescent="0.25">
      <c r="A2897"/>
      <c r="B2897"/>
      <c r="D2897"/>
      <c r="G2897"/>
      <c r="L2897"/>
    </row>
    <row r="2898" spans="1:12" x14ac:dyDescent="0.25">
      <c r="A2898"/>
      <c r="B2898"/>
      <c r="D2898"/>
      <c r="G2898"/>
      <c r="L2898"/>
    </row>
    <row r="2899" spans="1:12" x14ac:dyDescent="0.25">
      <c r="A2899"/>
      <c r="B2899"/>
      <c r="D2899"/>
      <c r="G2899"/>
      <c r="L2899"/>
    </row>
    <row r="2900" spans="1:12" x14ac:dyDescent="0.25">
      <c r="A2900"/>
      <c r="B2900"/>
      <c r="D2900"/>
      <c r="G2900"/>
      <c r="L2900"/>
    </row>
    <row r="2901" spans="1:12" x14ac:dyDescent="0.25">
      <c r="A2901"/>
      <c r="B2901"/>
      <c r="D2901"/>
      <c r="G2901"/>
      <c r="L2901"/>
    </row>
    <row r="2902" spans="1:12" x14ac:dyDescent="0.25">
      <c r="A2902"/>
      <c r="B2902"/>
      <c r="D2902"/>
      <c r="G2902"/>
      <c r="L2902"/>
    </row>
    <row r="2903" spans="1:12" x14ac:dyDescent="0.25">
      <c r="A2903"/>
      <c r="B2903"/>
      <c r="D2903"/>
      <c r="G2903"/>
      <c r="L2903"/>
    </row>
    <row r="2904" spans="1:12" x14ac:dyDescent="0.25">
      <c r="A2904"/>
      <c r="B2904"/>
      <c r="D2904"/>
      <c r="G2904"/>
      <c r="L2904"/>
    </row>
    <row r="2905" spans="1:12" x14ac:dyDescent="0.25">
      <c r="A2905"/>
      <c r="B2905"/>
      <c r="D2905"/>
      <c r="G2905"/>
      <c r="L2905"/>
    </row>
    <row r="2906" spans="1:12" x14ac:dyDescent="0.25">
      <c r="A2906"/>
      <c r="B2906"/>
      <c r="D2906"/>
      <c r="G2906"/>
      <c r="L2906"/>
    </row>
    <row r="2907" spans="1:12" x14ac:dyDescent="0.25">
      <c r="A2907"/>
      <c r="B2907"/>
      <c r="D2907"/>
      <c r="G2907"/>
      <c r="L2907"/>
    </row>
    <row r="2908" spans="1:12" x14ac:dyDescent="0.25">
      <c r="A2908"/>
      <c r="B2908"/>
      <c r="D2908"/>
      <c r="G2908"/>
      <c r="L2908"/>
    </row>
    <row r="2909" spans="1:12" x14ac:dyDescent="0.25">
      <c r="A2909"/>
      <c r="B2909"/>
      <c r="D2909"/>
      <c r="G2909"/>
      <c r="L2909"/>
    </row>
    <row r="2910" spans="1:12" x14ac:dyDescent="0.25">
      <c r="A2910"/>
      <c r="B2910"/>
      <c r="D2910"/>
      <c r="G2910"/>
      <c r="L2910"/>
    </row>
    <row r="2911" spans="1:12" x14ac:dyDescent="0.25">
      <c r="A2911"/>
      <c r="B2911"/>
      <c r="D2911"/>
      <c r="G2911"/>
      <c r="L2911"/>
    </row>
    <row r="2912" spans="1:12" x14ac:dyDescent="0.25">
      <c r="A2912"/>
      <c r="B2912"/>
      <c r="D2912"/>
      <c r="G2912"/>
      <c r="L2912"/>
    </row>
    <row r="2913" spans="1:12" x14ac:dyDescent="0.25">
      <c r="A2913"/>
      <c r="B2913"/>
      <c r="D2913"/>
      <c r="G2913"/>
      <c r="L2913"/>
    </row>
    <row r="2914" spans="1:12" x14ac:dyDescent="0.25">
      <c r="A2914"/>
      <c r="B2914"/>
      <c r="D2914"/>
      <c r="G2914"/>
      <c r="L2914"/>
    </row>
    <row r="2915" spans="1:12" x14ac:dyDescent="0.25">
      <c r="A2915"/>
      <c r="B2915"/>
      <c r="D2915"/>
      <c r="G2915"/>
      <c r="L2915"/>
    </row>
    <row r="2916" spans="1:12" x14ac:dyDescent="0.25">
      <c r="A2916"/>
      <c r="B2916"/>
      <c r="D2916"/>
      <c r="G2916"/>
      <c r="L2916"/>
    </row>
    <row r="2917" spans="1:12" x14ac:dyDescent="0.25">
      <c r="A2917"/>
      <c r="B2917"/>
      <c r="D2917"/>
      <c r="G2917"/>
      <c r="L2917"/>
    </row>
    <row r="2918" spans="1:12" x14ac:dyDescent="0.25">
      <c r="A2918"/>
      <c r="B2918"/>
      <c r="D2918"/>
      <c r="G2918"/>
      <c r="L2918"/>
    </row>
    <row r="2919" spans="1:12" x14ac:dyDescent="0.25">
      <c r="A2919"/>
      <c r="B2919"/>
      <c r="D2919"/>
      <c r="G2919"/>
      <c r="L2919"/>
    </row>
    <row r="2920" spans="1:12" x14ac:dyDescent="0.25">
      <c r="A2920"/>
      <c r="B2920"/>
      <c r="D2920"/>
      <c r="G2920"/>
      <c r="L2920"/>
    </row>
    <row r="2921" spans="1:12" x14ac:dyDescent="0.25">
      <c r="A2921"/>
      <c r="B2921"/>
      <c r="D2921"/>
      <c r="G2921"/>
      <c r="L2921"/>
    </row>
    <row r="2922" spans="1:12" x14ac:dyDescent="0.25">
      <c r="A2922"/>
      <c r="B2922"/>
      <c r="D2922"/>
      <c r="G2922"/>
      <c r="L2922"/>
    </row>
    <row r="2923" spans="1:12" x14ac:dyDescent="0.25">
      <c r="A2923"/>
      <c r="B2923"/>
      <c r="D2923"/>
      <c r="G2923"/>
      <c r="L2923"/>
    </row>
    <row r="2924" spans="1:12" x14ac:dyDescent="0.25">
      <c r="A2924"/>
      <c r="B2924"/>
      <c r="D2924"/>
      <c r="G2924"/>
      <c r="L2924"/>
    </row>
    <row r="2925" spans="1:12" x14ac:dyDescent="0.25">
      <c r="A2925"/>
      <c r="B2925"/>
      <c r="D2925"/>
      <c r="G2925"/>
      <c r="L2925"/>
    </row>
    <row r="2926" spans="1:12" x14ac:dyDescent="0.25">
      <c r="A2926"/>
      <c r="B2926"/>
      <c r="D2926"/>
      <c r="G2926"/>
      <c r="L2926"/>
    </row>
    <row r="2927" spans="1:12" x14ac:dyDescent="0.25">
      <c r="A2927"/>
      <c r="B2927"/>
      <c r="D2927"/>
      <c r="G2927"/>
      <c r="L2927"/>
    </row>
    <row r="2928" spans="1:12" x14ac:dyDescent="0.25">
      <c r="A2928"/>
      <c r="B2928"/>
      <c r="D2928"/>
      <c r="G2928"/>
      <c r="L2928"/>
    </row>
    <row r="2929" spans="1:12" x14ac:dyDescent="0.25">
      <c r="A2929"/>
      <c r="B2929"/>
      <c r="D2929"/>
      <c r="G2929"/>
      <c r="L2929"/>
    </row>
    <row r="2930" spans="1:12" x14ac:dyDescent="0.25">
      <c r="A2930"/>
      <c r="B2930"/>
      <c r="D2930"/>
      <c r="G2930"/>
      <c r="L2930"/>
    </row>
    <row r="2931" spans="1:12" x14ac:dyDescent="0.25">
      <c r="A2931"/>
      <c r="B2931"/>
      <c r="D2931"/>
      <c r="G2931"/>
      <c r="L2931"/>
    </row>
    <row r="2932" spans="1:12" x14ac:dyDescent="0.25">
      <c r="A2932"/>
      <c r="B2932"/>
      <c r="D2932"/>
      <c r="G2932"/>
      <c r="L2932"/>
    </row>
    <row r="2933" spans="1:12" x14ac:dyDescent="0.25">
      <c r="A2933"/>
      <c r="B2933"/>
      <c r="D2933"/>
      <c r="G2933"/>
      <c r="L2933"/>
    </row>
    <row r="2934" spans="1:12" x14ac:dyDescent="0.25">
      <c r="A2934"/>
      <c r="B2934"/>
      <c r="D2934"/>
      <c r="G2934"/>
      <c r="L2934"/>
    </row>
    <row r="2935" spans="1:12" x14ac:dyDescent="0.25">
      <c r="A2935"/>
      <c r="B2935"/>
      <c r="D2935"/>
      <c r="G2935"/>
      <c r="L2935"/>
    </row>
    <row r="2936" spans="1:12" x14ac:dyDescent="0.25">
      <c r="A2936"/>
      <c r="B2936"/>
      <c r="D2936"/>
      <c r="G2936"/>
      <c r="L2936"/>
    </row>
    <row r="2937" spans="1:12" x14ac:dyDescent="0.25">
      <c r="A2937"/>
      <c r="B2937"/>
      <c r="D2937"/>
      <c r="G2937"/>
      <c r="L2937"/>
    </row>
    <row r="2938" spans="1:12" x14ac:dyDescent="0.25">
      <c r="A2938"/>
      <c r="B2938"/>
      <c r="D2938"/>
      <c r="G2938"/>
      <c r="L2938"/>
    </row>
    <row r="2939" spans="1:12" x14ac:dyDescent="0.25">
      <c r="A2939"/>
      <c r="B2939"/>
      <c r="D2939"/>
      <c r="G2939"/>
      <c r="L2939"/>
    </row>
    <row r="2940" spans="1:12" x14ac:dyDescent="0.25">
      <c r="A2940"/>
      <c r="B2940"/>
      <c r="D2940"/>
      <c r="G2940"/>
      <c r="L2940"/>
    </row>
    <row r="2941" spans="1:12" x14ac:dyDescent="0.25">
      <c r="A2941"/>
      <c r="B2941"/>
      <c r="D2941"/>
      <c r="G2941"/>
      <c r="L2941"/>
    </row>
    <row r="2942" spans="1:12" x14ac:dyDescent="0.25">
      <c r="A2942"/>
      <c r="B2942"/>
      <c r="D2942"/>
      <c r="G2942"/>
      <c r="L2942"/>
    </row>
    <row r="2943" spans="1:12" x14ac:dyDescent="0.25">
      <c r="A2943"/>
      <c r="B2943"/>
      <c r="D2943"/>
      <c r="G2943"/>
      <c r="L2943"/>
    </row>
    <row r="2944" spans="1:12" x14ac:dyDescent="0.25">
      <c r="A2944"/>
      <c r="B2944"/>
      <c r="D2944"/>
      <c r="G2944"/>
      <c r="L2944"/>
    </row>
    <row r="2945" spans="1:12" x14ac:dyDescent="0.25">
      <c r="A2945"/>
      <c r="B2945"/>
      <c r="D2945"/>
      <c r="G2945"/>
      <c r="L2945"/>
    </row>
    <row r="2946" spans="1:12" x14ac:dyDescent="0.25">
      <c r="A2946"/>
      <c r="B2946"/>
      <c r="D2946"/>
      <c r="G2946"/>
      <c r="L2946"/>
    </row>
    <row r="2947" spans="1:12" x14ac:dyDescent="0.25">
      <c r="A2947"/>
      <c r="B2947"/>
      <c r="D2947"/>
      <c r="G2947"/>
      <c r="L2947"/>
    </row>
    <row r="2948" spans="1:12" x14ac:dyDescent="0.25">
      <c r="A2948"/>
      <c r="B2948"/>
      <c r="D2948"/>
      <c r="G2948"/>
      <c r="L2948"/>
    </row>
    <row r="2949" spans="1:12" x14ac:dyDescent="0.25">
      <c r="A2949"/>
      <c r="B2949"/>
      <c r="D2949"/>
      <c r="G2949"/>
      <c r="L2949"/>
    </row>
    <row r="2950" spans="1:12" x14ac:dyDescent="0.25">
      <c r="A2950"/>
      <c r="B2950"/>
      <c r="D2950"/>
      <c r="G2950"/>
      <c r="L2950"/>
    </row>
    <row r="2951" spans="1:12" x14ac:dyDescent="0.25">
      <c r="A2951"/>
      <c r="B2951"/>
      <c r="D2951"/>
      <c r="G2951"/>
      <c r="L2951"/>
    </row>
    <row r="2952" spans="1:12" x14ac:dyDescent="0.25">
      <c r="A2952"/>
      <c r="B2952"/>
      <c r="D2952"/>
      <c r="G2952"/>
      <c r="L2952"/>
    </row>
    <row r="2953" spans="1:12" x14ac:dyDescent="0.25">
      <c r="A2953"/>
      <c r="B2953"/>
      <c r="D2953"/>
      <c r="G2953"/>
      <c r="L2953"/>
    </row>
    <row r="2954" spans="1:12" x14ac:dyDescent="0.25">
      <c r="A2954"/>
      <c r="B2954"/>
      <c r="D2954"/>
      <c r="G2954"/>
      <c r="L2954"/>
    </row>
    <row r="2955" spans="1:12" x14ac:dyDescent="0.25">
      <c r="A2955"/>
      <c r="B2955"/>
      <c r="D2955"/>
      <c r="G2955"/>
      <c r="L2955"/>
    </row>
    <row r="2956" spans="1:12" x14ac:dyDescent="0.25">
      <c r="A2956"/>
      <c r="B2956"/>
      <c r="D2956"/>
      <c r="G2956"/>
      <c r="L2956"/>
    </row>
    <row r="2957" spans="1:12" x14ac:dyDescent="0.25">
      <c r="A2957"/>
      <c r="B2957"/>
      <c r="D2957"/>
      <c r="G2957"/>
      <c r="L2957"/>
    </row>
    <row r="2958" spans="1:12" x14ac:dyDescent="0.25">
      <c r="A2958"/>
      <c r="B2958"/>
      <c r="D2958"/>
      <c r="G2958"/>
      <c r="L2958"/>
    </row>
    <row r="2959" spans="1:12" x14ac:dyDescent="0.25">
      <c r="A2959"/>
      <c r="B2959"/>
      <c r="D2959"/>
      <c r="G2959"/>
      <c r="L2959"/>
    </row>
    <row r="2960" spans="1:12" x14ac:dyDescent="0.25">
      <c r="A2960"/>
      <c r="B2960"/>
      <c r="D2960"/>
      <c r="G2960"/>
      <c r="L2960"/>
    </row>
    <row r="2961" spans="1:12" x14ac:dyDescent="0.25">
      <c r="A2961"/>
      <c r="B2961"/>
      <c r="D2961"/>
      <c r="G2961"/>
      <c r="L2961"/>
    </row>
    <row r="2962" spans="1:12" x14ac:dyDescent="0.25">
      <c r="A2962"/>
      <c r="B2962"/>
      <c r="D2962"/>
      <c r="G2962"/>
      <c r="L2962"/>
    </row>
    <row r="2963" spans="1:12" x14ac:dyDescent="0.25">
      <c r="A2963"/>
      <c r="B2963"/>
      <c r="D2963"/>
      <c r="G2963"/>
      <c r="L2963"/>
    </row>
    <row r="2964" spans="1:12" x14ac:dyDescent="0.25">
      <c r="A2964"/>
      <c r="B2964"/>
      <c r="D2964"/>
      <c r="G2964"/>
      <c r="L2964"/>
    </row>
    <row r="2965" spans="1:12" x14ac:dyDescent="0.25">
      <c r="A2965"/>
      <c r="B2965"/>
      <c r="D2965"/>
      <c r="G2965"/>
      <c r="L2965"/>
    </row>
    <row r="2966" spans="1:12" x14ac:dyDescent="0.25">
      <c r="A2966"/>
      <c r="B2966"/>
      <c r="D2966"/>
      <c r="G2966"/>
      <c r="L2966"/>
    </row>
    <row r="2967" spans="1:12" x14ac:dyDescent="0.25">
      <c r="A2967"/>
      <c r="B2967"/>
      <c r="D2967"/>
      <c r="G2967"/>
      <c r="L2967"/>
    </row>
    <row r="2968" spans="1:12" x14ac:dyDescent="0.25">
      <c r="A2968"/>
      <c r="B2968"/>
      <c r="D2968"/>
      <c r="G2968"/>
      <c r="L2968"/>
    </row>
    <row r="2969" spans="1:12" x14ac:dyDescent="0.25">
      <c r="A2969"/>
      <c r="B2969"/>
      <c r="D2969"/>
      <c r="G2969"/>
      <c r="L2969"/>
    </row>
    <row r="2970" spans="1:12" x14ac:dyDescent="0.25">
      <c r="A2970"/>
      <c r="B2970"/>
      <c r="D2970"/>
      <c r="G2970"/>
      <c r="L2970"/>
    </row>
    <row r="2971" spans="1:12" x14ac:dyDescent="0.25">
      <c r="A2971"/>
      <c r="B2971"/>
      <c r="D2971"/>
      <c r="G2971"/>
      <c r="L2971"/>
    </row>
    <row r="2972" spans="1:12" x14ac:dyDescent="0.25">
      <c r="A2972"/>
      <c r="B2972"/>
      <c r="D2972"/>
      <c r="G2972"/>
      <c r="L2972"/>
    </row>
    <row r="2973" spans="1:12" x14ac:dyDescent="0.25">
      <c r="A2973"/>
      <c r="B2973"/>
      <c r="D2973"/>
      <c r="G2973"/>
      <c r="L2973"/>
    </row>
    <row r="2974" spans="1:12" x14ac:dyDescent="0.25">
      <c r="A2974"/>
      <c r="B2974"/>
      <c r="D2974"/>
      <c r="G2974"/>
      <c r="L2974"/>
    </row>
    <row r="2975" spans="1:12" x14ac:dyDescent="0.25">
      <c r="A2975"/>
      <c r="B2975"/>
      <c r="D2975"/>
      <c r="G2975"/>
      <c r="L2975"/>
    </row>
    <row r="2976" spans="1:12" x14ac:dyDescent="0.25">
      <c r="A2976"/>
      <c r="B2976"/>
      <c r="D2976"/>
      <c r="G2976"/>
      <c r="L2976"/>
    </row>
    <row r="2977" spans="1:12" x14ac:dyDescent="0.25">
      <c r="A2977"/>
      <c r="B2977"/>
      <c r="D2977"/>
      <c r="G2977"/>
      <c r="L2977"/>
    </row>
    <row r="2978" spans="1:12" x14ac:dyDescent="0.25">
      <c r="A2978"/>
      <c r="B2978"/>
      <c r="D2978"/>
      <c r="G2978"/>
      <c r="L2978"/>
    </row>
    <row r="2979" spans="1:12" x14ac:dyDescent="0.25">
      <c r="A2979"/>
      <c r="B2979"/>
      <c r="D2979"/>
      <c r="G2979"/>
      <c r="L2979"/>
    </row>
    <row r="2980" spans="1:12" x14ac:dyDescent="0.25">
      <c r="A2980"/>
      <c r="B2980"/>
      <c r="D2980"/>
      <c r="G2980"/>
      <c r="L2980"/>
    </row>
    <row r="2981" spans="1:12" x14ac:dyDescent="0.25">
      <c r="A2981"/>
      <c r="B2981"/>
      <c r="D2981"/>
      <c r="G2981"/>
      <c r="L2981"/>
    </row>
    <row r="2982" spans="1:12" x14ac:dyDescent="0.25">
      <c r="A2982"/>
      <c r="B2982"/>
      <c r="D2982"/>
      <c r="G2982"/>
      <c r="L2982"/>
    </row>
    <row r="2983" spans="1:12" x14ac:dyDescent="0.25">
      <c r="A2983"/>
      <c r="B2983"/>
      <c r="D2983"/>
      <c r="G2983"/>
      <c r="L2983"/>
    </row>
    <row r="2984" spans="1:12" x14ac:dyDescent="0.25">
      <c r="A2984"/>
      <c r="B2984"/>
      <c r="D2984"/>
      <c r="G2984"/>
      <c r="L2984"/>
    </row>
    <row r="2985" spans="1:12" x14ac:dyDescent="0.25">
      <c r="A2985"/>
      <c r="B2985"/>
      <c r="D2985"/>
      <c r="G2985"/>
      <c r="L2985"/>
    </row>
    <row r="2986" spans="1:12" x14ac:dyDescent="0.25">
      <c r="A2986"/>
      <c r="B2986"/>
      <c r="D2986"/>
      <c r="G2986"/>
      <c r="L2986"/>
    </row>
    <row r="2987" spans="1:12" x14ac:dyDescent="0.25">
      <c r="A2987"/>
      <c r="B2987"/>
      <c r="D2987"/>
      <c r="G2987"/>
      <c r="L2987"/>
    </row>
    <row r="2988" spans="1:12" x14ac:dyDescent="0.25">
      <c r="A2988"/>
      <c r="B2988"/>
      <c r="D2988"/>
      <c r="G2988"/>
      <c r="L2988"/>
    </row>
    <row r="2989" spans="1:12" x14ac:dyDescent="0.25">
      <c r="A2989"/>
      <c r="B2989"/>
      <c r="D2989"/>
      <c r="G2989"/>
      <c r="L2989"/>
    </row>
    <row r="2990" spans="1:12" x14ac:dyDescent="0.25">
      <c r="A2990"/>
      <c r="B2990"/>
      <c r="D2990"/>
      <c r="G2990"/>
      <c r="L2990"/>
    </row>
    <row r="2991" spans="1:12" x14ac:dyDescent="0.25">
      <c r="A2991"/>
      <c r="B2991"/>
      <c r="D2991"/>
      <c r="G2991"/>
      <c r="L2991"/>
    </row>
    <row r="2992" spans="1:12" x14ac:dyDescent="0.25">
      <c r="A2992"/>
      <c r="B2992"/>
      <c r="D2992"/>
      <c r="G2992"/>
      <c r="L2992"/>
    </row>
    <row r="2993" spans="1:12" x14ac:dyDescent="0.25">
      <c r="A2993"/>
      <c r="B2993"/>
      <c r="D2993"/>
      <c r="G2993"/>
      <c r="L2993"/>
    </row>
    <row r="2994" spans="1:12" x14ac:dyDescent="0.25">
      <c r="A2994"/>
      <c r="B2994"/>
      <c r="D2994"/>
      <c r="G2994"/>
      <c r="L2994"/>
    </row>
    <row r="2995" spans="1:12" x14ac:dyDescent="0.25">
      <c r="A2995"/>
      <c r="B2995"/>
      <c r="D2995"/>
      <c r="G2995"/>
      <c r="L2995"/>
    </row>
    <row r="2996" spans="1:12" x14ac:dyDescent="0.25">
      <c r="A2996"/>
      <c r="B2996"/>
      <c r="D2996"/>
      <c r="G2996"/>
      <c r="L2996"/>
    </row>
    <row r="2997" spans="1:12" x14ac:dyDescent="0.25">
      <c r="A2997"/>
      <c r="B2997"/>
      <c r="D2997"/>
      <c r="G2997"/>
      <c r="L2997"/>
    </row>
    <row r="2998" spans="1:12" x14ac:dyDescent="0.25">
      <c r="A2998"/>
      <c r="B2998"/>
      <c r="D2998"/>
      <c r="G2998"/>
      <c r="L2998"/>
    </row>
    <row r="2999" spans="1:12" x14ac:dyDescent="0.25">
      <c r="A2999"/>
      <c r="B2999"/>
      <c r="D2999"/>
      <c r="G2999"/>
      <c r="L2999"/>
    </row>
    <row r="3000" spans="1:12" x14ac:dyDescent="0.25">
      <c r="A3000"/>
      <c r="B3000"/>
      <c r="D3000"/>
      <c r="G3000"/>
      <c r="L3000"/>
    </row>
    <row r="3001" spans="1:12" x14ac:dyDescent="0.25">
      <c r="A3001"/>
      <c r="B3001"/>
      <c r="D3001"/>
      <c r="G3001"/>
      <c r="L3001"/>
    </row>
    <row r="3002" spans="1:12" x14ac:dyDescent="0.25">
      <c r="A3002"/>
      <c r="B3002"/>
      <c r="D3002"/>
      <c r="G3002"/>
      <c r="L3002"/>
    </row>
    <row r="3003" spans="1:12" x14ac:dyDescent="0.25">
      <c r="A3003"/>
      <c r="B3003"/>
      <c r="D3003"/>
      <c r="G3003"/>
      <c r="L3003"/>
    </row>
    <row r="3004" spans="1:12" x14ac:dyDescent="0.25">
      <c r="A3004"/>
      <c r="B3004"/>
      <c r="D3004"/>
      <c r="G3004"/>
      <c r="L3004"/>
    </row>
    <row r="3005" spans="1:12" x14ac:dyDescent="0.25">
      <c r="A3005"/>
      <c r="B3005"/>
      <c r="D3005"/>
      <c r="G3005"/>
      <c r="L3005"/>
    </row>
    <row r="3006" spans="1:12" x14ac:dyDescent="0.25">
      <c r="A3006"/>
      <c r="B3006"/>
      <c r="D3006"/>
      <c r="G3006"/>
      <c r="L3006"/>
    </row>
    <row r="3007" spans="1:12" x14ac:dyDescent="0.25">
      <c r="A3007"/>
      <c r="B3007"/>
      <c r="D3007"/>
      <c r="G3007"/>
      <c r="L3007"/>
    </row>
    <row r="3008" spans="1:12" x14ac:dyDescent="0.25">
      <c r="A3008"/>
      <c r="B3008"/>
      <c r="D3008"/>
      <c r="G3008"/>
      <c r="L3008"/>
    </row>
    <row r="3009" spans="1:12" x14ac:dyDescent="0.25">
      <c r="A3009"/>
      <c r="B3009"/>
      <c r="D3009"/>
      <c r="G3009"/>
      <c r="L3009"/>
    </row>
    <row r="3010" spans="1:12" x14ac:dyDescent="0.25">
      <c r="A3010"/>
      <c r="B3010"/>
      <c r="D3010"/>
      <c r="G3010"/>
      <c r="L3010"/>
    </row>
    <row r="3011" spans="1:12" x14ac:dyDescent="0.25">
      <c r="A3011"/>
      <c r="B3011"/>
      <c r="D3011"/>
      <c r="G3011"/>
      <c r="L3011"/>
    </row>
    <row r="3012" spans="1:12" x14ac:dyDescent="0.25">
      <c r="A3012"/>
      <c r="B3012"/>
      <c r="D3012"/>
      <c r="G3012"/>
      <c r="L3012"/>
    </row>
    <row r="3013" spans="1:12" x14ac:dyDescent="0.25">
      <c r="A3013"/>
      <c r="B3013"/>
      <c r="D3013"/>
      <c r="G3013"/>
      <c r="L3013"/>
    </row>
    <row r="3014" spans="1:12" x14ac:dyDescent="0.25">
      <c r="A3014"/>
      <c r="B3014"/>
      <c r="D3014"/>
      <c r="G3014"/>
      <c r="L3014"/>
    </row>
    <row r="3015" spans="1:12" x14ac:dyDescent="0.25">
      <c r="A3015"/>
      <c r="B3015"/>
      <c r="D3015"/>
      <c r="G3015"/>
      <c r="L3015"/>
    </row>
    <row r="3016" spans="1:12" x14ac:dyDescent="0.25">
      <c r="A3016"/>
      <c r="B3016"/>
      <c r="D3016"/>
      <c r="G3016"/>
      <c r="L3016"/>
    </row>
    <row r="3017" spans="1:12" x14ac:dyDescent="0.25">
      <c r="A3017"/>
      <c r="B3017"/>
      <c r="D3017"/>
      <c r="G3017"/>
      <c r="L3017"/>
    </row>
    <row r="3018" spans="1:12" x14ac:dyDescent="0.25">
      <c r="A3018"/>
      <c r="B3018"/>
      <c r="D3018"/>
      <c r="G3018"/>
      <c r="L3018"/>
    </row>
    <row r="3019" spans="1:12" x14ac:dyDescent="0.25">
      <c r="A3019"/>
      <c r="B3019"/>
      <c r="D3019"/>
      <c r="G3019"/>
      <c r="L3019"/>
    </row>
    <row r="3020" spans="1:12" x14ac:dyDescent="0.25">
      <c r="A3020"/>
      <c r="B3020"/>
      <c r="D3020"/>
      <c r="G3020"/>
      <c r="L3020"/>
    </row>
    <row r="3021" spans="1:12" x14ac:dyDescent="0.25">
      <c r="A3021"/>
      <c r="B3021"/>
      <c r="D3021"/>
      <c r="G3021"/>
      <c r="L3021"/>
    </row>
    <row r="3022" spans="1:12" x14ac:dyDescent="0.25">
      <c r="A3022"/>
      <c r="B3022"/>
      <c r="D3022"/>
      <c r="G3022"/>
      <c r="L3022"/>
    </row>
    <row r="3023" spans="1:12" x14ac:dyDescent="0.25">
      <c r="A3023"/>
      <c r="B3023"/>
      <c r="D3023"/>
      <c r="G3023"/>
      <c r="L3023"/>
    </row>
    <row r="3024" spans="1:12" x14ac:dyDescent="0.25">
      <c r="A3024"/>
      <c r="B3024"/>
      <c r="D3024"/>
      <c r="G3024"/>
      <c r="L3024"/>
    </row>
    <row r="3025" spans="1:12" x14ac:dyDescent="0.25">
      <c r="A3025"/>
      <c r="B3025"/>
      <c r="D3025"/>
      <c r="G3025"/>
      <c r="L3025"/>
    </row>
    <row r="3026" spans="1:12" x14ac:dyDescent="0.25">
      <c r="A3026"/>
      <c r="B3026"/>
      <c r="D3026"/>
      <c r="G3026"/>
      <c r="L3026"/>
    </row>
    <row r="3027" spans="1:12" x14ac:dyDescent="0.25">
      <c r="A3027"/>
      <c r="B3027"/>
      <c r="D3027"/>
      <c r="G3027"/>
      <c r="L3027"/>
    </row>
    <row r="3028" spans="1:12" x14ac:dyDescent="0.25">
      <c r="A3028"/>
      <c r="B3028"/>
      <c r="D3028"/>
      <c r="G3028"/>
      <c r="L3028"/>
    </row>
    <row r="3029" spans="1:12" x14ac:dyDescent="0.25">
      <c r="A3029"/>
      <c r="B3029"/>
      <c r="D3029"/>
      <c r="G3029"/>
      <c r="L3029"/>
    </row>
    <row r="3030" spans="1:12" x14ac:dyDescent="0.25">
      <c r="A3030"/>
      <c r="B3030"/>
      <c r="D3030"/>
      <c r="G3030"/>
      <c r="L3030"/>
    </row>
    <row r="3031" spans="1:12" x14ac:dyDescent="0.25">
      <c r="A3031"/>
      <c r="B3031"/>
      <c r="D3031"/>
      <c r="G3031"/>
      <c r="L3031"/>
    </row>
    <row r="3032" spans="1:12" x14ac:dyDescent="0.25">
      <c r="A3032"/>
      <c r="B3032"/>
      <c r="D3032"/>
      <c r="G3032"/>
      <c r="L3032"/>
    </row>
    <row r="3033" spans="1:12" x14ac:dyDescent="0.25">
      <c r="A3033"/>
      <c r="B3033"/>
      <c r="D3033"/>
      <c r="G3033"/>
      <c r="L3033"/>
    </row>
    <row r="3034" spans="1:12" x14ac:dyDescent="0.25">
      <c r="A3034"/>
      <c r="B3034"/>
      <c r="D3034"/>
      <c r="G3034"/>
      <c r="L3034"/>
    </row>
    <row r="3035" spans="1:12" x14ac:dyDescent="0.25">
      <c r="A3035"/>
      <c r="B3035"/>
      <c r="D3035"/>
      <c r="G3035"/>
      <c r="L3035"/>
    </row>
    <row r="3036" spans="1:12" x14ac:dyDescent="0.25">
      <c r="A3036"/>
      <c r="B3036"/>
      <c r="D3036"/>
      <c r="G3036"/>
      <c r="L3036"/>
    </row>
    <row r="3037" spans="1:12" x14ac:dyDescent="0.25">
      <c r="A3037"/>
      <c r="B3037"/>
      <c r="D3037"/>
      <c r="G3037"/>
      <c r="L3037"/>
    </row>
    <row r="3038" spans="1:12" x14ac:dyDescent="0.25">
      <c r="A3038"/>
      <c r="B3038"/>
      <c r="D3038"/>
      <c r="G3038"/>
      <c r="L3038"/>
    </row>
    <row r="3039" spans="1:12" x14ac:dyDescent="0.25">
      <c r="A3039"/>
      <c r="B3039"/>
      <c r="D3039"/>
      <c r="G3039"/>
      <c r="L3039"/>
    </row>
    <row r="3040" spans="1:12" x14ac:dyDescent="0.25">
      <c r="A3040"/>
      <c r="B3040"/>
      <c r="D3040"/>
      <c r="G3040"/>
      <c r="L3040"/>
    </row>
    <row r="3041" spans="1:12" x14ac:dyDescent="0.25">
      <c r="A3041"/>
      <c r="B3041"/>
      <c r="D3041"/>
      <c r="G3041"/>
      <c r="L3041"/>
    </row>
    <row r="3042" spans="1:12" x14ac:dyDescent="0.25">
      <c r="A3042"/>
      <c r="B3042"/>
      <c r="D3042"/>
      <c r="G3042"/>
      <c r="L3042"/>
    </row>
    <row r="3043" spans="1:12" x14ac:dyDescent="0.25">
      <c r="A3043"/>
      <c r="B3043"/>
      <c r="D3043"/>
      <c r="G3043"/>
      <c r="L3043"/>
    </row>
    <row r="3044" spans="1:12" x14ac:dyDescent="0.25">
      <c r="A3044"/>
      <c r="B3044"/>
      <c r="D3044"/>
      <c r="G3044"/>
      <c r="L3044"/>
    </row>
    <row r="3045" spans="1:12" x14ac:dyDescent="0.25">
      <c r="A3045"/>
      <c r="B3045"/>
      <c r="D3045"/>
      <c r="G3045"/>
      <c r="L3045"/>
    </row>
    <row r="3046" spans="1:12" x14ac:dyDescent="0.25">
      <c r="A3046"/>
      <c r="B3046"/>
      <c r="D3046"/>
      <c r="G3046"/>
      <c r="L3046"/>
    </row>
    <row r="3047" spans="1:12" x14ac:dyDescent="0.25">
      <c r="A3047"/>
      <c r="B3047"/>
      <c r="D3047"/>
      <c r="G3047"/>
      <c r="L3047"/>
    </row>
    <row r="3048" spans="1:12" x14ac:dyDescent="0.25">
      <c r="A3048"/>
      <c r="B3048"/>
      <c r="D3048"/>
      <c r="G3048"/>
      <c r="L3048"/>
    </row>
    <row r="3049" spans="1:12" x14ac:dyDescent="0.25">
      <c r="A3049"/>
      <c r="B3049"/>
      <c r="D3049"/>
      <c r="G3049"/>
      <c r="L3049"/>
    </row>
    <row r="3050" spans="1:12" x14ac:dyDescent="0.25">
      <c r="A3050"/>
      <c r="B3050"/>
      <c r="D3050"/>
      <c r="G3050"/>
      <c r="L3050"/>
    </row>
    <row r="3051" spans="1:12" x14ac:dyDescent="0.25">
      <c r="A3051"/>
      <c r="B3051"/>
      <c r="D3051"/>
      <c r="G3051"/>
      <c r="L3051"/>
    </row>
    <row r="3052" spans="1:12" x14ac:dyDescent="0.25">
      <c r="A3052"/>
      <c r="B3052"/>
      <c r="D3052"/>
      <c r="G3052"/>
      <c r="L3052"/>
    </row>
    <row r="3053" spans="1:12" x14ac:dyDescent="0.25">
      <c r="A3053"/>
      <c r="B3053"/>
      <c r="D3053"/>
      <c r="G3053"/>
      <c r="L3053"/>
    </row>
    <row r="3054" spans="1:12" x14ac:dyDescent="0.25">
      <c r="A3054"/>
      <c r="B3054"/>
      <c r="D3054"/>
      <c r="G3054"/>
      <c r="L3054"/>
    </row>
    <row r="3055" spans="1:12" x14ac:dyDescent="0.25">
      <c r="A3055"/>
      <c r="B3055"/>
      <c r="D3055"/>
      <c r="G3055"/>
      <c r="L3055"/>
    </row>
    <row r="3056" spans="1:12" x14ac:dyDescent="0.25">
      <c r="A3056"/>
      <c r="B3056"/>
      <c r="D3056"/>
      <c r="G3056"/>
      <c r="L3056"/>
    </row>
    <row r="3057" spans="1:12" x14ac:dyDescent="0.25">
      <c r="A3057"/>
      <c r="B3057"/>
      <c r="D3057"/>
      <c r="G3057"/>
      <c r="L3057"/>
    </row>
    <row r="3058" spans="1:12" x14ac:dyDescent="0.25">
      <c r="A3058"/>
      <c r="B3058"/>
      <c r="D3058"/>
      <c r="G3058"/>
      <c r="L3058"/>
    </row>
    <row r="3059" spans="1:12" x14ac:dyDescent="0.25">
      <c r="A3059"/>
      <c r="B3059"/>
      <c r="D3059"/>
      <c r="G3059"/>
      <c r="L3059"/>
    </row>
    <row r="3060" spans="1:12" x14ac:dyDescent="0.25">
      <c r="A3060"/>
      <c r="B3060"/>
      <c r="D3060"/>
      <c r="G3060"/>
      <c r="L3060"/>
    </row>
    <row r="3061" spans="1:12" x14ac:dyDescent="0.25">
      <c r="A3061"/>
      <c r="B3061"/>
      <c r="D3061"/>
      <c r="G3061"/>
      <c r="L3061"/>
    </row>
    <row r="3062" spans="1:12" x14ac:dyDescent="0.25">
      <c r="A3062"/>
      <c r="B3062"/>
      <c r="D3062"/>
      <c r="G3062"/>
      <c r="L3062"/>
    </row>
    <row r="3063" spans="1:12" x14ac:dyDescent="0.25">
      <c r="A3063"/>
      <c r="B3063"/>
      <c r="D3063"/>
      <c r="G3063"/>
      <c r="L3063"/>
    </row>
    <row r="3064" spans="1:12" x14ac:dyDescent="0.25">
      <c r="A3064"/>
      <c r="B3064"/>
      <c r="D3064"/>
      <c r="G3064"/>
      <c r="L3064"/>
    </row>
    <row r="3065" spans="1:12" x14ac:dyDescent="0.25">
      <c r="A3065"/>
      <c r="B3065"/>
      <c r="D3065"/>
      <c r="G3065"/>
      <c r="L3065"/>
    </row>
    <row r="3066" spans="1:12" x14ac:dyDescent="0.25">
      <c r="A3066"/>
      <c r="B3066"/>
      <c r="D3066"/>
      <c r="G3066"/>
      <c r="L3066"/>
    </row>
    <row r="3067" spans="1:12" x14ac:dyDescent="0.25">
      <c r="A3067"/>
      <c r="B3067"/>
      <c r="D3067"/>
      <c r="G3067"/>
      <c r="L3067"/>
    </row>
    <row r="3068" spans="1:12" x14ac:dyDescent="0.25">
      <c r="A3068"/>
      <c r="B3068"/>
      <c r="D3068"/>
      <c r="G3068"/>
      <c r="L3068"/>
    </row>
    <row r="3069" spans="1:12" x14ac:dyDescent="0.25">
      <c r="A3069"/>
      <c r="B3069"/>
      <c r="D3069"/>
      <c r="G3069"/>
      <c r="L3069"/>
    </row>
    <row r="3070" spans="1:12" x14ac:dyDescent="0.25">
      <c r="A3070"/>
      <c r="B3070"/>
      <c r="D3070"/>
      <c r="G3070"/>
      <c r="L3070"/>
    </row>
    <row r="3071" spans="1:12" x14ac:dyDescent="0.25">
      <c r="A3071"/>
      <c r="B3071"/>
      <c r="D3071"/>
      <c r="G3071"/>
      <c r="L3071"/>
    </row>
    <row r="3072" spans="1:12" x14ac:dyDescent="0.25">
      <c r="A3072"/>
      <c r="B3072"/>
      <c r="D3072"/>
      <c r="G3072"/>
      <c r="L3072"/>
    </row>
    <row r="3073" spans="1:12" x14ac:dyDescent="0.25">
      <c r="A3073"/>
      <c r="B3073"/>
      <c r="D3073"/>
      <c r="G3073"/>
      <c r="L3073"/>
    </row>
    <row r="3074" spans="1:12" x14ac:dyDescent="0.25">
      <c r="A3074"/>
      <c r="B3074"/>
      <c r="D3074"/>
      <c r="G3074"/>
      <c r="L3074"/>
    </row>
    <row r="3075" spans="1:12" x14ac:dyDescent="0.25">
      <c r="A3075"/>
      <c r="B3075"/>
      <c r="D3075"/>
      <c r="G3075"/>
      <c r="L3075"/>
    </row>
    <row r="3076" spans="1:12" x14ac:dyDescent="0.25">
      <c r="A3076"/>
      <c r="B3076"/>
      <c r="D3076"/>
      <c r="G3076"/>
      <c r="L3076"/>
    </row>
    <row r="3077" spans="1:12" x14ac:dyDescent="0.25">
      <c r="A3077"/>
      <c r="B3077"/>
      <c r="D3077"/>
      <c r="G3077"/>
      <c r="L3077"/>
    </row>
    <row r="3078" spans="1:12" x14ac:dyDescent="0.25">
      <c r="A3078"/>
      <c r="B3078"/>
      <c r="D3078"/>
      <c r="G3078"/>
      <c r="L3078"/>
    </row>
    <row r="3079" spans="1:12" x14ac:dyDescent="0.25">
      <c r="A3079"/>
      <c r="B3079"/>
      <c r="D3079"/>
      <c r="G3079"/>
      <c r="L3079"/>
    </row>
    <row r="3080" spans="1:12" x14ac:dyDescent="0.25">
      <c r="A3080"/>
      <c r="B3080"/>
      <c r="D3080"/>
      <c r="G3080"/>
      <c r="L3080"/>
    </row>
    <row r="3081" spans="1:12" x14ac:dyDescent="0.25">
      <c r="A3081"/>
      <c r="B3081"/>
      <c r="D3081"/>
      <c r="G3081"/>
      <c r="L3081"/>
    </row>
    <row r="3082" spans="1:12" x14ac:dyDescent="0.25">
      <c r="A3082"/>
      <c r="B3082"/>
      <c r="D3082"/>
      <c r="G3082"/>
      <c r="L3082"/>
    </row>
    <row r="3083" spans="1:12" x14ac:dyDescent="0.25">
      <c r="A3083"/>
      <c r="B3083"/>
      <c r="D3083"/>
      <c r="G3083"/>
      <c r="L3083"/>
    </row>
    <row r="3084" spans="1:12" x14ac:dyDescent="0.25">
      <c r="A3084"/>
      <c r="B3084"/>
      <c r="D3084"/>
      <c r="G3084"/>
      <c r="L3084"/>
    </row>
    <row r="3085" spans="1:12" x14ac:dyDescent="0.25">
      <c r="A3085"/>
      <c r="B3085"/>
      <c r="D3085"/>
      <c r="G3085"/>
      <c r="L3085"/>
    </row>
    <row r="3086" spans="1:12" x14ac:dyDescent="0.25">
      <c r="A3086"/>
      <c r="B3086"/>
      <c r="D3086"/>
      <c r="G3086"/>
      <c r="L3086"/>
    </row>
    <row r="3087" spans="1:12" x14ac:dyDescent="0.25">
      <c r="A3087"/>
      <c r="B3087"/>
      <c r="D3087"/>
      <c r="G3087"/>
      <c r="L3087"/>
    </row>
    <row r="3088" spans="1:12" x14ac:dyDescent="0.25">
      <c r="A3088"/>
      <c r="B3088"/>
      <c r="D3088"/>
      <c r="G3088"/>
      <c r="L3088"/>
    </row>
    <row r="3089" spans="1:12" x14ac:dyDescent="0.25">
      <c r="A3089"/>
      <c r="B3089"/>
      <c r="D3089"/>
      <c r="G3089"/>
      <c r="L3089"/>
    </row>
    <row r="3090" spans="1:12" x14ac:dyDescent="0.25">
      <c r="A3090"/>
      <c r="B3090"/>
      <c r="D3090"/>
      <c r="G3090"/>
      <c r="L3090"/>
    </row>
    <row r="3091" spans="1:12" x14ac:dyDescent="0.25">
      <c r="A3091"/>
      <c r="B3091"/>
      <c r="D3091"/>
      <c r="G3091"/>
      <c r="L3091"/>
    </row>
    <row r="3092" spans="1:12" x14ac:dyDescent="0.25">
      <c r="A3092"/>
      <c r="B3092"/>
      <c r="D3092"/>
      <c r="G3092"/>
      <c r="L3092"/>
    </row>
    <row r="3093" spans="1:12" x14ac:dyDescent="0.25">
      <c r="A3093"/>
      <c r="B3093"/>
      <c r="D3093"/>
      <c r="G3093"/>
      <c r="L3093"/>
    </row>
    <row r="3094" spans="1:12" x14ac:dyDescent="0.25">
      <c r="A3094"/>
      <c r="B3094"/>
      <c r="D3094"/>
      <c r="G3094"/>
      <c r="L3094"/>
    </row>
    <row r="3095" spans="1:12" x14ac:dyDescent="0.25">
      <c r="A3095"/>
      <c r="B3095"/>
      <c r="D3095"/>
      <c r="G3095"/>
      <c r="L3095"/>
    </row>
    <row r="3096" spans="1:12" x14ac:dyDescent="0.25">
      <c r="A3096"/>
      <c r="B3096"/>
      <c r="D3096"/>
      <c r="G3096"/>
      <c r="L3096"/>
    </row>
    <row r="3097" spans="1:12" x14ac:dyDescent="0.25">
      <c r="A3097"/>
      <c r="B3097"/>
      <c r="D3097"/>
      <c r="G3097"/>
      <c r="L3097"/>
    </row>
    <row r="3098" spans="1:12" x14ac:dyDescent="0.25">
      <c r="A3098"/>
      <c r="B3098"/>
      <c r="D3098"/>
      <c r="G3098"/>
      <c r="L3098"/>
    </row>
    <row r="3099" spans="1:12" x14ac:dyDescent="0.25">
      <c r="A3099"/>
      <c r="B3099"/>
      <c r="D3099"/>
      <c r="G3099"/>
      <c r="L3099"/>
    </row>
    <row r="3100" spans="1:12" x14ac:dyDescent="0.25">
      <c r="A3100"/>
      <c r="B3100"/>
      <c r="D3100"/>
      <c r="G3100"/>
      <c r="L3100"/>
    </row>
    <row r="3101" spans="1:12" x14ac:dyDescent="0.25">
      <c r="A3101"/>
      <c r="B3101"/>
      <c r="D3101"/>
      <c r="G3101"/>
      <c r="L3101"/>
    </row>
    <row r="3102" spans="1:12" x14ac:dyDescent="0.25">
      <c r="A3102"/>
      <c r="B3102"/>
      <c r="D3102"/>
      <c r="G3102"/>
      <c r="L3102"/>
    </row>
    <row r="3103" spans="1:12" x14ac:dyDescent="0.25">
      <c r="A3103"/>
      <c r="B3103"/>
      <c r="D3103"/>
      <c r="G3103"/>
      <c r="L3103"/>
    </row>
    <row r="3104" spans="1:12" x14ac:dyDescent="0.25">
      <c r="A3104"/>
      <c r="B3104"/>
      <c r="D3104"/>
      <c r="G3104"/>
      <c r="L3104"/>
    </row>
    <row r="3105" spans="1:12" x14ac:dyDescent="0.25">
      <c r="A3105"/>
      <c r="B3105"/>
      <c r="D3105"/>
      <c r="G3105"/>
      <c r="L3105"/>
    </row>
    <row r="3106" spans="1:12" x14ac:dyDescent="0.25">
      <c r="A3106"/>
      <c r="B3106"/>
      <c r="D3106"/>
      <c r="G3106"/>
      <c r="L3106"/>
    </row>
    <row r="3107" spans="1:12" x14ac:dyDescent="0.25">
      <c r="A3107"/>
      <c r="B3107"/>
      <c r="D3107"/>
      <c r="G3107"/>
      <c r="L3107"/>
    </row>
    <row r="3108" spans="1:12" x14ac:dyDescent="0.25">
      <c r="A3108"/>
      <c r="B3108"/>
      <c r="D3108"/>
      <c r="G3108"/>
      <c r="L3108"/>
    </row>
    <row r="3109" spans="1:12" x14ac:dyDescent="0.25">
      <c r="A3109"/>
      <c r="B3109"/>
      <c r="D3109"/>
      <c r="G3109"/>
      <c r="L3109"/>
    </row>
    <row r="3110" spans="1:12" x14ac:dyDescent="0.25">
      <c r="A3110"/>
      <c r="B3110"/>
      <c r="D3110"/>
      <c r="G3110"/>
      <c r="L3110"/>
    </row>
    <row r="3111" spans="1:12" x14ac:dyDescent="0.25">
      <c r="A3111"/>
      <c r="B3111"/>
      <c r="D3111"/>
      <c r="G3111"/>
      <c r="L3111"/>
    </row>
    <row r="3112" spans="1:12" x14ac:dyDescent="0.25">
      <c r="A3112"/>
      <c r="B3112"/>
      <c r="D3112"/>
      <c r="G3112"/>
      <c r="L3112"/>
    </row>
    <row r="3113" spans="1:12" x14ac:dyDescent="0.25">
      <c r="A3113"/>
      <c r="B3113"/>
      <c r="D3113"/>
      <c r="G3113"/>
      <c r="L3113"/>
    </row>
    <row r="3114" spans="1:12" x14ac:dyDescent="0.25">
      <c r="A3114"/>
      <c r="B3114"/>
      <c r="D3114"/>
      <c r="G3114"/>
      <c r="L3114"/>
    </row>
    <row r="3115" spans="1:12" x14ac:dyDescent="0.25">
      <c r="A3115"/>
      <c r="B3115"/>
      <c r="D3115"/>
      <c r="G3115"/>
      <c r="L3115"/>
    </row>
    <row r="3116" spans="1:12" x14ac:dyDescent="0.25">
      <c r="A3116"/>
      <c r="B3116"/>
      <c r="D3116"/>
      <c r="G3116"/>
      <c r="L3116"/>
    </row>
    <row r="3117" spans="1:12" x14ac:dyDescent="0.25">
      <c r="A3117"/>
      <c r="B3117"/>
      <c r="D3117"/>
      <c r="G3117"/>
      <c r="L3117"/>
    </row>
    <row r="3118" spans="1:12" x14ac:dyDescent="0.25">
      <c r="A3118"/>
      <c r="B3118"/>
      <c r="D3118"/>
      <c r="G3118"/>
      <c r="L3118"/>
    </row>
    <row r="3119" spans="1:12" x14ac:dyDescent="0.25">
      <c r="A3119"/>
      <c r="B3119"/>
      <c r="D3119"/>
      <c r="G3119"/>
      <c r="L3119"/>
    </row>
    <row r="3120" spans="1:12" x14ac:dyDescent="0.25">
      <c r="A3120"/>
      <c r="B3120"/>
      <c r="D3120"/>
      <c r="G3120"/>
      <c r="L3120"/>
    </row>
    <row r="3121" spans="1:12" x14ac:dyDescent="0.25">
      <c r="A3121"/>
      <c r="B3121"/>
      <c r="D3121"/>
      <c r="G3121"/>
      <c r="L3121"/>
    </row>
    <row r="3122" spans="1:12" x14ac:dyDescent="0.25">
      <c r="A3122"/>
      <c r="B3122"/>
      <c r="D3122"/>
      <c r="G3122"/>
      <c r="L3122"/>
    </row>
    <row r="3123" spans="1:12" x14ac:dyDescent="0.25">
      <c r="A3123"/>
      <c r="B3123"/>
      <c r="D3123"/>
      <c r="G3123"/>
      <c r="L3123"/>
    </row>
    <row r="3124" spans="1:12" x14ac:dyDescent="0.25">
      <c r="A3124"/>
      <c r="B3124"/>
      <c r="D3124"/>
      <c r="G3124"/>
      <c r="L3124"/>
    </row>
    <row r="3125" spans="1:12" x14ac:dyDescent="0.25">
      <c r="A3125"/>
      <c r="B3125"/>
      <c r="D3125"/>
      <c r="G3125"/>
      <c r="L3125"/>
    </row>
    <row r="3126" spans="1:12" x14ac:dyDescent="0.25">
      <c r="A3126"/>
      <c r="B3126"/>
      <c r="D3126"/>
      <c r="G3126"/>
      <c r="L3126"/>
    </row>
    <row r="3127" spans="1:12" x14ac:dyDescent="0.25">
      <c r="A3127"/>
      <c r="B3127"/>
      <c r="D3127"/>
      <c r="G3127"/>
      <c r="L3127"/>
    </row>
    <row r="3128" spans="1:12" x14ac:dyDescent="0.25">
      <c r="A3128"/>
      <c r="B3128"/>
      <c r="D3128"/>
      <c r="G3128"/>
      <c r="L3128"/>
    </row>
    <row r="3129" spans="1:12" x14ac:dyDescent="0.25">
      <c r="A3129"/>
      <c r="B3129"/>
      <c r="D3129"/>
      <c r="G3129"/>
      <c r="L3129"/>
    </row>
    <row r="3130" spans="1:12" x14ac:dyDescent="0.25">
      <c r="A3130"/>
      <c r="B3130"/>
      <c r="D3130"/>
      <c r="G3130"/>
      <c r="L3130"/>
    </row>
    <row r="3131" spans="1:12" x14ac:dyDescent="0.25">
      <c r="A3131"/>
      <c r="B3131"/>
      <c r="D3131"/>
      <c r="G3131"/>
      <c r="L3131"/>
    </row>
    <row r="3132" spans="1:12" x14ac:dyDescent="0.25">
      <c r="A3132"/>
      <c r="B3132"/>
      <c r="D3132"/>
      <c r="G3132"/>
      <c r="L3132"/>
    </row>
    <row r="3133" spans="1:12" x14ac:dyDescent="0.25">
      <c r="A3133"/>
      <c r="B3133"/>
      <c r="D3133"/>
      <c r="G3133"/>
      <c r="L3133"/>
    </row>
    <row r="3134" spans="1:12" x14ac:dyDescent="0.25">
      <c r="A3134"/>
      <c r="B3134"/>
      <c r="D3134"/>
      <c r="G3134"/>
      <c r="L3134"/>
    </row>
    <row r="3135" spans="1:12" x14ac:dyDescent="0.25">
      <c r="A3135"/>
      <c r="B3135"/>
      <c r="D3135"/>
      <c r="G3135"/>
      <c r="L3135"/>
    </row>
    <row r="3136" spans="1:12" x14ac:dyDescent="0.25">
      <c r="A3136"/>
      <c r="B3136"/>
      <c r="D3136"/>
      <c r="G3136"/>
      <c r="L3136"/>
    </row>
    <row r="3137" spans="1:12" x14ac:dyDescent="0.25">
      <c r="A3137"/>
      <c r="B3137"/>
      <c r="D3137"/>
      <c r="G3137"/>
      <c r="L3137"/>
    </row>
    <row r="3138" spans="1:12" x14ac:dyDescent="0.25">
      <c r="A3138"/>
      <c r="B3138"/>
      <c r="D3138"/>
      <c r="G3138"/>
      <c r="L3138"/>
    </row>
    <row r="3139" spans="1:12" x14ac:dyDescent="0.25">
      <c r="A3139"/>
      <c r="B3139"/>
      <c r="D3139"/>
      <c r="G3139"/>
      <c r="L3139"/>
    </row>
    <row r="3140" spans="1:12" x14ac:dyDescent="0.25">
      <c r="A3140"/>
      <c r="B3140"/>
      <c r="D3140"/>
      <c r="G3140"/>
      <c r="L3140"/>
    </row>
    <row r="3141" spans="1:12" x14ac:dyDescent="0.25">
      <c r="A3141"/>
      <c r="B3141"/>
      <c r="D3141"/>
      <c r="G3141"/>
      <c r="L3141"/>
    </row>
    <row r="3142" spans="1:12" x14ac:dyDescent="0.25">
      <c r="A3142"/>
      <c r="B3142"/>
      <c r="D3142"/>
      <c r="G3142"/>
      <c r="L3142"/>
    </row>
    <row r="3143" spans="1:12" x14ac:dyDescent="0.25">
      <c r="A3143"/>
      <c r="B3143"/>
      <c r="D3143"/>
      <c r="G3143"/>
      <c r="L3143"/>
    </row>
    <row r="3144" spans="1:12" x14ac:dyDescent="0.25">
      <c r="A3144"/>
      <c r="B3144"/>
      <c r="D3144"/>
      <c r="G3144"/>
      <c r="L3144"/>
    </row>
    <row r="3145" spans="1:12" x14ac:dyDescent="0.25">
      <c r="A3145"/>
      <c r="B3145"/>
      <c r="D3145"/>
      <c r="G3145"/>
      <c r="L3145"/>
    </row>
    <row r="3146" spans="1:12" x14ac:dyDescent="0.25">
      <c r="A3146"/>
      <c r="B3146"/>
      <c r="D3146"/>
      <c r="G3146"/>
      <c r="L3146"/>
    </row>
    <row r="3147" spans="1:12" x14ac:dyDescent="0.25">
      <c r="A3147"/>
      <c r="B3147"/>
      <c r="D3147"/>
      <c r="G3147"/>
      <c r="L3147"/>
    </row>
    <row r="3148" spans="1:12" x14ac:dyDescent="0.25">
      <c r="A3148"/>
      <c r="B3148"/>
      <c r="D3148"/>
      <c r="G3148"/>
      <c r="L3148"/>
    </row>
    <row r="3149" spans="1:12" x14ac:dyDescent="0.25">
      <c r="A3149"/>
      <c r="B3149"/>
      <c r="D3149"/>
      <c r="G3149"/>
      <c r="L3149"/>
    </row>
    <row r="3150" spans="1:12" x14ac:dyDescent="0.25">
      <c r="A3150"/>
      <c r="B3150"/>
      <c r="D3150"/>
      <c r="G3150"/>
      <c r="L3150"/>
    </row>
    <row r="3151" spans="1:12" x14ac:dyDescent="0.25">
      <c r="A3151"/>
      <c r="B3151"/>
      <c r="D3151"/>
      <c r="G3151"/>
      <c r="L3151"/>
    </row>
    <row r="3152" spans="1:12" x14ac:dyDescent="0.25">
      <c r="A3152"/>
      <c r="B3152"/>
      <c r="D3152"/>
      <c r="G3152"/>
      <c r="L3152"/>
    </row>
    <row r="3153" spans="1:12" x14ac:dyDescent="0.25">
      <c r="A3153"/>
      <c r="B3153"/>
      <c r="D3153"/>
      <c r="G3153"/>
      <c r="L3153"/>
    </row>
    <row r="3154" spans="1:12" x14ac:dyDescent="0.25">
      <c r="A3154"/>
      <c r="B3154"/>
      <c r="D3154"/>
      <c r="G3154"/>
      <c r="L3154"/>
    </row>
    <row r="3155" spans="1:12" x14ac:dyDescent="0.25">
      <c r="A3155"/>
      <c r="B3155"/>
      <c r="D3155"/>
      <c r="G3155"/>
      <c r="L3155"/>
    </row>
    <row r="3156" spans="1:12" x14ac:dyDescent="0.25">
      <c r="A3156"/>
      <c r="B3156"/>
      <c r="D3156"/>
      <c r="G3156"/>
      <c r="L3156"/>
    </row>
    <row r="3157" spans="1:12" x14ac:dyDescent="0.25">
      <c r="A3157"/>
      <c r="B3157"/>
      <c r="D3157"/>
      <c r="G3157"/>
      <c r="L3157"/>
    </row>
    <row r="3158" spans="1:12" x14ac:dyDescent="0.25">
      <c r="A3158"/>
      <c r="B3158"/>
      <c r="D3158"/>
      <c r="G3158"/>
      <c r="L3158"/>
    </row>
    <row r="3159" spans="1:12" x14ac:dyDescent="0.25">
      <c r="A3159"/>
      <c r="B3159"/>
      <c r="D3159"/>
      <c r="G3159"/>
      <c r="L3159"/>
    </row>
    <row r="3160" spans="1:12" x14ac:dyDescent="0.25">
      <c r="A3160"/>
      <c r="B3160"/>
      <c r="D3160"/>
      <c r="G3160"/>
      <c r="L3160"/>
    </row>
    <row r="3161" spans="1:12" x14ac:dyDescent="0.25">
      <c r="A3161"/>
      <c r="B3161"/>
      <c r="D3161"/>
      <c r="G3161"/>
      <c r="L3161"/>
    </row>
    <row r="3162" spans="1:12" x14ac:dyDescent="0.25">
      <c r="A3162"/>
      <c r="B3162"/>
      <c r="D3162"/>
      <c r="G3162"/>
      <c r="L3162"/>
    </row>
    <row r="3163" spans="1:12" x14ac:dyDescent="0.25">
      <c r="A3163"/>
      <c r="B3163"/>
      <c r="D3163"/>
      <c r="G3163"/>
      <c r="L3163"/>
    </row>
    <row r="3164" spans="1:12" x14ac:dyDescent="0.25">
      <c r="A3164"/>
      <c r="B3164"/>
      <c r="D3164"/>
      <c r="G3164"/>
      <c r="L3164"/>
    </row>
    <row r="3165" spans="1:12" x14ac:dyDescent="0.25">
      <c r="A3165"/>
      <c r="B3165"/>
      <c r="D3165"/>
      <c r="G3165"/>
      <c r="L3165"/>
    </row>
    <row r="3166" spans="1:12" x14ac:dyDescent="0.25">
      <c r="A3166"/>
      <c r="B3166"/>
      <c r="D3166"/>
      <c r="G3166"/>
      <c r="L3166"/>
    </row>
    <row r="3167" spans="1:12" x14ac:dyDescent="0.25">
      <c r="A3167"/>
      <c r="B3167"/>
      <c r="D3167"/>
      <c r="G3167"/>
      <c r="L3167"/>
    </row>
    <row r="3168" spans="1:12" x14ac:dyDescent="0.25">
      <c r="A3168"/>
      <c r="B3168"/>
      <c r="D3168"/>
      <c r="G3168"/>
      <c r="L3168"/>
    </row>
    <row r="3169" spans="1:12" x14ac:dyDescent="0.25">
      <c r="A3169"/>
      <c r="B3169"/>
      <c r="D3169"/>
      <c r="G3169"/>
      <c r="L3169"/>
    </row>
    <row r="3170" spans="1:12" x14ac:dyDescent="0.25">
      <c r="A3170"/>
      <c r="B3170"/>
      <c r="D3170"/>
      <c r="G3170"/>
      <c r="L3170"/>
    </row>
    <row r="3171" spans="1:12" x14ac:dyDescent="0.25">
      <c r="A3171"/>
      <c r="B3171"/>
      <c r="D3171"/>
      <c r="G3171"/>
      <c r="L3171"/>
    </row>
    <row r="3172" spans="1:12" x14ac:dyDescent="0.25">
      <c r="A3172"/>
      <c r="B3172"/>
      <c r="D3172"/>
      <c r="G3172"/>
      <c r="L3172"/>
    </row>
    <row r="3173" spans="1:12" x14ac:dyDescent="0.25">
      <c r="A3173"/>
      <c r="B3173"/>
      <c r="D3173"/>
      <c r="G3173"/>
      <c r="L3173"/>
    </row>
    <row r="3174" spans="1:12" x14ac:dyDescent="0.25">
      <c r="A3174"/>
      <c r="B3174"/>
      <c r="D3174"/>
      <c r="G3174"/>
      <c r="L3174"/>
    </row>
    <row r="3175" spans="1:12" x14ac:dyDescent="0.25">
      <c r="A3175"/>
      <c r="B3175"/>
      <c r="D3175"/>
      <c r="G3175"/>
      <c r="L3175"/>
    </row>
    <row r="3176" spans="1:12" x14ac:dyDescent="0.25">
      <c r="A3176"/>
      <c r="B3176"/>
      <c r="D3176"/>
      <c r="G3176"/>
      <c r="L3176"/>
    </row>
    <row r="3177" spans="1:12" x14ac:dyDescent="0.25">
      <c r="A3177"/>
      <c r="B3177"/>
      <c r="D3177"/>
      <c r="G3177"/>
      <c r="L3177"/>
    </row>
    <row r="3178" spans="1:12" x14ac:dyDescent="0.25">
      <c r="A3178"/>
      <c r="B3178"/>
      <c r="D3178"/>
      <c r="G3178"/>
      <c r="L3178"/>
    </row>
    <row r="3179" spans="1:12" x14ac:dyDescent="0.25">
      <c r="A3179"/>
      <c r="B3179"/>
      <c r="D3179"/>
      <c r="G3179"/>
      <c r="L3179"/>
    </row>
    <row r="3180" spans="1:12" x14ac:dyDescent="0.25">
      <c r="A3180"/>
      <c r="B3180"/>
      <c r="D3180"/>
      <c r="G3180"/>
      <c r="L3180"/>
    </row>
    <row r="3181" spans="1:12" x14ac:dyDescent="0.25">
      <c r="A3181"/>
      <c r="B3181"/>
      <c r="D3181"/>
      <c r="G3181"/>
      <c r="L3181"/>
    </row>
    <row r="3182" spans="1:12" x14ac:dyDescent="0.25">
      <c r="A3182"/>
      <c r="B3182"/>
      <c r="D3182"/>
      <c r="G3182"/>
      <c r="L3182"/>
    </row>
    <row r="3183" spans="1:12" x14ac:dyDescent="0.25">
      <c r="A3183"/>
      <c r="B3183"/>
      <c r="D3183"/>
      <c r="G3183"/>
      <c r="L3183"/>
    </row>
    <row r="3184" spans="1:12" x14ac:dyDescent="0.25">
      <c r="A3184"/>
      <c r="B3184"/>
      <c r="D3184"/>
      <c r="G3184"/>
      <c r="L3184"/>
    </row>
    <row r="3185" spans="1:12" x14ac:dyDescent="0.25">
      <c r="A3185"/>
      <c r="B3185"/>
      <c r="D3185"/>
      <c r="G3185"/>
      <c r="L3185"/>
    </row>
    <row r="3186" spans="1:12" x14ac:dyDescent="0.25">
      <c r="A3186"/>
      <c r="B3186"/>
      <c r="D3186"/>
      <c r="G3186"/>
      <c r="L3186"/>
    </row>
    <row r="3187" spans="1:12" x14ac:dyDescent="0.25">
      <c r="A3187"/>
      <c r="B3187"/>
      <c r="D3187"/>
      <c r="G3187"/>
      <c r="L3187"/>
    </row>
    <row r="3188" spans="1:12" x14ac:dyDescent="0.25">
      <c r="A3188"/>
      <c r="B3188"/>
      <c r="D3188"/>
      <c r="G3188"/>
      <c r="L3188"/>
    </row>
    <row r="3189" spans="1:12" x14ac:dyDescent="0.25">
      <c r="A3189"/>
      <c r="B3189"/>
      <c r="D3189"/>
      <c r="G3189"/>
      <c r="L3189"/>
    </row>
    <row r="3190" spans="1:12" x14ac:dyDescent="0.25">
      <c r="A3190"/>
      <c r="B3190"/>
      <c r="D3190"/>
      <c r="G3190"/>
      <c r="L3190"/>
    </row>
    <row r="3191" spans="1:12" x14ac:dyDescent="0.25">
      <c r="A3191"/>
      <c r="B3191"/>
      <c r="D3191"/>
      <c r="G3191"/>
      <c r="L3191"/>
    </row>
    <row r="3192" spans="1:12" x14ac:dyDescent="0.25">
      <c r="A3192"/>
      <c r="B3192"/>
      <c r="D3192"/>
      <c r="G3192"/>
      <c r="L3192"/>
    </row>
    <row r="3193" spans="1:12" x14ac:dyDescent="0.25">
      <c r="A3193"/>
      <c r="B3193"/>
      <c r="D3193"/>
      <c r="G3193"/>
      <c r="L3193"/>
    </row>
    <row r="3194" spans="1:12" x14ac:dyDescent="0.25">
      <c r="A3194"/>
      <c r="B3194"/>
      <c r="D3194"/>
      <c r="G3194"/>
      <c r="L3194"/>
    </row>
    <row r="3195" spans="1:12" x14ac:dyDescent="0.25">
      <c r="A3195"/>
      <c r="B3195"/>
      <c r="D3195"/>
      <c r="G3195"/>
      <c r="L3195"/>
    </row>
    <row r="3196" spans="1:12" x14ac:dyDescent="0.25">
      <c r="A3196"/>
      <c r="B3196"/>
      <c r="D3196"/>
      <c r="G3196"/>
      <c r="L3196"/>
    </row>
    <row r="3197" spans="1:12" x14ac:dyDescent="0.25">
      <c r="A3197"/>
      <c r="B3197"/>
      <c r="D3197"/>
      <c r="G3197"/>
      <c r="L3197"/>
    </row>
    <row r="3198" spans="1:12" x14ac:dyDescent="0.25">
      <c r="A3198"/>
      <c r="B3198"/>
      <c r="D3198"/>
      <c r="G3198"/>
      <c r="L3198"/>
    </row>
    <row r="3199" spans="1:12" x14ac:dyDescent="0.25">
      <c r="A3199"/>
      <c r="B3199"/>
      <c r="D3199"/>
      <c r="G3199"/>
      <c r="L3199"/>
    </row>
    <row r="3200" spans="1:12" x14ac:dyDescent="0.25">
      <c r="A3200"/>
      <c r="B3200"/>
      <c r="D3200"/>
      <c r="G3200"/>
      <c r="L3200"/>
    </row>
    <row r="3201" spans="1:12" x14ac:dyDescent="0.25">
      <c r="A3201"/>
      <c r="B3201"/>
      <c r="D3201"/>
      <c r="G3201"/>
      <c r="L3201"/>
    </row>
    <row r="3202" spans="1:12" x14ac:dyDescent="0.25">
      <c r="A3202"/>
      <c r="B3202"/>
      <c r="D3202"/>
      <c r="G3202"/>
      <c r="L3202"/>
    </row>
    <row r="3203" spans="1:12" x14ac:dyDescent="0.25">
      <c r="A3203"/>
      <c r="B3203"/>
      <c r="D3203"/>
      <c r="G3203"/>
      <c r="L3203"/>
    </row>
    <row r="3204" spans="1:12" x14ac:dyDescent="0.25">
      <c r="A3204"/>
      <c r="B3204"/>
      <c r="D3204"/>
      <c r="G3204"/>
      <c r="L3204"/>
    </row>
    <row r="3205" spans="1:12" x14ac:dyDescent="0.25">
      <c r="A3205"/>
      <c r="B3205"/>
      <c r="D3205"/>
      <c r="G3205"/>
      <c r="L3205"/>
    </row>
    <row r="3206" spans="1:12" x14ac:dyDescent="0.25">
      <c r="A3206"/>
      <c r="B3206"/>
      <c r="D3206"/>
      <c r="G3206"/>
      <c r="L3206"/>
    </row>
    <row r="3207" spans="1:12" x14ac:dyDescent="0.25">
      <c r="A3207"/>
      <c r="B3207"/>
      <c r="D3207"/>
      <c r="G3207"/>
      <c r="L3207"/>
    </row>
    <row r="3208" spans="1:12" x14ac:dyDescent="0.25">
      <c r="A3208"/>
      <c r="B3208"/>
      <c r="D3208"/>
      <c r="G3208"/>
      <c r="L3208"/>
    </row>
    <row r="3209" spans="1:12" x14ac:dyDescent="0.25">
      <c r="A3209"/>
      <c r="B3209"/>
      <c r="D3209"/>
      <c r="G3209"/>
      <c r="L3209"/>
    </row>
    <row r="3210" spans="1:12" x14ac:dyDescent="0.25">
      <c r="A3210"/>
      <c r="B3210"/>
      <c r="D3210"/>
      <c r="G3210"/>
      <c r="L3210"/>
    </row>
    <row r="3211" spans="1:12" x14ac:dyDescent="0.25">
      <c r="A3211"/>
      <c r="B3211"/>
      <c r="D3211"/>
      <c r="G3211"/>
      <c r="L3211"/>
    </row>
    <row r="3212" spans="1:12" x14ac:dyDescent="0.25">
      <c r="A3212"/>
      <c r="B3212"/>
      <c r="D3212"/>
      <c r="G3212"/>
      <c r="L3212"/>
    </row>
    <row r="3213" spans="1:12" x14ac:dyDescent="0.25">
      <c r="A3213"/>
      <c r="B3213"/>
      <c r="D3213"/>
      <c r="G3213"/>
      <c r="L3213"/>
    </row>
    <row r="3214" spans="1:12" x14ac:dyDescent="0.25">
      <c r="A3214"/>
      <c r="B3214"/>
      <c r="D3214"/>
      <c r="G3214"/>
      <c r="L3214"/>
    </row>
    <row r="3215" spans="1:12" x14ac:dyDescent="0.25">
      <c r="A3215"/>
      <c r="B3215"/>
      <c r="D3215"/>
      <c r="G3215"/>
      <c r="L3215"/>
    </row>
    <row r="3216" spans="1:12" x14ac:dyDescent="0.25">
      <c r="A3216"/>
      <c r="B3216"/>
      <c r="D3216"/>
      <c r="G3216"/>
      <c r="L3216"/>
    </row>
    <row r="3217" spans="1:12" x14ac:dyDescent="0.25">
      <c r="A3217"/>
      <c r="B3217"/>
      <c r="D3217"/>
      <c r="G3217"/>
      <c r="L3217"/>
    </row>
    <row r="3218" spans="1:12" x14ac:dyDescent="0.25">
      <c r="A3218"/>
      <c r="B3218"/>
      <c r="D3218"/>
      <c r="G3218"/>
      <c r="L3218"/>
    </row>
    <row r="3219" spans="1:12" x14ac:dyDescent="0.25">
      <c r="A3219"/>
      <c r="B3219"/>
      <c r="D3219"/>
      <c r="G3219"/>
      <c r="L3219"/>
    </row>
    <row r="3220" spans="1:12" x14ac:dyDescent="0.25">
      <c r="A3220"/>
      <c r="B3220"/>
      <c r="D3220"/>
      <c r="G3220"/>
      <c r="L3220"/>
    </row>
    <row r="3221" spans="1:12" x14ac:dyDescent="0.25">
      <c r="A3221"/>
      <c r="B3221"/>
      <c r="D3221"/>
      <c r="G3221"/>
      <c r="L3221"/>
    </row>
    <row r="3222" spans="1:12" x14ac:dyDescent="0.25">
      <c r="A3222"/>
      <c r="B3222"/>
      <c r="D3222"/>
      <c r="G3222"/>
      <c r="L3222"/>
    </row>
    <row r="3223" spans="1:12" x14ac:dyDescent="0.25">
      <c r="A3223"/>
      <c r="B3223"/>
      <c r="D3223"/>
      <c r="G3223"/>
      <c r="L3223"/>
    </row>
    <row r="3224" spans="1:12" x14ac:dyDescent="0.25">
      <c r="A3224"/>
      <c r="B3224"/>
      <c r="D3224"/>
      <c r="G3224"/>
      <c r="L3224"/>
    </row>
    <row r="3225" spans="1:12" x14ac:dyDescent="0.25">
      <c r="A3225"/>
      <c r="B3225"/>
      <c r="D3225"/>
      <c r="G3225"/>
      <c r="L3225"/>
    </row>
    <row r="3226" spans="1:12" x14ac:dyDescent="0.25">
      <c r="A3226"/>
      <c r="B3226"/>
      <c r="D3226"/>
      <c r="G3226"/>
      <c r="L3226"/>
    </row>
    <row r="3227" spans="1:12" x14ac:dyDescent="0.25">
      <c r="A3227"/>
      <c r="B3227"/>
      <c r="D3227"/>
      <c r="G3227"/>
      <c r="L3227"/>
    </row>
    <row r="3228" spans="1:12" x14ac:dyDescent="0.25">
      <c r="A3228"/>
      <c r="B3228"/>
      <c r="D3228"/>
      <c r="G3228"/>
      <c r="L3228"/>
    </row>
    <row r="3229" spans="1:12" x14ac:dyDescent="0.25">
      <c r="A3229"/>
      <c r="B3229"/>
      <c r="D3229"/>
      <c r="G3229"/>
      <c r="L3229"/>
    </row>
    <row r="3230" spans="1:12" x14ac:dyDescent="0.25">
      <c r="A3230"/>
      <c r="B3230"/>
      <c r="D3230"/>
      <c r="G3230"/>
      <c r="L3230"/>
    </row>
    <row r="3231" spans="1:12" x14ac:dyDescent="0.25">
      <c r="A3231"/>
      <c r="B3231"/>
      <c r="D3231"/>
      <c r="G3231"/>
      <c r="L3231"/>
    </row>
    <row r="3232" spans="1:12" x14ac:dyDescent="0.25">
      <c r="A3232"/>
      <c r="B3232"/>
      <c r="D3232"/>
      <c r="G3232"/>
      <c r="L3232"/>
    </row>
    <row r="3233" spans="1:12" x14ac:dyDescent="0.25">
      <c r="A3233"/>
      <c r="B3233"/>
      <c r="D3233"/>
      <c r="G3233"/>
      <c r="L3233"/>
    </row>
    <row r="3234" spans="1:12" x14ac:dyDescent="0.25">
      <c r="A3234"/>
      <c r="B3234"/>
      <c r="D3234"/>
      <c r="G3234"/>
      <c r="L3234"/>
    </row>
    <row r="3235" spans="1:12" x14ac:dyDescent="0.25">
      <c r="A3235"/>
      <c r="B3235"/>
      <c r="D3235"/>
      <c r="G3235"/>
      <c r="L3235"/>
    </row>
    <row r="3236" spans="1:12" x14ac:dyDescent="0.25">
      <c r="A3236"/>
      <c r="B3236"/>
      <c r="D3236"/>
      <c r="G3236"/>
      <c r="L3236"/>
    </row>
    <row r="3237" spans="1:12" x14ac:dyDescent="0.25">
      <c r="A3237"/>
      <c r="B3237"/>
      <c r="D3237"/>
      <c r="G3237"/>
      <c r="L3237"/>
    </row>
    <row r="3238" spans="1:12" x14ac:dyDescent="0.25">
      <c r="A3238"/>
      <c r="B3238"/>
      <c r="D3238"/>
      <c r="G3238"/>
      <c r="L3238"/>
    </row>
    <row r="3239" spans="1:12" x14ac:dyDescent="0.25">
      <c r="A3239"/>
      <c r="B3239"/>
      <c r="D3239"/>
      <c r="G3239"/>
      <c r="L3239"/>
    </row>
    <row r="3240" spans="1:12" x14ac:dyDescent="0.25">
      <c r="A3240"/>
      <c r="B3240"/>
      <c r="D3240"/>
      <c r="G3240"/>
      <c r="L3240"/>
    </row>
    <row r="3241" spans="1:12" x14ac:dyDescent="0.25">
      <c r="A3241"/>
      <c r="B3241"/>
      <c r="D3241"/>
      <c r="G3241"/>
      <c r="L3241"/>
    </row>
    <row r="3242" spans="1:12" x14ac:dyDescent="0.25">
      <c r="A3242"/>
      <c r="B3242"/>
      <c r="D3242"/>
      <c r="G3242"/>
      <c r="L3242"/>
    </row>
    <row r="3243" spans="1:12" x14ac:dyDescent="0.25">
      <c r="A3243"/>
      <c r="B3243"/>
      <c r="D3243"/>
      <c r="G3243"/>
      <c r="L3243"/>
    </row>
    <row r="3244" spans="1:12" x14ac:dyDescent="0.25">
      <c r="A3244"/>
      <c r="B3244"/>
      <c r="D3244"/>
      <c r="G3244"/>
      <c r="L3244"/>
    </row>
    <row r="3245" spans="1:12" x14ac:dyDescent="0.25">
      <c r="A3245"/>
      <c r="B3245"/>
      <c r="D3245"/>
      <c r="G3245"/>
      <c r="L3245"/>
    </row>
    <row r="3246" spans="1:12" x14ac:dyDescent="0.25">
      <c r="A3246"/>
      <c r="B3246"/>
      <c r="D3246"/>
      <c r="G3246"/>
      <c r="L3246"/>
    </row>
    <row r="3247" spans="1:12" x14ac:dyDescent="0.25">
      <c r="A3247"/>
      <c r="B3247"/>
      <c r="D3247"/>
      <c r="G3247"/>
      <c r="L3247"/>
    </row>
    <row r="3248" spans="1:12" x14ac:dyDescent="0.25">
      <c r="A3248"/>
      <c r="B3248"/>
      <c r="D3248"/>
      <c r="G3248"/>
      <c r="L3248"/>
    </row>
    <row r="3249" spans="1:12" x14ac:dyDescent="0.25">
      <c r="A3249"/>
      <c r="B3249"/>
      <c r="D3249"/>
      <c r="G3249"/>
      <c r="L3249"/>
    </row>
    <row r="3250" spans="1:12" x14ac:dyDescent="0.25">
      <c r="A3250"/>
      <c r="B3250"/>
      <c r="D3250"/>
      <c r="G3250"/>
      <c r="L3250"/>
    </row>
    <row r="3251" spans="1:12" x14ac:dyDescent="0.25">
      <c r="A3251"/>
      <c r="B3251"/>
      <c r="D3251"/>
      <c r="G3251"/>
      <c r="L3251"/>
    </row>
    <row r="3252" spans="1:12" x14ac:dyDescent="0.25">
      <c r="A3252"/>
      <c r="B3252"/>
      <c r="D3252"/>
      <c r="G3252"/>
      <c r="L3252"/>
    </row>
    <row r="3253" spans="1:12" x14ac:dyDescent="0.25">
      <c r="A3253"/>
      <c r="B3253"/>
      <c r="D3253"/>
      <c r="G3253"/>
      <c r="L3253"/>
    </row>
    <row r="3254" spans="1:12" x14ac:dyDescent="0.25">
      <c r="A3254"/>
      <c r="B3254"/>
      <c r="D3254"/>
      <c r="G3254"/>
      <c r="L3254"/>
    </row>
    <row r="3255" spans="1:12" x14ac:dyDescent="0.25">
      <c r="A3255"/>
      <c r="B3255"/>
      <c r="D3255"/>
      <c r="G3255"/>
      <c r="L3255"/>
    </row>
    <row r="3256" spans="1:12" x14ac:dyDescent="0.25">
      <c r="A3256"/>
      <c r="B3256"/>
      <c r="D3256"/>
      <c r="G3256"/>
      <c r="L3256"/>
    </row>
    <row r="3257" spans="1:12" x14ac:dyDescent="0.25">
      <c r="A3257"/>
      <c r="B3257"/>
      <c r="D3257"/>
      <c r="G3257"/>
      <c r="L3257"/>
    </row>
    <row r="3258" spans="1:12" x14ac:dyDescent="0.25">
      <c r="A3258"/>
      <c r="B3258"/>
      <c r="D3258"/>
      <c r="G3258"/>
      <c r="L3258"/>
    </row>
    <row r="3259" spans="1:12" x14ac:dyDescent="0.25">
      <c r="A3259"/>
      <c r="B3259"/>
      <c r="D3259"/>
      <c r="G3259"/>
      <c r="L3259"/>
    </row>
    <row r="3260" spans="1:12" x14ac:dyDescent="0.25">
      <c r="A3260"/>
      <c r="B3260"/>
      <c r="D3260"/>
      <c r="G3260"/>
      <c r="L3260"/>
    </row>
    <row r="3261" spans="1:12" x14ac:dyDescent="0.25">
      <c r="A3261"/>
      <c r="B3261"/>
      <c r="D3261"/>
      <c r="G3261"/>
      <c r="L3261"/>
    </row>
    <row r="3262" spans="1:12" x14ac:dyDescent="0.25">
      <c r="A3262"/>
      <c r="B3262"/>
      <c r="D3262"/>
      <c r="G3262"/>
      <c r="L3262"/>
    </row>
    <row r="3263" spans="1:12" x14ac:dyDescent="0.25">
      <c r="A3263"/>
      <c r="B3263"/>
      <c r="D3263"/>
      <c r="G3263"/>
      <c r="L3263"/>
    </row>
    <row r="3264" spans="1:12" x14ac:dyDescent="0.25">
      <c r="A3264"/>
      <c r="B3264"/>
      <c r="D3264"/>
      <c r="G3264"/>
      <c r="L3264"/>
    </row>
    <row r="3265" spans="1:12" x14ac:dyDescent="0.25">
      <c r="A3265"/>
      <c r="B3265"/>
      <c r="D3265"/>
      <c r="G3265"/>
      <c r="L3265"/>
    </row>
    <row r="3266" spans="1:12" x14ac:dyDescent="0.25">
      <c r="A3266"/>
      <c r="B3266"/>
      <c r="D3266"/>
      <c r="G3266"/>
      <c r="L3266"/>
    </row>
    <row r="3267" spans="1:12" x14ac:dyDescent="0.25">
      <c r="A3267"/>
      <c r="B3267"/>
      <c r="D3267"/>
      <c r="G3267"/>
      <c r="L3267"/>
    </row>
    <row r="3268" spans="1:12" x14ac:dyDescent="0.25">
      <c r="A3268"/>
      <c r="B3268"/>
      <c r="D3268"/>
      <c r="G3268"/>
      <c r="L3268"/>
    </row>
    <row r="3269" spans="1:12" x14ac:dyDescent="0.25">
      <c r="A3269"/>
      <c r="B3269"/>
      <c r="D3269"/>
      <c r="G3269"/>
      <c r="L3269"/>
    </row>
    <row r="3270" spans="1:12" x14ac:dyDescent="0.25">
      <c r="A3270"/>
      <c r="B3270"/>
      <c r="D3270"/>
      <c r="G3270"/>
      <c r="L3270"/>
    </row>
    <row r="3271" spans="1:12" x14ac:dyDescent="0.25">
      <c r="A3271"/>
      <c r="B3271"/>
      <c r="D3271"/>
      <c r="G3271"/>
      <c r="L3271"/>
    </row>
    <row r="3272" spans="1:12" x14ac:dyDescent="0.25">
      <c r="A3272"/>
      <c r="B3272"/>
      <c r="D3272"/>
      <c r="G3272"/>
      <c r="L3272"/>
    </row>
    <row r="3273" spans="1:12" x14ac:dyDescent="0.25">
      <c r="A3273"/>
      <c r="B3273"/>
      <c r="D3273"/>
      <c r="G3273"/>
      <c r="L3273"/>
    </row>
    <row r="3274" spans="1:12" x14ac:dyDescent="0.25">
      <c r="A3274"/>
      <c r="B3274"/>
      <c r="D3274"/>
      <c r="G3274"/>
      <c r="L3274"/>
    </row>
    <row r="3275" spans="1:12" x14ac:dyDescent="0.25">
      <c r="A3275"/>
      <c r="B3275"/>
      <c r="D3275"/>
      <c r="G3275"/>
      <c r="L3275"/>
    </row>
    <row r="3276" spans="1:12" x14ac:dyDescent="0.25">
      <c r="A3276"/>
      <c r="B3276"/>
      <c r="D3276"/>
      <c r="G3276"/>
      <c r="L3276"/>
    </row>
    <row r="3277" spans="1:12" x14ac:dyDescent="0.25">
      <c r="A3277"/>
      <c r="B3277"/>
      <c r="D3277"/>
      <c r="G3277"/>
      <c r="L3277"/>
    </row>
    <row r="3278" spans="1:12" x14ac:dyDescent="0.25">
      <c r="A3278"/>
      <c r="B3278"/>
      <c r="D3278"/>
      <c r="G3278"/>
      <c r="L3278"/>
    </row>
    <row r="3279" spans="1:12" x14ac:dyDescent="0.25">
      <c r="A3279"/>
      <c r="B3279"/>
      <c r="D3279"/>
      <c r="G3279"/>
      <c r="L3279"/>
    </row>
    <row r="3280" spans="1:12" x14ac:dyDescent="0.25">
      <c r="A3280"/>
      <c r="B3280"/>
      <c r="D3280"/>
      <c r="G3280"/>
      <c r="L3280"/>
    </row>
    <row r="3281" spans="1:12" x14ac:dyDescent="0.25">
      <c r="A3281"/>
      <c r="B3281"/>
      <c r="D3281"/>
      <c r="G3281"/>
      <c r="L3281"/>
    </row>
    <row r="3282" spans="1:12" x14ac:dyDescent="0.25">
      <c r="A3282"/>
      <c r="B3282"/>
      <c r="D3282"/>
      <c r="G3282"/>
      <c r="L3282"/>
    </row>
    <row r="3283" spans="1:12" x14ac:dyDescent="0.25">
      <c r="A3283"/>
      <c r="B3283"/>
      <c r="D3283"/>
      <c r="G3283"/>
      <c r="L3283"/>
    </row>
    <row r="3284" spans="1:12" x14ac:dyDescent="0.25">
      <c r="A3284"/>
      <c r="B3284"/>
      <c r="D3284"/>
      <c r="G3284"/>
      <c r="L3284"/>
    </row>
    <row r="3285" spans="1:12" x14ac:dyDescent="0.25">
      <c r="A3285"/>
      <c r="B3285"/>
      <c r="D3285"/>
      <c r="G3285"/>
      <c r="L3285"/>
    </row>
    <row r="3286" spans="1:12" x14ac:dyDescent="0.25">
      <c r="A3286"/>
      <c r="B3286"/>
      <c r="D3286"/>
      <c r="G3286"/>
      <c r="L3286"/>
    </row>
    <row r="3287" spans="1:12" x14ac:dyDescent="0.25">
      <c r="A3287"/>
      <c r="B3287"/>
      <c r="D3287"/>
      <c r="G3287"/>
      <c r="L3287"/>
    </row>
    <row r="3288" spans="1:12" x14ac:dyDescent="0.25">
      <c r="A3288"/>
      <c r="B3288"/>
      <c r="D3288"/>
      <c r="G3288"/>
      <c r="L3288"/>
    </row>
    <row r="3289" spans="1:12" x14ac:dyDescent="0.25">
      <c r="A3289"/>
      <c r="B3289"/>
      <c r="D3289"/>
      <c r="G3289"/>
      <c r="L3289"/>
    </row>
    <row r="3290" spans="1:12" x14ac:dyDescent="0.25">
      <c r="A3290"/>
      <c r="B3290"/>
      <c r="D3290"/>
      <c r="G3290"/>
      <c r="L3290"/>
    </row>
    <row r="3291" spans="1:12" x14ac:dyDescent="0.25">
      <c r="A3291"/>
      <c r="B3291"/>
      <c r="D3291"/>
      <c r="G3291"/>
      <c r="L3291"/>
    </row>
    <row r="3292" spans="1:12" x14ac:dyDescent="0.25">
      <c r="A3292"/>
      <c r="B3292"/>
      <c r="D3292"/>
      <c r="G3292"/>
      <c r="L3292"/>
    </row>
    <row r="3293" spans="1:12" x14ac:dyDescent="0.25">
      <c r="A3293"/>
      <c r="B3293"/>
      <c r="D3293"/>
      <c r="G3293"/>
      <c r="L3293"/>
    </row>
    <row r="3294" spans="1:12" x14ac:dyDescent="0.25">
      <c r="A3294"/>
      <c r="B3294"/>
      <c r="D3294"/>
      <c r="G3294"/>
      <c r="L3294"/>
    </row>
    <row r="3295" spans="1:12" x14ac:dyDescent="0.25">
      <c r="A3295"/>
      <c r="B3295"/>
      <c r="D3295"/>
      <c r="G3295"/>
      <c r="L3295"/>
    </row>
    <row r="3296" spans="1:12" x14ac:dyDescent="0.25">
      <c r="A3296"/>
      <c r="B3296"/>
      <c r="D3296"/>
      <c r="G3296"/>
      <c r="L3296"/>
    </row>
    <row r="3297" spans="1:12" x14ac:dyDescent="0.25">
      <c r="A3297"/>
      <c r="B3297"/>
      <c r="D3297"/>
      <c r="G3297"/>
      <c r="L3297"/>
    </row>
    <row r="3298" spans="1:12" x14ac:dyDescent="0.25">
      <c r="A3298"/>
      <c r="B3298"/>
      <c r="D3298"/>
      <c r="G3298"/>
      <c r="L3298"/>
    </row>
    <row r="3299" spans="1:12" x14ac:dyDescent="0.25">
      <c r="A3299"/>
      <c r="B3299"/>
      <c r="D3299"/>
      <c r="G3299"/>
      <c r="L3299"/>
    </row>
    <row r="3300" spans="1:12" x14ac:dyDescent="0.25">
      <c r="A3300"/>
      <c r="B3300"/>
      <c r="D3300"/>
      <c r="G3300"/>
      <c r="L3300"/>
    </row>
    <row r="3301" spans="1:12" x14ac:dyDescent="0.25">
      <c r="A3301"/>
      <c r="B3301"/>
      <c r="D3301"/>
      <c r="G3301"/>
      <c r="L3301"/>
    </row>
    <row r="3302" spans="1:12" x14ac:dyDescent="0.25">
      <c r="A3302"/>
      <c r="B3302"/>
      <c r="D3302"/>
      <c r="G3302"/>
      <c r="L3302"/>
    </row>
    <row r="3303" spans="1:12" x14ac:dyDescent="0.25">
      <c r="A3303"/>
      <c r="B3303"/>
      <c r="D3303"/>
      <c r="G3303"/>
      <c r="L3303"/>
    </row>
    <row r="3304" spans="1:12" x14ac:dyDescent="0.25">
      <c r="A3304"/>
      <c r="B3304"/>
      <c r="D3304"/>
      <c r="G3304"/>
      <c r="L3304"/>
    </row>
    <row r="3305" spans="1:12" x14ac:dyDescent="0.25">
      <c r="A3305"/>
      <c r="B3305"/>
      <c r="D3305"/>
      <c r="G3305"/>
      <c r="L3305"/>
    </row>
    <row r="3306" spans="1:12" x14ac:dyDescent="0.25">
      <c r="A3306"/>
      <c r="B3306"/>
      <c r="D3306"/>
      <c r="G3306"/>
      <c r="L3306"/>
    </row>
    <row r="3307" spans="1:12" x14ac:dyDescent="0.25">
      <c r="A3307"/>
      <c r="B3307"/>
      <c r="D3307"/>
      <c r="G3307"/>
      <c r="L3307"/>
    </row>
    <row r="3308" spans="1:12" x14ac:dyDescent="0.25">
      <c r="A3308"/>
      <c r="B3308"/>
      <c r="D3308"/>
      <c r="G3308"/>
      <c r="L3308"/>
    </row>
    <row r="3309" spans="1:12" x14ac:dyDescent="0.25">
      <c r="A3309"/>
      <c r="B3309"/>
      <c r="D3309"/>
      <c r="G3309"/>
      <c r="L3309"/>
    </row>
    <row r="3310" spans="1:12" x14ac:dyDescent="0.25">
      <c r="A3310"/>
      <c r="B3310"/>
      <c r="D3310"/>
      <c r="G3310"/>
      <c r="L3310"/>
    </row>
    <row r="3311" spans="1:12" x14ac:dyDescent="0.25">
      <c r="A3311"/>
      <c r="B3311"/>
      <c r="D3311"/>
      <c r="G3311"/>
      <c r="L3311"/>
    </row>
    <row r="3312" spans="1:12" x14ac:dyDescent="0.25">
      <c r="A3312"/>
      <c r="B3312"/>
      <c r="D3312"/>
      <c r="G3312"/>
      <c r="L3312"/>
    </row>
    <row r="3313" spans="1:12" x14ac:dyDescent="0.25">
      <c r="A3313"/>
      <c r="B3313"/>
      <c r="D3313"/>
      <c r="G3313"/>
      <c r="L3313"/>
    </row>
    <row r="3314" spans="1:12" x14ac:dyDescent="0.25">
      <c r="A3314"/>
      <c r="B3314"/>
      <c r="D3314"/>
      <c r="G3314"/>
      <c r="L3314"/>
    </row>
    <row r="3315" spans="1:12" x14ac:dyDescent="0.25">
      <c r="A3315"/>
      <c r="B3315"/>
      <c r="D3315"/>
      <c r="G3315"/>
      <c r="L3315"/>
    </row>
    <row r="3316" spans="1:12" x14ac:dyDescent="0.25">
      <c r="A3316"/>
      <c r="B3316"/>
      <c r="D3316"/>
      <c r="G3316"/>
      <c r="L3316"/>
    </row>
    <row r="3317" spans="1:12" x14ac:dyDescent="0.25">
      <c r="A3317"/>
      <c r="B3317"/>
      <c r="D3317"/>
      <c r="G3317"/>
      <c r="L3317"/>
    </row>
    <row r="3318" spans="1:12" x14ac:dyDescent="0.25">
      <c r="A3318"/>
      <c r="B3318"/>
      <c r="D3318"/>
      <c r="G3318"/>
      <c r="L3318"/>
    </row>
    <row r="3319" spans="1:12" x14ac:dyDescent="0.25">
      <c r="A3319"/>
      <c r="B3319"/>
      <c r="D3319"/>
      <c r="G3319"/>
      <c r="L3319"/>
    </row>
    <row r="3320" spans="1:12" x14ac:dyDescent="0.25">
      <c r="A3320"/>
      <c r="B3320"/>
      <c r="D3320"/>
      <c r="G3320"/>
      <c r="L3320"/>
    </row>
    <row r="3321" spans="1:12" x14ac:dyDescent="0.25">
      <c r="A3321"/>
      <c r="B3321"/>
      <c r="D3321"/>
      <c r="G3321"/>
      <c r="L3321"/>
    </row>
    <row r="3322" spans="1:12" x14ac:dyDescent="0.25">
      <c r="A3322"/>
      <c r="B3322"/>
      <c r="D3322"/>
      <c r="G3322"/>
      <c r="L3322"/>
    </row>
    <row r="3323" spans="1:12" x14ac:dyDescent="0.25">
      <c r="A3323"/>
      <c r="B3323"/>
      <c r="D3323"/>
      <c r="G3323"/>
      <c r="L3323"/>
    </row>
    <row r="3324" spans="1:12" x14ac:dyDescent="0.25">
      <c r="A3324"/>
      <c r="B3324"/>
      <c r="D3324"/>
      <c r="G3324"/>
      <c r="L3324"/>
    </row>
    <row r="3325" spans="1:12" x14ac:dyDescent="0.25">
      <c r="A3325"/>
      <c r="B3325"/>
      <c r="D3325"/>
      <c r="G3325"/>
      <c r="L3325"/>
    </row>
    <row r="3326" spans="1:12" x14ac:dyDescent="0.25">
      <c r="A3326"/>
      <c r="B3326"/>
      <c r="D3326"/>
      <c r="G3326"/>
      <c r="L3326"/>
    </row>
    <row r="3327" spans="1:12" x14ac:dyDescent="0.25">
      <c r="A3327"/>
      <c r="B3327"/>
      <c r="D3327"/>
      <c r="G3327"/>
      <c r="L3327"/>
    </row>
    <row r="3328" spans="1:12" x14ac:dyDescent="0.25">
      <c r="A3328"/>
      <c r="B3328"/>
      <c r="D3328"/>
      <c r="G3328"/>
      <c r="L3328"/>
    </row>
    <row r="3329" spans="1:12" x14ac:dyDescent="0.25">
      <c r="A3329"/>
      <c r="B3329"/>
      <c r="D3329"/>
      <c r="G3329"/>
      <c r="L3329"/>
    </row>
    <row r="3330" spans="1:12" x14ac:dyDescent="0.25">
      <c r="A3330"/>
      <c r="B3330"/>
      <c r="D3330"/>
      <c r="G3330"/>
      <c r="L3330"/>
    </row>
    <row r="3331" spans="1:12" x14ac:dyDescent="0.25">
      <c r="A3331"/>
      <c r="B3331"/>
      <c r="D3331"/>
      <c r="G3331"/>
      <c r="L3331"/>
    </row>
    <row r="3332" spans="1:12" x14ac:dyDescent="0.25">
      <c r="A3332"/>
      <c r="B3332"/>
      <c r="D3332"/>
      <c r="G3332"/>
      <c r="L3332"/>
    </row>
    <row r="3333" spans="1:12" x14ac:dyDescent="0.25">
      <c r="A3333"/>
      <c r="B3333"/>
      <c r="D3333"/>
      <c r="G3333"/>
      <c r="L3333"/>
    </row>
    <row r="3334" spans="1:12" x14ac:dyDescent="0.25">
      <c r="A3334"/>
      <c r="B3334"/>
      <c r="D3334"/>
      <c r="G3334"/>
      <c r="L3334"/>
    </row>
    <row r="3335" spans="1:12" x14ac:dyDescent="0.25">
      <c r="A3335"/>
      <c r="B3335"/>
      <c r="D3335"/>
      <c r="G3335"/>
      <c r="L3335"/>
    </row>
    <row r="3336" spans="1:12" x14ac:dyDescent="0.25">
      <c r="A3336"/>
      <c r="B3336"/>
      <c r="D3336"/>
      <c r="G3336"/>
      <c r="L3336"/>
    </row>
    <row r="3337" spans="1:12" x14ac:dyDescent="0.25">
      <c r="A3337"/>
      <c r="B3337"/>
      <c r="D3337"/>
      <c r="G3337"/>
      <c r="L3337"/>
    </row>
    <row r="3338" spans="1:12" x14ac:dyDescent="0.25">
      <c r="A3338"/>
      <c r="B3338"/>
      <c r="D3338"/>
      <c r="G3338"/>
      <c r="L3338"/>
    </row>
    <row r="3339" spans="1:12" x14ac:dyDescent="0.25">
      <c r="A3339"/>
      <c r="B3339"/>
      <c r="D3339"/>
      <c r="G3339"/>
      <c r="L3339"/>
    </row>
    <row r="3340" spans="1:12" x14ac:dyDescent="0.25">
      <c r="A3340"/>
      <c r="B3340"/>
      <c r="D3340"/>
      <c r="G3340"/>
      <c r="L3340"/>
    </row>
    <row r="3341" spans="1:12" x14ac:dyDescent="0.25">
      <c r="A3341"/>
      <c r="B3341"/>
      <c r="D3341"/>
      <c r="G3341"/>
      <c r="L3341"/>
    </row>
    <row r="3342" spans="1:12" x14ac:dyDescent="0.25">
      <c r="A3342"/>
      <c r="B3342"/>
      <c r="D3342"/>
      <c r="G3342"/>
      <c r="L3342"/>
    </row>
    <row r="3343" spans="1:12" x14ac:dyDescent="0.25">
      <c r="A3343"/>
      <c r="B3343"/>
      <c r="D3343"/>
      <c r="G3343"/>
      <c r="L3343"/>
    </row>
    <row r="3344" spans="1:12" x14ac:dyDescent="0.25">
      <c r="A3344"/>
      <c r="B3344"/>
      <c r="D3344"/>
      <c r="G3344"/>
      <c r="L3344"/>
    </row>
    <row r="3345" spans="1:12" x14ac:dyDescent="0.25">
      <c r="A3345"/>
      <c r="B3345"/>
      <c r="D3345"/>
      <c r="G3345"/>
      <c r="L3345"/>
    </row>
    <row r="3346" spans="1:12" x14ac:dyDescent="0.25">
      <c r="A3346"/>
      <c r="B3346"/>
      <c r="D3346"/>
      <c r="G3346"/>
      <c r="L3346"/>
    </row>
    <row r="3347" spans="1:12" x14ac:dyDescent="0.25">
      <c r="A3347"/>
      <c r="B3347"/>
      <c r="D3347"/>
      <c r="G3347"/>
      <c r="L3347"/>
    </row>
    <row r="3348" spans="1:12" x14ac:dyDescent="0.25">
      <c r="A3348"/>
      <c r="B3348"/>
      <c r="D3348"/>
      <c r="G3348"/>
      <c r="L3348"/>
    </row>
    <row r="3349" spans="1:12" x14ac:dyDescent="0.25">
      <c r="A3349"/>
      <c r="B3349"/>
      <c r="D3349"/>
      <c r="G3349"/>
      <c r="L3349"/>
    </row>
    <row r="3350" spans="1:12" x14ac:dyDescent="0.25">
      <c r="A3350"/>
      <c r="B3350"/>
      <c r="D3350"/>
      <c r="G3350"/>
      <c r="L3350"/>
    </row>
    <row r="3351" spans="1:12" x14ac:dyDescent="0.25">
      <c r="A3351"/>
      <c r="B3351"/>
      <c r="D3351"/>
      <c r="G3351"/>
      <c r="L3351"/>
    </row>
    <row r="3352" spans="1:12" x14ac:dyDescent="0.25">
      <c r="A3352"/>
      <c r="B3352"/>
      <c r="D3352"/>
      <c r="G3352"/>
      <c r="L3352"/>
    </row>
    <row r="3353" spans="1:12" x14ac:dyDescent="0.25">
      <c r="A3353"/>
      <c r="B3353"/>
      <c r="D3353"/>
      <c r="G3353"/>
      <c r="L3353"/>
    </row>
    <row r="3354" spans="1:12" x14ac:dyDescent="0.25">
      <c r="A3354"/>
      <c r="B3354"/>
      <c r="D3354"/>
      <c r="G3354"/>
      <c r="L3354"/>
    </row>
    <row r="3355" spans="1:12" x14ac:dyDescent="0.25">
      <c r="A3355"/>
      <c r="B3355"/>
      <c r="D3355"/>
      <c r="G3355"/>
      <c r="L3355"/>
    </row>
    <row r="3356" spans="1:12" x14ac:dyDescent="0.25">
      <c r="A3356"/>
      <c r="B3356"/>
      <c r="D3356"/>
      <c r="G3356"/>
      <c r="L3356"/>
    </row>
    <row r="3357" spans="1:12" x14ac:dyDescent="0.25">
      <c r="A3357"/>
      <c r="B3357"/>
      <c r="D3357"/>
      <c r="G3357"/>
      <c r="L3357"/>
    </row>
    <row r="3358" spans="1:12" x14ac:dyDescent="0.25">
      <c r="A3358"/>
      <c r="B3358"/>
      <c r="D3358"/>
      <c r="G3358"/>
      <c r="L3358"/>
    </row>
    <row r="3359" spans="1:12" x14ac:dyDescent="0.25">
      <c r="A3359"/>
      <c r="B3359"/>
      <c r="D3359"/>
      <c r="G3359"/>
      <c r="L3359"/>
    </row>
    <row r="3360" spans="1:12" x14ac:dyDescent="0.25">
      <c r="A3360"/>
      <c r="B3360"/>
      <c r="D3360"/>
      <c r="G3360"/>
      <c r="L3360"/>
    </row>
    <row r="3361" spans="1:12" x14ac:dyDescent="0.25">
      <c r="A3361"/>
      <c r="B3361"/>
      <c r="D3361"/>
      <c r="G3361"/>
      <c r="L3361"/>
    </row>
    <row r="3362" spans="1:12" x14ac:dyDescent="0.25">
      <c r="A3362"/>
      <c r="B3362"/>
      <c r="D3362"/>
      <c r="G3362"/>
      <c r="L3362"/>
    </row>
    <row r="3363" spans="1:12" x14ac:dyDescent="0.25">
      <c r="A3363"/>
      <c r="B3363"/>
      <c r="D3363"/>
      <c r="G3363"/>
      <c r="L3363"/>
    </row>
    <row r="3364" spans="1:12" x14ac:dyDescent="0.25">
      <c r="A3364"/>
      <c r="B3364"/>
      <c r="D3364"/>
      <c r="G3364"/>
      <c r="L3364"/>
    </row>
    <row r="3365" spans="1:12" x14ac:dyDescent="0.25">
      <c r="A3365"/>
      <c r="B3365"/>
      <c r="D3365"/>
      <c r="G3365"/>
      <c r="L3365"/>
    </row>
    <row r="3366" spans="1:12" x14ac:dyDescent="0.25">
      <c r="A3366"/>
      <c r="B3366"/>
      <c r="D3366"/>
      <c r="G3366"/>
      <c r="L3366"/>
    </row>
    <row r="3367" spans="1:12" x14ac:dyDescent="0.25">
      <c r="A3367"/>
      <c r="B3367"/>
      <c r="D3367"/>
      <c r="G3367"/>
      <c r="L3367"/>
    </row>
    <row r="3368" spans="1:12" x14ac:dyDescent="0.25">
      <c r="A3368"/>
      <c r="B3368"/>
      <c r="D3368"/>
      <c r="G3368"/>
      <c r="L3368"/>
    </row>
    <row r="3369" spans="1:12" x14ac:dyDescent="0.25">
      <c r="A3369"/>
      <c r="B3369"/>
      <c r="D3369"/>
      <c r="G3369"/>
      <c r="L3369"/>
    </row>
    <row r="3370" spans="1:12" x14ac:dyDescent="0.25">
      <c r="A3370"/>
      <c r="B3370"/>
      <c r="D3370"/>
      <c r="G3370"/>
      <c r="L3370"/>
    </row>
    <row r="3371" spans="1:12" x14ac:dyDescent="0.25">
      <c r="A3371"/>
      <c r="B3371"/>
      <c r="D3371"/>
      <c r="G3371"/>
      <c r="L3371"/>
    </row>
    <row r="3372" spans="1:12" x14ac:dyDescent="0.25">
      <c r="A3372"/>
      <c r="B3372"/>
      <c r="D3372"/>
      <c r="G3372"/>
      <c r="L3372"/>
    </row>
    <row r="3373" spans="1:12" x14ac:dyDescent="0.25">
      <c r="A3373"/>
      <c r="B3373"/>
      <c r="D3373"/>
      <c r="G3373"/>
      <c r="L3373"/>
    </row>
    <row r="3374" spans="1:12" x14ac:dyDescent="0.25">
      <c r="A3374"/>
      <c r="B3374"/>
      <c r="D3374"/>
      <c r="G3374"/>
      <c r="L3374"/>
    </row>
    <row r="3375" spans="1:12" x14ac:dyDescent="0.25">
      <c r="A3375"/>
      <c r="B3375"/>
      <c r="D3375"/>
      <c r="G3375"/>
      <c r="L3375"/>
    </row>
    <row r="3376" spans="1:12" x14ac:dyDescent="0.25">
      <c r="A3376"/>
      <c r="B3376"/>
      <c r="D3376"/>
      <c r="G3376"/>
      <c r="L3376"/>
    </row>
    <row r="3377" spans="1:12" x14ac:dyDescent="0.25">
      <c r="A3377"/>
      <c r="B3377"/>
      <c r="D3377"/>
      <c r="G3377"/>
      <c r="L3377"/>
    </row>
    <row r="3378" spans="1:12" x14ac:dyDescent="0.25">
      <c r="A3378"/>
      <c r="B3378"/>
      <c r="D3378"/>
      <c r="G3378"/>
      <c r="L3378"/>
    </row>
    <row r="3379" spans="1:12" x14ac:dyDescent="0.25">
      <c r="A3379"/>
      <c r="B3379"/>
      <c r="D3379"/>
      <c r="G3379"/>
      <c r="L3379"/>
    </row>
    <row r="3380" spans="1:12" x14ac:dyDescent="0.25">
      <c r="A3380"/>
      <c r="B3380"/>
      <c r="D3380"/>
      <c r="G3380"/>
      <c r="L3380"/>
    </row>
    <row r="3381" spans="1:12" x14ac:dyDescent="0.25">
      <c r="A3381"/>
      <c r="B3381"/>
      <c r="D3381"/>
      <c r="G3381"/>
      <c r="L3381"/>
    </row>
    <row r="3382" spans="1:12" x14ac:dyDescent="0.25">
      <c r="A3382"/>
      <c r="B3382"/>
      <c r="D3382"/>
      <c r="G3382"/>
      <c r="L3382"/>
    </row>
    <row r="3383" spans="1:12" x14ac:dyDescent="0.25">
      <c r="A3383"/>
      <c r="B3383"/>
      <c r="D3383"/>
      <c r="G3383"/>
      <c r="L3383"/>
    </row>
    <row r="3384" spans="1:12" x14ac:dyDescent="0.25">
      <c r="A3384"/>
      <c r="B3384"/>
      <c r="D3384"/>
      <c r="G3384"/>
      <c r="L3384"/>
    </row>
    <row r="3385" spans="1:12" x14ac:dyDescent="0.25">
      <c r="A3385"/>
      <c r="B3385"/>
      <c r="D3385"/>
      <c r="G3385"/>
      <c r="L3385"/>
    </row>
    <row r="3386" spans="1:12" x14ac:dyDescent="0.25">
      <c r="A3386"/>
      <c r="B3386"/>
      <c r="D3386"/>
      <c r="G3386"/>
      <c r="L3386"/>
    </row>
    <row r="3387" spans="1:12" x14ac:dyDescent="0.25">
      <c r="A3387"/>
      <c r="B3387"/>
      <c r="D3387"/>
      <c r="G3387"/>
      <c r="L3387"/>
    </row>
    <row r="3388" spans="1:12" x14ac:dyDescent="0.25">
      <c r="A3388"/>
      <c r="B3388"/>
      <c r="D3388"/>
      <c r="G3388"/>
      <c r="L3388"/>
    </row>
    <row r="3389" spans="1:12" x14ac:dyDescent="0.25">
      <c r="A3389"/>
      <c r="B3389"/>
      <c r="D3389"/>
      <c r="G3389"/>
      <c r="L3389"/>
    </row>
    <row r="3390" spans="1:12" x14ac:dyDescent="0.25">
      <c r="A3390"/>
      <c r="B3390"/>
      <c r="D3390"/>
      <c r="G3390"/>
      <c r="L3390"/>
    </row>
    <row r="3391" spans="1:12" x14ac:dyDescent="0.25">
      <c r="A3391"/>
      <c r="B3391"/>
      <c r="D3391"/>
      <c r="G3391"/>
      <c r="L3391"/>
    </row>
    <row r="3392" spans="1:12" x14ac:dyDescent="0.25">
      <c r="A3392"/>
      <c r="B3392"/>
      <c r="D3392"/>
      <c r="G3392"/>
      <c r="L3392"/>
    </row>
    <row r="3393" spans="1:12" x14ac:dyDescent="0.25">
      <c r="A3393"/>
      <c r="B3393"/>
      <c r="D3393"/>
      <c r="G3393"/>
      <c r="L3393"/>
    </row>
    <row r="3394" spans="1:12" x14ac:dyDescent="0.25">
      <c r="A3394"/>
      <c r="B3394"/>
      <c r="D3394"/>
      <c r="G3394"/>
      <c r="L3394"/>
    </row>
    <row r="3395" spans="1:12" x14ac:dyDescent="0.25">
      <c r="A3395"/>
      <c r="B3395"/>
      <c r="D3395"/>
      <c r="G3395"/>
      <c r="L3395"/>
    </row>
    <row r="3396" spans="1:12" x14ac:dyDescent="0.25">
      <c r="A3396"/>
      <c r="B3396"/>
      <c r="D3396"/>
      <c r="G3396"/>
      <c r="L3396"/>
    </row>
    <row r="3397" spans="1:12" x14ac:dyDescent="0.25">
      <c r="A3397"/>
      <c r="B3397"/>
      <c r="D3397"/>
      <c r="G3397"/>
      <c r="L3397"/>
    </row>
    <row r="3398" spans="1:12" x14ac:dyDescent="0.25">
      <c r="A3398"/>
      <c r="B3398"/>
      <c r="D3398"/>
      <c r="G3398"/>
      <c r="L3398"/>
    </row>
    <row r="3399" spans="1:12" x14ac:dyDescent="0.25">
      <c r="A3399"/>
      <c r="B3399"/>
      <c r="D3399"/>
      <c r="G3399"/>
      <c r="L3399"/>
    </row>
    <row r="3400" spans="1:12" x14ac:dyDescent="0.25">
      <c r="A3400"/>
      <c r="B3400"/>
      <c r="D3400"/>
      <c r="G3400"/>
      <c r="L3400"/>
    </row>
    <row r="3401" spans="1:12" x14ac:dyDescent="0.25">
      <c r="A3401"/>
      <c r="B3401"/>
      <c r="D3401"/>
      <c r="G3401"/>
      <c r="L3401"/>
    </row>
    <row r="3402" spans="1:12" x14ac:dyDescent="0.25">
      <c r="A3402"/>
      <c r="B3402"/>
      <c r="D3402"/>
      <c r="G3402"/>
      <c r="L3402"/>
    </row>
    <row r="3403" spans="1:12" x14ac:dyDescent="0.25">
      <c r="A3403"/>
      <c r="B3403"/>
      <c r="D3403"/>
      <c r="G3403"/>
      <c r="L3403"/>
    </row>
    <row r="3404" spans="1:12" x14ac:dyDescent="0.25">
      <c r="A3404"/>
      <c r="B3404"/>
      <c r="D3404"/>
      <c r="G3404"/>
      <c r="L3404"/>
    </row>
    <row r="3405" spans="1:12" x14ac:dyDescent="0.25">
      <c r="A3405"/>
      <c r="B3405"/>
      <c r="D3405"/>
      <c r="G3405"/>
      <c r="L3405"/>
    </row>
    <row r="3406" spans="1:12" x14ac:dyDescent="0.25">
      <c r="A3406"/>
      <c r="B3406"/>
      <c r="D3406"/>
      <c r="G3406"/>
      <c r="L3406"/>
    </row>
    <row r="3407" spans="1:12" x14ac:dyDescent="0.25">
      <c r="A3407"/>
      <c r="B3407"/>
      <c r="D3407"/>
      <c r="G3407"/>
      <c r="L3407"/>
    </row>
    <row r="3408" spans="1:12" x14ac:dyDescent="0.25">
      <c r="A3408"/>
      <c r="B3408"/>
      <c r="D3408"/>
      <c r="G3408"/>
      <c r="L3408"/>
    </row>
    <row r="3409" spans="1:12" x14ac:dyDescent="0.25">
      <c r="A3409"/>
      <c r="B3409"/>
      <c r="D3409"/>
      <c r="G3409"/>
      <c r="L3409"/>
    </row>
    <row r="3410" spans="1:12" x14ac:dyDescent="0.25">
      <c r="A3410"/>
      <c r="B3410"/>
      <c r="D3410"/>
      <c r="G3410"/>
      <c r="L3410"/>
    </row>
    <row r="3411" spans="1:12" x14ac:dyDescent="0.25">
      <c r="A3411"/>
      <c r="B3411"/>
      <c r="D3411"/>
      <c r="G3411"/>
      <c r="L3411"/>
    </row>
    <row r="3412" spans="1:12" x14ac:dyDescent="0.25">
      <c r="A3412"/>
      <c r="B3412"/>
      <c r="D3412"/>
      <c r="G3412"/>
      <c r="L3412"/>
    </row>
    <row r="3413" spans="1:12" x14ac:dyDescent="0.25">
      <c r="A3413"/>
      <c r="B3413"/>
      <c r="D3413"/>
      <c r="G3413"/>
      <c r="L3413"/>
    </row>
    <row r="3414" spans="1:12" x14ac:dyDescent="0.25">
      <c r="A3414"/>
      <c r="B3414"/>
      <c r="D3414"/>
      <c r="G3414"/>
      <c r="L3414"/>
    </row>
    <row r="3415" spans="1:12" x14ac:dyDescent="0.25">
      <c r="A3415"/>
      <c r="B3415"/>
      <c r="D3415"/>
      <c r="G3415"/>
      <c r="L3415"/>
    </row>
    <row r="3416" spans="1:12" x14ac:dyDescent="0.25">
      <c r="A3416"/>
      <c r="B3416"/>
      <c r="D3416"/>
      <c r="G3416"/>
      <c r="L3416"/>
    </row>
    <row r="3417" spans="1:12" x14ac:dyDescent="0.25">
      <c r="A3417"/>
      <c r="B3417"/>
      <c r="D3417"/>
      <c r="G3417"/>
      <c r="L3417"/>
    </row>
    <row r="3418" spans="1:12" x14ac:dyDescent="0.25">
      <c r="A3418"/>
      <c r="B3418"/>
      <c r="D3418"/>
      <c r="G3418"/>
      <c r="L3418"/>
    </row>
    <row r="3419" spans="1:12" x14ac:dyDescent="0.25">
      <c r="A3419"/>
      <c r="B3419"/>
      <c r="D3419"/>
      <c r="G3419"/>
      <c r="L3419"/>
    </row>
    <row r="3420" spans="1:12" x14ac:dyDescent="0.25">
      <c r="A3420"/>
      <c r="B3420"/>
      <c r="D3420"/>
      <c r="G3420"/>
      <c r="L3420"/>
    </row>
    <row r="3421" spans="1:12" x14ac:dyDescent="0.25">
      <c r="A3421"/>
      <c r="B3421"/>
      <c r="D3421"/>
      <c r="G3421"/>
      <c r="L3421"/>
    </row>
    <row r="3422" spans="1:12" x14ac:dyDescent="0.25">
      <c r="A3422"/>
      <c r="B3422"/>
      <c r="D3422"/>
      <c r="G3422"/>
      <c r="L3422"/>
    </row>
    <row r="3423" spans="1:12" x14ac:dyDescent="0.25">
      <c r="A3423"/>
      <c r="B3423"/>
      <c r="D3423"/>
      <c r="G3423"/>
      <c r="L3423"/>
    </row>
    <row r="3424" spans="1:12" x14ac:dyDescent="0.25">
      <c r="A3424"/>
      <c r="B3424"/>
      <c r="D3424"/>
      <c r="G3424"/>
      <c r="L3424"/>
    </row>
    <row r="3425" spans="1:12" x14ac:dyDescent="0.25">
      <c r="A3425"/>
      <c r="B3425"/>
      <c r="D3425"/>
      <c r="G3425"/>
      <c r="L3425"/>
    </row>
    <row r="3426" spans="1:12" x14ac:dyDescent="0.25">
      <c r="A3426"/>
      <c r="B3426"/>
      <c r="D3426"/>
      <c r="G3426"/>
      <c r="L3426"/>
    </row>
    <row r="3427" spans="1:12" x14ac:dyDescent="0.25">
      <c r="A3427"/>
      <c r="B3427"/>
      <c r="D3427"/>
      <c r="G3427"/>
      <c r="L3427"/>
    </row>
    <row r="3428" spans="1:12" x14ac:dyDescent="0.25">
      <c r="A3428"/>
      <c r="B3428"/>
      <c r="D3428"/>
      <c r="G3428"/>
      <c r="L3428"/>
    </row>
    <row r="3429" spans="1:12" x14ac:dyDescent="0.25">
      <c r="A3429"/>
      <c r="B3429"/>
      <c r="D3429"/>
      <c r="G3429"/>
      <c r="L3429"/>
    </row>
    <row r="3430" spans="1:12" x14ac:dyDescent="0.25">
      <c r="A3430"/>
      <c r="B3430"/>
      <c r="D3430"/>
      <c r="G3430"/>
      <c r="L3430"/>
    </row>
    <row r="3431" spans="1:12" x14ac:dyDescent="0.25">
      <c r="A3431"/>
      <c r="B3431"/>
      <c r="D3431"/>
      <c r="G3431"/>
      <c r="L3431"/>
    </row>
    <row r="3432" spans="1:12" x14ac:dyDescent="0.25">
      <c r="A3432"/>
      <c r="B3432"/>
      <c r="D3432"/>
      <c r="G3432"/>
      <c r="L3432"/>
    </row>
    <row r="3433" spans="1:12" x14ac:dyDescent="0.25">
      <c r="A3433"/>
      <c r="B3433"/>
      <c r="D3433"/>
      <c r="G3433"/>
      <c r="L3433"/>
    </row>
    <row r="3434" spans="1:12" x14ac:dyDescent="0.25">
      <c r="A3434"/>
      <c r="B3434"/>
      <c r="D3434"/>
      <c r="G3434"/>
      <c r="L3434"/>
    </row>
    <row r="3435" spans="1:12" x14ac:dyDescent="0.25">
      <c r="A3435"/>
      <c r="B3435"/>
      <c r="D3435"/>
      <c r="G3435"/>
      <c r="L3435"/>
    </row>
    <row r="3436" spans="1:12" x14ac:dyDescent="0.25">
      <c r="A3436"/>
      <c r="B3436"/>
      <c r="D3436"/>
      <c r="G3436"/>
      <c r="L3436"/>
    </row>
    <row r="3437" spans="1:12" x14ac:dyDescent="0.25">
      <c r="A3437"/>
      <c r="B3437"/>
      <c r="D3437"/>
      <c r="G3437"/>
      <c r="L3437"/>
    </row>
    <row r="3438" spans="1:12" x14ac:dyDescent="0.25">
      <c r="A3438"/>
      <c r="B3438"/>
      <c r="D3438"/>
      <c r="G3438"/>
      <c r="L3438"/>
    </row>
    <row r="3439" spans="1:12" x14ac:dyDescent="0.25">
      <c r="A3439"/>
      <c r="B3439"/>
      <c r="D3439"/>
      <c r="G3439"/>
      <c r="L3439"/>
    </row>
    <row r="3440" spans="1:12" x14ac:dyDescent="0.25">
      <c r="A3440"/>
      <c r="B3440"/>
      <c r="D3440"/>
      <c r="G3440"/>
      <c r="L3440"/>
    </row>
    <row r="3441" spans="1:12" x14ac:dyDescent="0.25">
      <c r="A3441"/>
      <c r="B3441"/>
      <c r="D3441"/>
      <c r="G3441"/>
      <c r="L3441"/>
    </row>
    <row r="3442" spans="1:12" x14ac:dyDescent="0.25">
      <c r="A3442"/>
      <c r="B3442"/>
      <c r="D3442"/>
      <c r="G3442"/>
      <c r="L3442"/>
    </row>
    <row r="3443" spans="1:12" x14ac:dyDescent="0.25">
      <c r="A3443"/>
      <c r="B3443"/>
      <c r="D3443"/>
      <c r="G3443"/>
      <c r="L3443"/>
    </row>
    <row r="3444" spans="1:12" x14ac:dyDescent="0.25">
      <c r="A3444"/>
      <c r="B3444"/>
      <c r="D3444"/>
      <c r="G3444"/>
      <c r="L3444"/>
    </row>
    <row r="3445" spans="1:12" x14ac:dyDescent="0.25">
      <c r="A3445"/>
      <c r="B3445"/>
      <c r="D3445"/>
      <c r="G3445"/>
      <c r="L3445"/>
    </row>
    <row r="3446" spans="1:12" x14ac:dyDescent="0.25">
      <c r="A3446"/>
      <c r="B3446"/>
      <c r="D3446"/>
      <c r="G3446"/>
      <c r="L3446"/>
    </row>
    <row r="3447" spans="1:12" x14ac:dyDescent="0.25">
      <c r="A3447"/>
      <c r="B3447"/>
      <c r="D3447"/>
      <c r="G3447"/>
      <c r="L3447"/>
    </row>
    <row r="3448" spans="1:12" x14ac:dyDescent="0.25">
      <c r="A3448"/>
      <c r="B3448"/>
      <c r="D3448"/>
      <c r="G3448"/>
      <c r="L3448"/>
    </row>
    <row r="3449" spans="1:12" x14ac:dyDescent="0.25">
      <c r="A3449"/>
      <c r="B3449"/>
      <c r="D3449"/>
      <c r="G3449"/>
      <c r="L3449"/>
    </row>
    <row r="3450" spans="1:12" x14ac:dyDescent="0.25">
      <c r="A3450"/>
      <c r="B3450"/>
      <c r="D3450"/>
      <c r="G3450"/>
      <c r="L3450"/>
    </row>
    <row r="3451" spans="1:12" x14ac:dyDescent="0.25">
      <c r="A3451"/>
      <c r="B3451"/>
      <c r="D3451"/>
      <c r="G3451"/>
      <c r="L3451"/>
    </row>
    <row r="3452" spans="1:12" x14ac:dyDescent="0.25">
      <c r="A3452"/>
      <c r="B3452"/>
      <c r="D3452"/>
      <c r="G3452"/>
      <c r="L3452"/>
    </row>
    <row r="3453" spans="1:12" x14ac:dyDescent="0.25">
      <c r="A3453"/>
      <c r="B3453"/>
      <c r="D3453"/>
      <c r="G3453"/>
      <c r="L3453"/>
    </row>
    <row r="3454" spans="1:12" x14ac:dyDescent="0.25">
      <c r="A3454"/>
      <c r="B3454"/>
      <c r="D3454"/>
      <c r="G3454"/>
      <c r="L3454"/>
    </row>
    <row r="3455" spans="1:12" x14ac:dyDescent="0.25">
      <c r="A3455"/>
      <c r="B3455"/>
      <c r="D3455"/>
      <c r="G3455"/>
      <c r="L3455"/>
    </row>
    <row r="3456" spans="1:12" x14ac:dyDescent="0.25">
      <c r="A3456"/>
      <c r="B3456"/>
      <c r="D3456"/>
      <c r="G3456"/>
      <c r="L3456"/>
    </row>
    <row r="3457" spans="1:12" x14ac:dyDescent="0.25">
      <c r="A3457"/>
      <c r="B3457"/>
      <c r="D3457"/>
      <c r="G3457"/>
      <c r="L3457"/>
    </row>
    <row r="3458" spans="1:12" x14ac:dyDescent="0.25">
      <c r="A3458"/>
      <c r="B3458"/>
      <c r="D3458"/>
      <c r="G3458"/>
      <c r="L3458"/>
    </row>
    <row r="3459" spans="1:12" x14ac:dyDescent="0.25">
      <c r="A3459"/>
      <c r="B3459"/>
      <c r="D3459"/>
      <c r="G3459"/>
      <c r="L3459"/>
    </row>
    <row r="3460" spans="1:12" x14ac:dyDescent="0.25">
      <c r="A3460"/>
      <c r="B3460"/>
      <c r="D3460"/>
      <c r="G3460"/>
      <c r="L3460"/>
    </row>
    <row r="3461" spans="1:12" x14ac:dyDescent="0.25">
      <c r="A3461"/>
      <c r="B3461"/>
      <c r="D3461"/>
      <c r="G3461"/>
      <c r="L3461"/>
    </row>
    <row r="3462" spans="1:12" x14ac:dyDescent="0.25">
      <c r="A3462"/>
      <c r="B3462"/>
      <c r="D3462"/>
      <c r="G3462"/>
      <c r="L3462"/>
    </row>
    <row r="3463" spans="1:12" x14ac:dyDescent="0.25">
      <c r="A3463"/>
      <c r="B3463"/>
      <c r="D3463"/>
      <c r="G3463"/>
      <c r="L3463"/>
    </row>
    <row r="3464" spans="1:12" x14ac:dyDescent="0.25">
      <c r="A3464"/>
      <c r="B3464"/>
      <c r="D3464"/>
      <c r="G3464"/>
      <c r="L3464"/>
    </row>
    <row r="3465" spans="1:12" x14ac:dyDescent="0.25">
      <c r="A3465"/>
      <c r="B3465"/>
      <c r="D3465"/>
      <c r="G3465"/>
      <c r="L3465"/>
    </row>
    <row r="3466" spans="1:12" x14ac:dyDescent="0.25">
      <c r="A3466"/>
      <c r="B3466"/>
      <c r="D3466"/>
      <c r="G3466"/>
      <c r="L3466"/>
    </row>
    <row r="3467" spans="1:12" x14ac:dyDescent="0.25">
      <c r="A3467"/>
      <c r="B3467"/>
      <c r="D3467"/>
      <c r="G3467"/>
      <c r="L3467"/>
    </row>
    <row r="3468" spans="1:12" x14ac:dyDescent="0.25">
      <c r="A3468"/>
      <c r="B3468"/>
      <c r="D3468"/>
      <c r="G3468"/>
      <c r="L3468"/>
    </row>
    <row r="3469" spans="1:12" x14ac:dyDescent="0.25">
      <c r="A3469"/>
      <c r="B3469"/>
      <c r="D3469"/>
      <c r="G3469"/>
      <c r="L3469"/>
    </row>
    <row r="3470" spans="1:12" x14ac:dyDescent="0.25">
      <c r="A3470"/>
      <c r="B3470"/>
      <c r="D3470"/>
      <c r="G3470"/>
      <c r="L3470"/>
    </row>
    <row r="3471" spans="1:12" x14ac:dyDescent="0.25">
      <c r="A3471"/>
      <c r="B3471"/>
      <c r="D3471"/>
      <c r="G3471"/>
      <c r="L3471"/>
    </row>
    <row r="3472" spans="1:12" x14ac:dyDescent="0.25">
      <c r="A3472"/>
      <c r="B3472"/>
      <c r="D3472"/>
      <c r="G3472"/>
      <c r="L3472"/>
    </row>
    <row r="3473" spans="1:12" x14ac:dyDescent="0.25">
      <c r="A3473"/>
      <c r="B3473"/>
      <c r="D3473"/>
      <c r="G3473"/>
      <c r="L3473"/>
    </row>
    <row r="3474" spans="1:12" x14ac:dyDescent="0.25">
      <c r="A3474"/>
      <c r="B3474"/>
      <c r="D3474"/>
      <c r="G3474"/>
      <c r="L3474"/>
    </row>
    <row r="3475" spans="1:12" x14ac:dyDescent="0.25">
      <c r="A3475"/>
      <c r="B3475"/>
      <c r="D3475"/>
      <c r="G3475"/>
      <c r="L3475"/>
    </row>
    <row r="3476" spans="1:12" x14ac:dyDescent="0.25">
      <c r="A3476"/>
      <c r="B3476"/>
      <c r="D3476"/>
      <c r="G3476"/>
      <c r="L3476"/>
    </row>
    <row r="3477" spans="1:12" x14ac:dyDescent="0.25">
      <c r="A3477"/>
      <c r="B3477"/>
      <c r="D3477"/>
      <c r="G3477"/>
      <c r="L3477"/>
    </row>
    <row r="3478" spans="1:12" x14ac:dyDescent="0.25">
      <c r="A3478"/>
      <c r="B3478"/>
      <c r="D3478"/>
      <c r="G3478"/>
      <c r="L3478"/>
    </row>
    <row r="3479" spans="1:12" x14ac:dyDescent="0.25">
      <c r="A3479"/>
      <c r="B3479"/>
      <c r="D3479"/>
      <c r="G3479"/>
      <c r="L3479"/>
    </row>
    <row r="3480" spans="1:12" x14ac:dyDescent="0.25">
      <c r="A3480"/>
      <c r="B3480"/>
      <c r="D3480"/>
      <c r="G3480"/>
      <c r="L3480"/>
    </row>
    <row r="3481" spans="1:12" x14ac:dyDescent="0.25">
      <c r="A3481"/>
      <c r="B3481"/>
      <c r="D3481"/>
      <c r="G3481"/>
      <c r="L3481"/>
    </row>
    <row r="3482" spans="1:12" x14ac:dyDescent="0.25">
      <c r="A3482"/>
      <c r="B3482"/>
      <c r="D3482"/>
      <c r="G3482"/>
      <c r="L3482"/>
    </row>
    <row r="3483" spans="1:12" x14ac:dyDescent="0.25">
      <c r="A3483"/>
      <c r="B3483"/>
      <c r="D3483"/>
      <c r="G3483"/>
      <c r="L3483"/>
    </row>
    <row r="3484" spans="1:12" x14ac:dyDescent="0.25">
      <c r="A3484"/>
      <c r="B3484"/>
      <c r="D3484"/>
      <c r="G3484"/>
      <c r="L3484"/>
    </row>
    <row r="3485" spans="1:12" x14ac:dyDescent="0.25">
      <c r="A3485"/>
      <c r="B3485"/>
      <c r="D3485"/>
      <c r="G3485"/>
      <c r="L3485"/>
    </row>
    <row r="3486" spans="1:12" x14ac:dyDescent="0.25">
      <c r="A3486"/>
      <c r="B3486"/>
      <c r="D3486"/>
      <c r="G3486"/>
      <c r="L3486"/>
    </row>
    <row r="3487" spans="1:12" x14ac:dyDescent="0.25">
      <c r="A3487"/>
      <c r="B3487"/>
      <c r="D3487"/>
      <c r="G3487"/>
      <c r="L3487"/>
    </row>
    <row r="3488" spans="1:12" x14ac:dyDescent="0.25">
      <c r="A3488"/>
      <c r="B3488"/>
      <c r="D3488"/>
      <c r="G3488"/>
      <c r="L3488"/>
    </row>
    <row r="3489" spans="1:12" x14ac:dyDescent="0.25">
      <c r="A3489"/>
      <c r="B3489"/>
      <c r="D3489"/>
      <c r="G3489"/>
      <c r="L3489"/>
    </row>
    <row r="3490" spans="1:12" x14ac:dyDescent="0.25">
      <c r="A3490"/>
      <c r="B3490"/>
      <c r="D3490"/>
      <c r="G3490"/>
      <c r="L3490"/>
    </row>
    <row r="3491" spans="1:12" x14ac:dyDescent="0.25">
      <c r="A3491"/>
      <c r="B3491"/>
      <c r="D3491"/>
      <c r="G3491"/>
      <c r="L3491"/>
    </row>
    <row r="3492" spans="1:12" x14ac:dyDescent="0.25">
      <c r="A3492"/>
      <c r="B3492"/>
      <c r="D3492"/>
      <c r="G3492"/>
      <c r="L3492"/>
    </row>
    <row r="3493" spans="1:12" x14ac:dyDescent="0.25">
      <c r="A3493"/>
      <c r="B3493"/>
      <c r="D3493"/>
      <c r="G3493"/>
      <c r="L3493"/>
    </row>
    <row r="3494" spans="1:12" x14ac:dyDescent="0.25">
      <c r="A3494"/>
      <c r="B3494"/>
      <c r="D3494"/>
      <c r="G3494"/>
      <c r="L3494"/>
    </row>
    <row r="3495" spans="1:12" x14ac:dyDescent="0.25">
      <c r="A3495"/>
      <c r="B3495"/>
      <c r="D3495"/>
      <c r="G3495"/>
      <c r="L3495"/>
    </row>
    <row r="3496" spans="1:12" x14ac:dyDescent="0.25">
      <c r="A3496"/>
      <c r="B3496"/>
      <c r="D3496"/>
      <c r="G3496"/>
      <c r="L3496"/>
    </row>
    <row r="3497" spans="1:12" x14ac:dyDescent="0.25">
      <c r="A3497"/>
      <c r="B3497"/>
      <c r="D3497"/>
      <c r="G3497"/>
      <c r="L3497"/>
    </row>
    <row r="3498" spans="1:12" x14ac:dyDescent="0.25">
      <c r="A3498"/>
      <c r="B3498"/>
      <c r="D3498"/>
      <c r="G3498"/>
      <c r="L3498"/>
    </row>
    <row r="3499" spans="1:12" x14ac:dyDescent="0.25">
      <c r="A3499"/>
      <c r="B3499"/>
      <c r="D3499"/>
      <c r="G3499"/>
      <c r="L3499"/>
    </row>
    <row r="3500" spans="1:12" x14ac:dyDescent="0.25">
      <c r="A3500"/>
      <c r="B3500"/>
      <c r="D3500"/>
      <c r="G3500"/>
      <c r="L3500"/>
    </row>
    <row r="3501" spans="1:12" x14ac:dyDescent="0.25">
      <c r="A3501"/>
      <c r="B3501"/>
      <c r="D3501"/>
      <c r="G3501"/>
      <c r="L3501"/>
    </row>
    <row r="3502" spans="1:12" x14ac:dyDescent="0.25">
      <c r="A3502"/>
      <c r="B3502"/>
      <c r="D3502"/>
      <c r="G3502"/>
      <c r="L3502"/>
    </row>
    <row r="3503" spans="1:12" x14ac:dyDescent="0.25">
      <c r="A3503"/>
      <c r="B3503"/>
      <c r="D3503"/>
      <c r="G3503"/>
      <c r="L3503"/>
    </row>
    <row r="3504" spans="1:12" x14ac:dyDescent="0.25">
      <c r="A3504"/>
      <c r="B3504"/>
      <c r="D3504"/>
      <c r="G3504"/>
      <c r="L3504"/>
    </row>
    <row r="3505" spans="1:12" x14ac:dyDescent="0.25">
      <c r="A3505"/>
      <c r="B3505"/>
      <c r="D3505"/>
      <c r="G3505"/>
      <c r="L3505"/>
    </row>
    <row r="3506" spans="1:12" x14ac:dyDescent="0.25">
      <c r="A3506"/>
      <c r="B3506"/>
      <c r="D3506"/>
      <c r="G3506"/>
      <c r="L3506"/>
    </row>
    <row r="3507" spans="1:12" x14ac:dyDescent="0.25">
      <c r="A3507"/>
      <c r="B3507"/>
      <c r="D3507"/>
      <c r="G3507"/>
      <c r="L3507"/>
    </row>
    <row r="3508" spans="1:12" x14ac:dyDescent="0.25">
      <c r="A3508"/>
      <c r="B3508"/>
      <c r="D3508"/>
      <c r="G3508"/>
      <c r="L3508"/>
    </row>
    <row r="3509" spans="1:12" x14ac:dyDescent="0.25">
      <c r="A3509"/>
      <c r="B3509"/>
      <c r="D3509"/>
      <c r="G3509"/>
      <c r="L3509"/>
    </row>
    <row r="3510" spans="1:12" x14ac:dyDescent="0.25">
      <c r="A3510"/>
      <c r="B3510"/>
      <c r="D3510"/>
      <c r="G3510"/>
      <c r="L3510"/>
    </row>
    <row r="3511" spans="1:12" x14ac:dyDescent="0.25">
      <c r="A3511"/>
      <c r="B3511"/>
      <c r="D3511"/>
      <c r="G3511"/>
      <c r="L3511"/>
    </row>
    <row r="3512" spans="1:12" x14ac:dyDescent="0.25">
      <c r="A3512"/>
      <c r="B3512"/>
      <c r="D3512"/>
      <c r="G3512"/>
      <c r="L3512"/>
    </row>
    <row r="3513" spans="1:12" x14ac:dyDescent="0.25">
      <c r="A3513"/>
      <c r="B3513"/>
      <c r="D3513"/>
      <c r="G3513"/>
      <c r="L3513"/>
    </row>
    <row r="3514" spans="1:12" x14ac:dyDescent="0.25">
      <c r="A3514"/>
      <c r="B3514"/>
      <c r="D3514"/>
      <c r="G3514"/>
      <c r="L3514"/>
    </row>
    <row r="3515" spans="1:12" x14ac:dyDescent="0.25">
      <c r="A3515"/>
      <c r="B3515"/>
      <c r="D3515"/>
      <c r="G3515"/>
      <c r="L3515"/>
    </row>
    <row r="3516" spans="1:12" x14ac:dyDescent="0.25">
      <c r="A3516"/>
      <c r="B3516"/>
      <c r="D3516"/>
      <c r="G3516"/>
      <c r="L3516"/>
    </row>
    <row r="3517" spans="1:12" x14ac:dyDescent="0.25">
      <c r="A3517"/>
      <c r="B3517"/>
      <c r="D3517"/>
      <c r="G3517"/>
      <c r="L3517"/>
    </row>
    <row r="3518" spans="1:12" x14ac:dyDescent="0.25">
      <c r="A3518"/>
      <c r="B3518"/>
      <c r="D3518"/>
      <c r="G3518"/>
      <c r="L3518"/>
    </row>
    <row r="3519" spans="1:12" x14ac:dyDescent="0.25">
      <c r="A3519"/>
      <c r="B3519"/>
      <c r="D3519"/>
      <c r="G3519"/>
      <c r="L3519"/>
    </row>
    <row r="3520" spans="1:12" x14ac:dyDescent="0.25">
      <c r="A3520"/>
      <c r="B3520"/>
      <c r="D3520"/>
      <c r="G3520"/>
      <c r="L3520"/>
    </row>
    <row r="3521" spans="1:12" x14ac:dyDescent="0.25">
      <c r="A3521"/>
      <c r="B3521"/>
      <c r="D3521"/>
      <c r="G3521"/>
      <c r="L3521"/>
    </row>
    <row r="3522" spans="1:12" x14ac:dyDescent="0.25">
      <c r="A3522"/>
      <c r="B3522"/>
      <c r="D3522"/>
      <c r="G3522"/>
      <c r="L3522"/>
    </row>
    <row r="3523" spans="1:12" x14ac:dyDescent="0.25">
      <c r="A3523"/>
      <c r="B3523"/>
      <c r="D3523"/>
      <c r="G3523"/>
      <c r="L3523"/>
    </row>
    <row r="3524" spans="1:12" x14ac:dyDescent="0.25">
      <c r="A3524"/>
      <c r="B3524"/>
      <c r="D3524"/>
      <c r="G3524"/>
      <c r="L3524"/>
    </row>
    <row r="3525" spans="1:12" x14ac:dyDescent="0.25">
      <c r="A3525"/>
      <c r="B3525"/>
      <c r="D3525"/>
      <c r="G3525"/>
      <c r="L3525"/>
    </row>
    <row r="3526" spans="1:12" x14ac:dyDescent="0.25">
      <c r="A3526"/>
      <c r="B3526"/>
      <c r="D3526"/>
      <c r="G3526"/>
      <c r="L3526"/>
    </row>
    <row r="3527" spans="1:12" x14ac:dyDescent="0.25">
      <c r="A3527"/>
      <c r="B3527"/>
      <c r="D3527"/>
      <c r="G3527"/>
      <c r="L3527"/>
    </row>
    <row r="3528" spans="1:12" x14ac:dyDescent="0.25">
      <c r="A3528"/>
      <c r="B3528"/>
      <c r="D3528"/>
      <c r="G3528"/>
      <c r="L3528"/>
    </row>
    <row r="3529" spans="1:12" x14ac:dyDescent="0.25">
      <c r="A3529"/>
      <c r="B3529"/>
      <c r="D3529"/>
      <c r="G3529"/>
      <c r="L3529"/>
    </row>
    <row r="3530" spans="1:12" x14ac:dyDescent="0.25">
      <c r="A3530"/>
      <c r="B3530"/>
      <c r="D3530"/>
      <c r="G3530"/>
      <c r="L3530"/>
    </row>
    <row r="3531" spans="1:12" x14ac:dyDescent="0.25">
      <c r="A3531"/>
      <c r="B3531"/>
      <c r="D3531"/>
      <c r="G3531"/>
      <c r="L3531"/>
    </row>
    <row r="3532" spans="1:12" x14ac:dyDescent="0.25">
      <c r="A3532"/>
      <c r="B3532"/>
      <c r="D3532"/>
      <c r="G3532"/>
      <c r="L3532"/>
    </row>
    <row r="3533" spans="1:12" x14ac:dyDescent="0.25">
      <c r="A3533"/>
      <c r="B3533"/>
      <c r="D3533"/>
      <c r="G3533"/>
      <c r="L3533"/>
    </row>
    <row r="3534" spans="1:12" x14ac:dyDescent="0.25">
      <c r="A3534"/>
      <c r="B3534"/>
      <c r="D3534"/>
      <c r="G3534"/>
      <c r="L3534"/>
    </row>
    <row r="3535" spans="1:12" x14ac:dyDescent="0.25">
      <c r="A3535"/>
      <c r="B3535"/>
      <c r="D3535"/>
      <c r="G3535"/>
      <c r="L3535"/>
    </row>
    <row r="3536" spans="1:12" x14ac:dyDescent="0.25">
      <c r="A3536"/>
      <c r="B3536"/>
      <c r="D3536"/>
      <c r="G3536"/>
      <c r="L3536"/>
    </row>
    <row r="3537" spans="1:12" x14ac:dyDescent="0.25">
      <c r="A3537"/>
      <c r="B3537"/>
      <c r="D3537"/>
      <c r="G3537"/>
      <c r="L3537"/>
    </row>
    <row r="3538" spans="1:12" x14ac:dyDescent="0.25">
      <c r="A3538"/>
      <c r="B3538"/>
      <c r="D3538"/>
      <c r="G3538"/>
      <c r="L3538"/>
    </row>
    <row r="3539" spans="1:12" x14ac:dyDescent="0.25">
      <c r="A3539"/>
      <c r="B3539"/>
      <c r="D3539"/>
      <c r="G3539"/>
      <c r="L3539"/>
    </row>
    <row r="3540" spans="1:12" x14ac:dyDescent="0.25">
      <c r="A3540"/>
      <c r="B3540"/>
      <c r="D3540"/>
      <c r="G3540"/>
      <c r="L3540"/>
    </row>
    <row r="3541" spans="1:12" x14ac:dyDescent="0.25">
      <c r="A3541"/>
      <c r="B3541"/>
      <c r="D3541"/>
      <c r="G3541"/>
      <c r="L3541"/>
    </row>
    <row r="3542" spans="1:12" x14ac:dyDescent="0.25">
      <c r="A3542"/>
      <c r="B3542"/>
      <c r="D3542"/>
      <c r="G3542"/>
      <c r="L3542"/>
    </row>
    <row r="3543" spans="1:12" x14ac:dyDescent="0.25">
      <c r="A3543"/>
      <c r="B3543"/>
      <c r="D3543"/>
      <c r="G3543"/>
      <c r="L3543"/>
    </row>
    <row r="3544" spans="1:12" x14ac:dyDescent="0.25">
      <c r="A3544"/>
      <c r="B3544"/>
      <c r="D3544"/>
      <c r="G3544"/>
      <c r="L3544"/>
    </row>
    <row r="3545" spans="1:12" x14ac:dyDescent="0.25">
      <c r="A3545"/>
      <c r="B3545"/>
      <c r="D3545"/>
      <c r="G3545"/>
      <c r="L3545"/>
    </row>
    <row r="3546" spans="1:12" x14ac:dyDescent="0.25">
      <c r="A3546"/>
      <c r="B3546"/>
      <c r="D3546"/>
      <c r="G3546"/>
      <c r="L3546"/>
    </row>
    <row r="3547" spans="1:12" x14ac:dyDescent="0.25">
      <c r="A3547"/>
      <c r="B3547"/>
      <c r="D3547"/>
      <c r="G3547"/>
      <c r="L3547"/>
    </row>
    <row r="3548" spans="1:12" x14ac:dyDescent="0.25">
      <c r="A3548"/>
      <c r="B3548"/>
      <c r="D3548"/>
      <c r="G3548"/>
      <c r="L3548"/>
    </row>
    <row r="3549" spans="1:12" x14ac:dyDescent="0.25">
      <c r="A3549"/>
      <c r="B3549"/>
      <c r="D3549"/>
      <c r="G3549"/>
      <c r="L3549"/>
    </row>
    <row r="3550" spans="1:12" x14ac:dyDescent="0.25">
      <c r="A3550"/>
      <c r="B3550"/>
      <c r="D3550"/>
      <c r="G3550"/>
      <c r="L3550"/>
    </row>
    <row r="3551" spans="1:12" x14ac:dyDescent="0.25">
      <c r="A3551"/>
      <c r="B3551"/>
      <c r="D3551"/>
      <c r="G3551"/>
      <c r="L3551"/>
    </row>
    <row r="3552" spans="1:12" x14ac:dyDescent="0.25">
      <c r="A3552"/>
      <c r="B3552"/>
      <c r="D3552"/>
      <c r="G3552"/>
      <c r="L3552"/>
    </row>
    <row r="3553" spans="1:12" x14ac:dyDescent="0.25">
      <c r="A3553"/>
      <c r="B3553"/>
      <c r="D3553"/>
      <c r="G3553"/>
      <c r="L3553"/>
    </row>
    <row r="3554" spans="1:12" x14ac:dyDescent="0.25">
      <c r="A3554"/>
      <c r="B3554"/>
      <c r="D3554"/>
      <c r="G3554"/>
      <c r="L3554"/>
    </row>
    <row r="3555" spans="1:12" x14ac:dyDescent="0.25">
      <c r="A3555"/>
      <c r="B3555"/>
      <c r="D3555"/>
      <c r="G3555"/>
      <c r="L3555"/>
    </row>
    <row r="3556" spans="1:12" x14ac:dyDescent="0.25">
      <c r="A3556"/>
      <c r="B3556"/>
      <c r="D3556"/>
      <c r="G3556"/>
      <c r="L3556"/>
    </row>
    <row r="3557" spans="1:12" x14ac:dyDescent="0.25">
      <c r="A3557"/>
      <c r="B3557"/>
      <c r="D3557"/>
      <c r="G3557"/>
      <c r="L3557"/>
    </row>
    <row r="3558" spans="1:12" x14ac:dyDescent="0.25">
      <c r="A3558"/>
      <c r="B3558"/>
      <c r="D3558"/>
      <c r="G3558"/>
      <c r="L3558"/>
    </row>
    <row r="3559" spans="1:12" x14ac:dyDescent="0.25">
      <c r="A3559"/>
      <c r="B3559"/>
      <c r="D3559"/>
      <c r="G3559"/>
      <c r="L3559"/>
    </row>
    <row r="3560" spans="1:12" x14ac:dyDescent="0.25">
      <c r="A3560"/>
      <c r="B3560"/>
      <c r="D3560"/>
      <c r="G3560"/>
      <c r="L3560"/>
    </row>
    <row r="3561" spans="1:12" x14ac:dyDescent="0.25">
      <c r="A3561"/>
      <c r="B3561"/>
      <c r="D3561"/>
      <c r="G3561"/>
      <c r="L3561"/>
    </row>
    <row r="3562" spans="1:12" x14ac:dyDescent="0.25">
      <c r="A3562"/>
      <c r="B3562"/>
      <c r="D3562"/>
      <c r="G3562"/>
      <c r="L3562"/>
    </row>
    <row r="3563" spans="1:12" x14ac:dyDescent="0.25">
      <c r="A3563"/>
      <c r="B3563"/>
      <c r="D3563"/>
      <c r="G3563"/>
      <c r="L3563"/>
    </row>
    <row r="3564" spans="1:12" x14ac:dyDescent="0.25">
      <c r="A3564"/>
      <c r="B3564"/>
      <c r="D3564"/>
      <c r="G3564"/>
      <c r="L3564"/>
    </row>
    <row r="3565" spans="1:12" x14ac:dyDescent="0.25">
      <c r="A3565"/>
      <c r="B3565"/>
      <c r="D3565"/>
      <c r="G3565"/>
      <c r="L3565"/>
    </row>
    <row r="3566" spans="1:12" x14ac:dyDescent="0.25">
      <c r="A3566"/>
      <c r="B3566"/>
      <c r="D3566"/>
      <c r="G3566"/>
      <c r="L3566"/>
    </row>
    <row r="3567" spans="1:12" x14ac:dyDescent="0.25">
      <c r="A3567"/>
      <c r="B3567"/>
      <c r="D3567"/>
      <c r="G3567"/>
      <c r="L3567"/>
    </row>
    <row r="3568" spans="1:12" x14ac:dyDescent="0.25">
      <c r="A3568"/>
      <c r="B3568"/>
      <c r="D3568"/>
      <c r="G3568"/>
      <c r="L3568"/>
    </row>
    <row r="3569" spans="1:12" x14ac:dyDescent="0.25">
      <c r="A3569"/>
      <c r="B3569"/>
      <c r="D3569"/>
      <c r="G3569"/>
      <c r="L3569"/>
    </row>
    <row r="3570" spans="1:12" x14ac:dyDescent="0.25">
      <c r="A3570"/>
      <c r="B3570"/>
      <c r="D3570"/>
      <c r="G3570"/>
      <c r="L3570"/>
    </row>
    <row r="3571" spans="1:12" x14ac:dyDescent="0.25">
      <c r="A3571"/>
      <c r="B3571"/>
      <c r="D3571"/>
      <c r="G3571"/>
      <c r="L3571"/>
    </row>
    <row r="3572" spans="1:12" x14ac:dyDescent="0.25">
      <c r="A3572"/>
      <c r="B3572"/>
      <c r="D3572"/>
      <c r="G3572"/>
      <c r="L3572"/>
    </row>
    <row r="3573" spans="1:12" x14ac:dyDescent="0.25">
      <c r="A3573"/>
      <c r="B3573"/>
      <c r="D3573"/>
      <c r="G3573"/>
      <c r="L3573"/>
    </row>
    <row r="3574" spans="1:12" x14ac:dyDescent="0.25">
      <c r="A3574"/>
      <c r="B3574"/>
      <c r="D3574"/>
      <c r="G3574"/>
      <c r="L3574"/>
    </row>
    <row r="3575" spans="1:12" x14ac:dyDescent="0.25">
      <c r="A3575"/>
      <c r="B3575"/>
      <c r="D3575"/>
      <c r="G3575"/>
      <c r="L3575"/>
    </row>
    <row r="3576" spans="1:12" x14ac:dyDescent="0.25">
      <c r="A3576"/>
      <c r="B3576"/>
      <c r="D3576"/>
      <c r="G3576"/>
      <c r="L3576"/>
    </row>
    <row r="3577" spans="1:12" x14ac:dyDescent="0.25">
      <c r="A3577"/>
      <c r="B3577"/>
      <c r="D3577"/>
      <c r="G3577"/>
      <c r="L3577"/>
    </row>
    <row r="3578" spans="1:12" x14ac:dyDescent="0.25">
      <c r="A3578"/>
      <c r="B3578"/>
      <c r="D3578"/>
      <c r="G3578"/>
      <c r="L3578"/>
    </row>
    <row r="3579" spans="1:12" x14ac:dyDescent="0.25">
      <c r="A3579"/>
      <c r="B3579"/>
      <c r="D3579"/>
      <c r="G3579"/>
      <c r="L3579"/>
    </row>
    <row r="3580" spans="1:12" x14ac:dyDescent="0.25">
      <c r="A3580"/>
      <c r="B3580"/>
      <c r="D3580"/>
      <c r="G3580"/>
      <c r="L3580"/>
    </row>
    <row r="3581" spans="1:12" x14ac:dyDescent="0.25">
      <c r="A3581"/>
      <c r="B3581"/>
      <c r="D3581"/>
      <c r="G3581"/>
      <c r="L3581"/>
    </row>
    <row r="3582" spans="1:12" x14ac:dyDescent="0.25">
      <c r="A3582"/>
      <c r="B3582"/>
      <c r="D3582"/>
      <c r="G3582"/>
      <c r="L3582"/>
    </row>
    <row r="3583" spans="1:12" x14ac:dyDescent="0.25">
      <c r="A3583"/>
      <c r="B3583"/>
      <c r="D3583"/>
      <c r="G3583"/>
      <c r="L3583"/>
    </row>
    <row r="3584" spans="1:12" x14ac:dyDescent="0.25">
      <c r="A3584"/>
      <c r="B3584"/>
      <c r="D3584"/>
      <c r="G3584"/>
      <c r="L3584"/>
    </row>
    <row r="3585" spans="1:12" x14ac:dyDescent="0.25">
      <c r="A3585"/>
      <c r="B3585"/>
      <c r="D3585"/>
      <c r="G3585"/>
      <c r="L3585"/>
    </row>
    <row r="3586" spans="1:12" x14ac:dyDescent="0.25">
      <c r="A3586"/>
      <c r="B3586"/>
      <c r="D3586"/>
      <c r="G3586"/>
      <c r="L3586"/>
    </row>
    <row r="3587" spans="1:12" x14ac:dyDescent="0.25">
      <c r="A3587"/>
      <c r="B3587"/>
      <c r="D3587"/>
      <c r="G3587"/>
      <c r="L3587"/>
    </row>
    <row r="3588" spans="1:12" x14ac:dyDescent="0.25">
      <c r="A3588"/>
      <c r="B3588"/>
      <c r="D3588"/>
      <c r="G3588"/>
      <c r="L3588"/>
    </row>
    <row r="3589" spans="1:12" x14ac:dyDescent="0.25">
      <c r="A3589"/>
      <c r="B3589"/>
      <c r="D3589"/>
      <c r="G3589"/>
      <c r="L3589"/>
    </row>
    <row r="3590" spans="1:12" x14ac:dyDescent="0.25">
      <c r="A3590"/>
      <c r="B3590"/>
      <c r="D3590"/>
      <c r="G3590"/>
      <c r="L3590"/>
    </row>
    <row r="3591" spans="1:12" x14ac:dyDescent="0.25">
      <c r="A3591"/>
      <c r="B3591"/>
      <c r="D3591"/>
      <c r="G3591"/>
      <c r="L3591"/>
    </row>
    <row r="3592" spans="1:12" x14ac:dyDescent="0.25">
      <c r="A3592"/>
      <c r="B3592"/>
      <c r="D3592"/>
      <c r="G3592"/>
      <c r="L3592"/>
    </row>
    <row r="3593" spans="1:12" x14ac:dyDescent="0.25">
      <c r="A3593"/>
      <c r="B3593"/>
      <c r="D3593"/>
      <c r="G3593"/>
      <c r="L3593"/>
    </row>
    <row r="3594" spans="1:12" x14ac:dyDescent="0.25">
      <c r="A3594"/>
      <c r="B3594"/>
      <c r="D3594"/>
      <c r="G3594"/>
      <c r="L3594"/>
    </row>
    <row r="3595" spans="1:12" x14ac:dyDescent="0.25">
      <c r="A3595"/>
      <c r="B3595"/>
      <c r="D3595"/>
      <c r="G3595"/>
      <c r="L3595"/>
    </row>
    <row r="3596" spans="1:12" x14ac:dyDescent="0.25">
      <c r="A3596"/>
      <c r="B3596"/>
      <c r="D3596"/>
      <c r="G3596"/>
      <c r="L3596"/>
    </row>
    <row r="3597" spans="1:12" x14ac:dyDescent="0.25">
      <c r="A3597"/>
      <c r="B3597"/>
      <c r="D3597"/>
      <c r="G3597"/>
      <c r="L3597"/>
    </row>
    <row r="3598" spans="1:12" x14ac:dyDescent="0.25">
      <c r="A3598"/>
      <c r="B3598"/>
      <c r="D3598"/>
      <c r="G3598"/>
      <c r="L3598"/>
    </row>
    <row r="3599" spans="1:12" x14ac:dyDescent="0.25">
      <c r="A3599"/>
      <c r="B3599"/>
      <c r="D3599"/>
      <c r="G3599"/>
      <c r="L3599"/>
    </row>
    <row r="3600" spans="1:12" x14ac:dyDescent="0.25">
      <c r="A3600"/>
      <c r="B3600"/>
      <c r="D3600"/>
      <c r="G3600"/>
      <c r="L3600"/>
    </row>
    <row r="3601" spans="1:12" x14ac:dyDescent="0.25">
      <c r="A3601"/>
      <c r="B3601"/>
      <c r="D3601"/>
      <c r="G3601"/>
      <c r="L3601"/>
    </row>
    <row r="3602" spans="1:12" x14ac:dyDescent="0.25">
      <c r="A3602"/>
      <c r="B3602"/>
      <c r="D3602"/>
      <c r="G3602"/>
      <c r="L3602"/>
    </row>
    <row r="3603" spans="1:12" x14ac:dyDescent="0.25">
      <c r="A3603"/>
      <c r="B3603"/>
      <c r="D3603"/>
      <c r="G3603"/>
      <c r="L3603"/>
    </row>
    <row r="3604" spans="1:12" x14ac:dyDescent="0.25">
      <c r="A3604"/>
      <c r="B3604"/>
      <c r="D3604"/>
      <c r="G3604"/>
      <c r="L3604"/>
    </row>
    <row r="3605" spans="1:12" x14ac:dyDescent="0.25">
      <c r="A3605"/>
      <c r="B3605"/>
      <c r="D3605"/>
      <c r="G3605"/>
      <c r="L3605"/>
    </row>
    <row r="3606" spans="1:12" x14ac:dyDescent="0.25">
      <c r="A3606"/>
      <c r="B3606"/>
      <c r="D3606"/>
      <c r="G3606"/>
      <c r="L3606"/>
    </row>
    <row r="3607" spans="1:12" x14ac:dyDescent="0.25">
      <c r="A3607"/>
      <c r="B3607"/>
      <c r="D3607"/>
      <c r="G3607"/>
      <c r="L3607"/>
    </row>
    <row r="3608" spans="1:12" x14ac:dyDescent="0.25">
      <c r="A3608"/>
      <c r="B3608"/>
      <c r="D3608"/>
      <c r="G3608"/>
      <c r="L3608"/>
    </row>
    <row r="3609" spans="1:12" x14ac:dyDescent="0.25">
      <c r="A3609"/>
      <c r="B3609"/>
      <c r="D3609"/>
      <c r="G3609"/>
      <c r="L3609"/>
    </row>
    <row r="3610" spans="1:12" x14ac:dyDescent="0.25">
      <c r="A3610"/>
      <c r="B3610"/>
      <c r="D3610"/>
      <c r="G3610"/>
      <c r="L3610"/>
    </row>
    <row r="3611" spans="1:12" x14ac:dyDescent="0.25">
      <c r="A3611"/>
      <c r="B3611"/>
      <c r="D3611"/>
      <c r="G3611"/>
      <c r="L3611"/>
    </row>
    <row r="3612" spans="1:12" x14ac:dyDescent="0.25">
      <c r="A3612"/>
      <c r="B3612"/>
      <c r="D3612"/>
      <c r="G3612"/>
      <c r="L3612"/>
    </row>
    <row r="3613" spans="1:12" x14ac:dyDescent="0.25">
      <c r="A3613"/>
      <c r="B3613"/>
      <c r="D3613"/>
      <c r="G3613"/>
      <c r="L3613"/>
    </row>
    <row r="3614" spans="1:12" x14ac:dyDescent="0.25">
      <c r="A3614"/>
      <c r="B3614"/>
      <c r="D3614"/>
      <c r="G3614"/>
      <c r="L3614"/>
    </row>
    <row r="3615" spans="1:12" x14ac:dyDescent="0.25">
      <c r="A3615"/>
      <c r="B3615"/>
      <c r="D3615"/>
      <c r="G3615"/>
      <c r="L3615"/>
    </row>
    <row r="3616" spans="1:12" x14ac:dyDescent="0.25">
      <c r="A3616"/>
      <c r="B3616"/>
      <c r="D3616"/>
      <c r="G3616"/>
      <c r="L3616"/>
    </row>
    <row r="3617" spans="1:12" x14ac:dyDescent="0.25">
      <c r="A3617"/>
      <c r="B3617"/>
      <c r="D3617"/>
      <c r="G3617"/>
      <c r="L3617"/>
    </row>
    <row r="3618" spans="1:12" x14ac:dyDescent="0.25">
      <c r="A3618"/>
      <c r="B3618"/>
      <c r="D3618"/>
      <c r="G3618"/>
      <c r="L3618"/>
    </row>
    <row r="3619" spans="1:12" x14ac:dyDescent="0.25">
      <c r="A3619"/>
      <c r="B3619"/>
      <c r="D3619"/>
      <c r="G3619"/>
      <c r="L3619"/>
    </row>
    <row r="3620" spans="1:12" x14ac:dyDescent="0.25">
      <c r="A3620"/>
      <c r="B3620"/>
      <c r="D3620"/>
      <c r="G3620"/>
      <c r="L3620"/>
    </row>
    <row r="3621" spans="1:12" x14ac:dyDescent="0.25">
      <c r="A3621"/>
      <c r="B3621"/>
      <c r="D3621"/>
      <c r="G3621"/>
      <c r="L3621"/>
    </row>
    <row r="3622" spans="1:12" x14ac:dyDescent="0.25">
      <c r="A3622"/>
      <c r="B3622"/>
      <c r="D3622"/>
      <c r="G3622"/>
      <c r="L3622"/>
    </row>
    <row r="3623" spans="1:12" x14ac:dyDescent="0.25">
      <c r="A3623"/>
      <c r="B3623"/>
      <c r="D3623"/>
      <c r="G3623"/>
      <c r="L3623"/>
    </row>
    <row r="3624" spans="1:12" x14ac:dyDescent="0.25">
      <c r="A3624"/>
      <c r="B3624"/>
      <c r="D3624"/>
      <c r="G3624"/>
      <c r="L3624"/>
    </row>
    <row r="3625" spans="1:12" x14ac:dyDescent="0.25">
      <c r="A3625"/>
      <c r="B3625"/>
      <c r="D3625"/>
      <c r="G3625"/>
      <c r="L3625"/>
    </row>
    <row r="3626" spans="1:12" x14ac:dyDescent="0.25">
      <c r="A3626"/>
      <c r="B3626"/>
      <c r="D3626"/>
      <c r="G3626"/>
      <c r="L3626"/>
    </row>
    <row r="3627" spans="1:12" x14ac:dyDescent="0.25">
      <c r="A3627"/>
      <c r="B3627"/>
      <c r="D3627"/>
      <c r="G3627"/>
      <c r="L3627"/>
    </row>
    <row r="3628" spans="1:12" x14ac:dyDescent="0.25">
      <c r="A3628"/>
      <c r="B3628"/>
      <c r="D3628"/>
      <c r="G3628"/>
      <c r="L3628"/>
    </row>
    <row r="3629" spans="1:12" x14ac:dyDescent="0.25">
      <c r="A3629"/>
      <c r="B3629"/>
      <c r="D3629"/>
      <c r="G3629"/>
      <c r="L3629"/>
    </row>
    <row r="3630" spans="1:12" x14ac:dyDescent="0.25">
      <c r="A3630"/>
      <c r="B3630"/>
      <c r="D3630"/>
      <c r="G3630"/>
      <c r="L3630"/>
    </row>
    <row r="3631" spans="1:12" x14ac:dyDescent="0.25">
      <c r="A3631"/>
      <c r="B3631"/>
      <c r="D3631"/>
      <c r="G3631"/>
      <c r="L3631"/>
    </row>
    <row r="3632" spans="1:12" x14ac:dyDescent="0.25">
      <c r="A3632"/>
      <c r="B3632"/>
      <c r="D3632"/>
      <c r="G3632"/>
      <c r="L3632"/>
    </row>
    <row r="3633" spans="1:12" x14ac:dyDescent="0.25">
      <c r="A3633"/>
      <c r="B3633"/>
      <c r="D3633"/>
      <c r="G3633"/>
      <c r="L3633"/>
    </row>
    <row r="3634" spans="1:12" x14ac:dyDescent="0.25">
      <c r="A3634"/>
      <c r="B3634"/>
      <c r="D3634"/>
      <c r="G3634"/>
      <c r="L3634"/>
    </row>
    <row r="3635" spans="1:12" x14ac:dyDescent="0.25">
      <c r="A3635"/>
      <c r="B3635"/>
      <c r="D3635"/>
      <c r="G3635"/>
      <c r="L3635"/>
    </row>
    <row r="3636" spans="1:12" x14ac:dyDescent="0.25">
      <c r="A3636"/>
      <c r="B3636"/>
      <c r="D3636"/>
      <c r="G3636"/>
      <c r="L3636"/>
    </row>
    <row r="3637" spans="1:12" x14ac:dyDescent="0.25">
      <c r="A3637"/>
      <c r="B3637"/>
      <c r="D3637"/>
      <c r="G3637"/>
      <c r="L3637"/>
    </row>
    <row r="3638" spans="1:12" x14ac:dyDescent="0.25">
      <c r="A3638"/>
      <c r="B3638"/>
      <c r="D3638"/>
      <c r="G3638"/>
      <c r="L3638"/>
    </row>
    <row r="3639" spans="1:12" x14ac:dyDescent="0.25">
      <c r="A3639"/>
      <c r="B3639"/>
      <c r="D3639"/>
      <c r="G3639"/>
      <c r="L3639"/>
    </row>
    <row r="3640" spans="1:12" x14ac:dyDescent="0.25">
      <c r="A3640"/>
      <c r="B3640"/>
      <c r="D3640"/>
      <c r="G3640"/>
      <c r="L3640"/>
    </row>
    <row r="3641" spans="1:12" x14ac:dyDescent="0.25">
      <c r="A3641"/>
      <c r="B3641"/>
      <c r="D3641"/>
      <c r="G3641"/>
      <c r="L3641"/>
    </row>
    <row r="3642" spans="1:12" x14ac:dyDescent="0.25">
      <c r="A3642"/>
      <c r="B3642"/>
      <c r="D3642"/>
      <c r="G3642"/>
      <c r="L3642"/>
    </row>
    <row r="3643" spans="1:12" x14ac:dyDescent="0.25">
      <c r="A3643"/>
      <c r="B3643"/>
      <c r="D3643"/>
      <c r="G3643"/>
      <c r="L3643"/>
    </row>
    <row r="3644" spans="1:12" x14ac:dyDescent="0.25">
      <c r="A3644"/>
      <c r="B3644"/>
      <c r="D3644"/>
      <c r="G3644"/>
      <c r="L3644"/>
    </row>
    <row r="3645" spans="1:12" x14ac:dyDescent="0.25">
      <c r="A3645"/>
      <c r="B3645"/>
      <c r="D3645"/>
      <c r="G3645"/>
      <c r="L3645"/>
    </row>
    <row r="3646" spans="1:12" x14ac:dyDescent="0.25">
      <c r="A3646"/>
      <c r="B3646"/>
      <c r="D3646"/>
      <c r="G3646"/>
      <c r="L3646"/>
    </row>
    <row r="3647" spans="1:12" x14ac:dyDescent="0.25">
      <c r="A3647"/>
      <c r="B3647"/>
      <c r="D3647"/>
      <c r="G3647"/>
      <c r="L3647"/>
    </row>
    <row r="3648" spans="1:12" x14ac:dyDescent="0.25">
      <c r="A3648"/>
      <c r="B3648"/>
      <c r="D3648"/>
      <c r="G3648"/>
      <c r="L3648"/>
    </row>
    <row r="3649" spans="1:12" x14ac:dyDescent="0.25">
      <c r="A3649"/>
      <c r="B3649"/>
      <c r="D3649"/>
      <c r="G3649"/>
      <c r="L3649"/>
    </row>
    <row r="3650" spans="1:12" x14ac:dyDescent="0.25">
      <c r="A3650"/>
      <c r="B3650"/>
      <c r="D3650"/>
      <c r="G3650"/>
      <c r="L3650"/>
    </row>
    <row r="3651" spans="1:12" x14ac:dyDescent="0.25">
      <c r="A3651"/>
      <c r="B3651"/>
      <c r="D3651"/>
      <c r="G3651"/>
      <c r="L3651"/>
    </row>
    <row r="3652" spans="1:12" x14ac:dyDescent="0.25">
      <c r="A3652"/>
      <c r="B3652"/>
      <c r="D3652"/>
      <c r="G3652"/>
      <c r="L3652"/>
    </row>
    <row r="3653" spans="1:12" x14ac:dyDescent="0.25">
      <c r="A3653"/>
      <c r="B3653"/>
      <c r="D3653"/>
      <c r="G3653"/>
      <c r="L3653"/>
    </row>
    <row r="3654" spans="1:12" x14ac:dyDescent="0.25">
      <c r="A3654"/>
      <c r="B3654"/>
      <c r="D3654"/>
      <c r="G3654"/>
      <c r="L3654"/>
    </row>
    <row r="3655" spans="1:12" x14ac:dyDescent="0.25">
      <c r="A3655"/>
      <c r="B3655"/>
      <c r="D3655"/>
      <c r="G3655"/>
      <c r="L3655"/>
    </row>
    <row r="3656" spans="1:12" x14ac:dyDescent="0.25">
      <c r="A3656"/>
      <c r="B3656"/>
      <c r="D3656"/>
      <c r="G3656"/>
      <c r="L3656"/>
    </row>
    <row r="3657" spans="1:12" x14ac:dyDescent="0.25">
      <c r="A3657"/>
      <c r="B3657"/>
      <c r="D3657"/>
      <c r="G3657"/>
      <c r="L3657"/>
    </row>
    <row r="3658" spans="1:12" x14ac:dyDescent="0.25">
      <c r="A3658"/>
      <c r="B3658"/>
      <c r="D3658"/>
      <c r="G3658"/>
      <c r="L3658"/>
    </row>
    <row r="3659" spans="1:12" x14ac:dyDescent="0.25">
      <c r="A3659"/>
      <c r="B3659"/>
      <c r="D3659"/>
      <c r="G3659"/>
      <c r="L3659"/>
    </row>
    <row r="3660" spans="1:12" x14ac:dyDescent="0.25">
      <c r="A3660"/>
      <c r="B3660"/>
      <c r="D3660"/>
      <c r="G3660"/>
      <c r="L3660"/>
    </row>
    <row r="3661" spans="1:12" x14ac:dyDescent="0.25">
      <c r="A3661"/>
      <c r="B3661"/>
      <c r="D3661"/>
      <c r="G3661"/>
      <c r="L3661"/>
    </row>
    <row r="3662" spans="1:12" x14ac:dyDescent="0.25">
      <c r="A3662"/>
      <c r="B3662"/>
      <c r="D3662"/>
      <c r="G3662"/>
      <c r="L3662"/>
    </row>
    <row r="3663" spans="1:12" x14ac:dyDescent="0.25">
      <c r="A3663"/>
      <c r="B3663"/>
      <c r="D3663"/>
      <c r="G3663"/>
      <c r="L3663"/>
    </row>
    <row r="3664" spans="1:12" x14ac:dyDescent="0.25">
      <c r="A3664"/>
      <c r="B3664"/>
      <c r="D3664"/>
      <c r="G3664"/>
      <c r="L3664"/>
    </row>
    <row r="3665" spans="1:12" x14ac:dyDescent="0.25">
      <c r="A3665"/>
      <c r="B3665"/>
      <c r="D3665"/>
      <c r="G3665"/>
      <c r="L3665"/>
    </row>
    <row r="3666" spans="1:12" x14ac:dyDescent="0.25">
      <c r="A3666"/>
      <c r="B3666"/>
      <c r="D3666"/>
      <c r="G3666"/>
      <c r="L3666"/>
    </row>
    <row r="3667" spans="1:12" x14ac:dyDescent="0.25">
      <c r="A3667"/>
      <c r="B3667"/>
      <c r="D3667"/>
      <c r="G3667"/>
      <c r="L3667"/>
    </row>
    <row r="3668" spans="1:12" x14ac:dyDescent="0.25">
      <c r="A3668"/>
      <c r="B3668"/>
      <c r="D3668"/>
      <c r="G3668"/>
      <c r="L3668"/>
    </row>
    <row r="3669" spans="1:12" x14ac:dyDescent="0.25">
      <c r="A3669"/>
      <c r="B3669"/>
      <c r="D3669"/>
      <c r="G3669"/>
      <c r="L3669"/>
    </row>
    <row r="3670" spans="1:12" x14ac:dyDescent="0.25">
      <c r="A3670"/>
      <c r="B3670"/>
      <c r="D3670"/>
      <c r="G3670"/>
      <c r="L3670"/>
    </row>
    <row r="3671" spans="1:12" x14ac:dyDescent="0.25">
      <c r="A3671"/>
      <c r="B3671"/>
      <c r="D3671"/>
      <c r="G3671"/>
      <c r="L3671"/>
    </row>
    <row r="3672" spans="1:12" x14ac:dyDescent="0.25">
      <c r="A3672"/>
      <c r="B3672"/>
      <c r="D3672"/>
      <c r="G3672"/>
      <c r="L3672"/>
    </row>
    <row r="3673" spans="1:12" x14ac:dyDescent="0.25">
      <c r="A3673"/>
      <c r="B3673"/>
      <c r="D3673"/>
      <c r="G3673"/>
      <c r="L3673"/>
    </row>
    <row r="3674" spans="1:12" x14ac:dyDescent="0.25">
      <c r="A3674"/>
      <c r="B3674"/>
      <c r="D3674"/>
      <c r="G3674"/>
      <c r="L3674"/>
    </row>
    <row r="3675" spans="1:12" x14ac:dyDescent="0.25">
      <c r="A3675"/>
      <c r="B3675"/>
      <c r="D3675"/>
      <c r="G3675"/>
      <c r="L3675"/>
    </row>
    <row r="3676" spans="1:12" x14ac:dyDescent="0.25">
      <c r="A3676"/>
      <c r="B3676"/>
      <c r="D3676"/>
      <c r="G3676"/>
      <c r="L3676"/>
    </row>
    <row r="3677" spans="1:12" x14ac:dyDescent="0.25">
      <c r="A3677"/>
      <c r="B3677"/>
      <c r="D3677"/>
      <c r="G3677"/>
      <c r="L3677"/>
    </row>
    <row r="3678" spans="1:12" x14ac:dyDescent="0.25">
      <c r="A3678"/>
      <c r="B3678"/>
      <c r="D3678"/>
      <c r="G3678"/>
      <c r="L3678"/>
    </row>
    <row r="3679" spans="1:12" x14ac:dyDescent="0.25">
      <c r="A3679"/>
      <c r="B3679"/>
      <c r="D3679"/>
      <c r="G3679"/>
      <c r="L3679"/>
    </row>
    <row r="3680" spans="1:12" x14ac:dyDescent="0.25">
      <c r="A3680"/>
      <c r="B3680"/>
      <c r="D3680"/>
      <c r="G3680"/>
      <c r="L3680"/>
    </row>
    <row r="3681" spans="1:12" x14ac:dyDescent="0.25">
      <c r="A3681"/>
      <c r="B3681"/>
      <c r="D3681"/>
      <c r="G3681"/>
      <c r="L3681"/>
    </row>
    <row r="3682" spans="1:12" x14ac:dyDescent="0.25">
      <c r="A3682"/>
      <c r="B3682"/>
      <c r="D3682"/>
      <c r="G3682"/>
      <c r="L3682"/>
    </row>
    <row r="3683" spans="1:12" x14ac:dyDescent="0.25">
      <c r="A3683"/>
      <c r="B3683"/>
      <c r="D3683"/>
      <c r="G3683"/>
      <c r="L3683"/>
    </row>
    <row r="3684" spans="1:12" x14ac:dyDescent="0.25">
      <c r="A3684"/>
      <c r="B3684"/>
      <c r="D3684"/>
      <c r="G3684"/>
      <c r="L3684"/>
    </row>
    <row r="3685" spans="1:12" x14ac:dyDescent="0.25">
      <c r="A3685"/>
      <c r="B3685"/>
      <c r="D3685"/>
      <c r="G3685"/>
      <c r="L3685"/>
    </row>
    <row r="3686" spans="1:12" x14ac:dyDescent="0.25">
      <c r="A3686"/>
      <c r="B3686"/>
      <c r="D3686"/>
      <c r="G3686"/>
      <c r="L3686"/>
    </row>
    <row r="3687" spans="1:12" x14ac:dyDescent="0.25">
      <c r="A3687"/>
      <c r="B3687"/>
      <c r="D3687"/>
      <c r="G3687"/>
      <c r="L3687"/>
    </row>
    <row r="3688" spans="1:12" x14ac:dyDescent="0.25">
      <c r="A3688"/>
      <c r="B3688"/>
      <c r="D3688"/>
      <c r="G3688"/>
      <c r="L3688"/>
    </row>
    <row r="3689" spans="1:12" x14ac:dyDescent="0.25">
      <c r="A3689"/>
      <c r="B3689"/>
      <c r="D3689"/>
      <c r="G3689"/>
      <c r="L3689"/>
    </row>
    <row r="3690" spans="1:12" x14ac:dyDescent="0.25">
      <c r="A3690"/>
      <c r="B3690"/>
      <c r="D3690"/>
      <c r="G3690"/>
      <c r="L3690"/>
    </row>
    <row r="3691" spans="1:12" x14ac:dyDescent="0.25">
      <c r="A3691"/>
      <c r="B3691"/>
      <c r="D3691"/>
      <c r="G3691"/>
      <c r="L3691"/>
    </row>
    <row r="3692" spans="1:12" x14ac:dyDescent="0.25">
      <c r="A3692"/>
      <c r="B3692"/>
      <c r="D3692"/>
      <c r="G3692"/>
      <c r="L3692"/>
    </row>
    <row r="3693" spans="1:12" x14ac:dyDescent="0.25">
      <c r="A3693"/>
      <c r="B3693"/>
      <c r="D3693"/>
      <c r="G3693"/>
      <c r="L3693"/>
    </row>
    <row r="3694" spans="1:12" x14ac:dyDescent="0.25">
      <c r="A3694"/>
      <c r="B3694"/>
      <c r="D3694"/>
      <c r="G3694"/>
      <c r="L3694"/>
    </row>
    <row r="3695" spans="1:12" x14ac:dyDescent="0.25">
      <c r="A3695"/>
      <c r="B3695"/>
      <c r="D3695"/>
      <c r="G3695"/>
      <c r="L3695"/>
    </row>
    <row r="3696" spans="1:12" x14ac:dyDescent="0.25">
      <c r="A3696"/>
      <c r="B3696"/>
      <c r="D3696"/>
      <c r="G3696"/>
      <c r="L3696"/>
    </row>
    <row r="3697" spans="1:12" x14ac:dyDescent="0.25">
      <c r="A3697"/>
      <c r="B3697"/>
      <c r="D3697"/>
      <c r="G3697"/>
      <c r="L3697"/>
    </row>
    <row r="3698" spans="1:12" x14ac:dyDescent="0.25">
      <c r="A3698"/>
      <c r="B3698"/>
      <c r="D3698"/>
      <c r="G3698"/>
      <c r="L3698"/>
    </row>
    <row r="3699" spans="1:12" x14ac:dyDescent="0.25">
      <c r="A3699"/>
      <c r="B3699"/>
      <c r="D3699"/>
      <c r="G3699"/>
      <c r="L3699"/>
    </row>
    <row r="3700" spans="1:12" x14ac:dyDescent="0.25">
      <c r="A3700"/>
      <c r="B3700"/>
      <c r="D3700"/>
      <c r="G3700"/>
      <c r="L3700"/>
    </row>
    <row r="3701" spans="1:12" x14ac:dyDescent="0.25">
      <c r="A3701"/>
      <c r="B3701"/>
      <c r="D3701"/>
      <c r="G3701"/>
      <c r="L3701"/>
    </row>
    <row r="3702" spans="1:12" x14ac:dyDescent="0.25">
      <c r="A3702"/>
      <c r="B3702"/>
      <c r="D3702"/>
      <c r="G3702"/>
      <c r="L3702"/>
    </row>
    <row r="3703" spans="1:12" x14ac:dyDescent="0.25">
      <c r="A3703"/>
      <c r="B3703"/>
      <c r="D3703"/>
      <c r="G3703"/>
      <c r="L3703"/>
    </row>
    <row r="3704" spans="1:12" x14ac:dyDescent="0.25">
      <c r="A3704"/>
      <c r="B3704"/>
      <c r="D3704"/>
      <c r="G3704"/>
      <c r="L3704"/>
    </row>
    <row r="3705" spans="1:12" x14ac:dyDescent="0.25">
      <c r="A3705"/>
      <c r="B3705"/>
      <c r="D3705"/>
      <c r="G3705"/>
      <c r="L3705"/>
    </row>
    <row r="3706" spans="1:12" x14ac:dyDescent="0.25">
      <c r="A3706"/>
      <c r="B3706"/>
      <c r="D3706"/>
      <c r="G3706"/>
      <c r="L3706"/>
    </row>
    <row r="3707" spans="1:12" x14ac:dyDescent="0.25">
      <c r="A3707"/>
      <c r="B3707"/>
      <c r="D3707"/>
      <c r="G3707"/>
      <c r="L3707"/>
    </row>
    <row r="3708" spans="1:12" x14ac:dyDescent="0.25">
      <c r="A3708"/>
      <c r="B3708"/>
      <c r="D3708"/>
      <c r="G3708"/>
      <c r="L3708"/>
    </row>
    <row r="3709" spans="1:12" x14ac:dyDescent="0.25">
      <c r="A3709"/>
      <c r="B3709"/>
      <c r="D3709"/>
      <c r="G3709"/>
      <c r="L3709"/>
    </row>
    <row r="3710" spans="1:12" x14ac:dyDescent="0.25">
      <c r="A3710"/>
      <c r="B3710"/>
      <c r="D3710"/>
      <c r="G3710"/>
      <c r="L3710"/>
    </row>
    <row r="3711" spans="1:12" x14ac:dyDescent="0.25">
      <c r="A3711"/>
      <c r="B3711"/>
      <c r="D3711"/>
      <c r="G3711"/>
      <c r="L3711"/>
    </row>
    <row r="3712" spans="1:12" x14ac:dyDescent="0.25">
      <c r="A3712"/>
      <c r="B3712"/>
      <c r="D3712"/>
      <c r="G3712"/>
      <c r="L3712"/>
    </row>
    <row r="3713" spans="1:12" x14ac:dyDescent="0.25">
      <c r="A3713"/>
      <c r="B3713"/>
      <c r="D3713"/>
      <c r="G3713"/>
      <c r="L3713"/>
    </row>
    <row r="3714" spans="1:12" x14ac:dyDescent="0.25">
      <c r="A3714"/>
      <c r="B3714"/>
      <c r="D3714"/>
      <c r="G3714"/>
      <c r="L3714"/>
    </row>
    <row r="3715" spans="1:12" x14ac:dyDescent="0.25">
      <c r="A3715"/>
      <c r="B3715"/>
      <c r="D3715"/>
      <c r="G3715"/>
      <c r="L3715"/>
    </row>
    <row r="3716" spans="1:12" x14ac:dyDescent="0.25">
      <c r="A3716"/>
      <c r="B3716"/>
      <c r="D3716"/>
      <c r="G3716"/>
      <c r="L3716"/>
    </row>
    <row r="3717" spans="1:12" x14ac:dyDescent="0.25">
      <c r="A3717"/>
      <c r="B3717"/>
      <c r="D3717"/>
      <c r="G3717"/>
      <c r="L3717"/>
    </row>
    <row r="3718" spans="1:12" x14ac:dyDescent="0.25">
      <c r="A3718"/>
      <c r="B3718"/>
      <c r="D3718"/>
      <c r="G3718"/>
      <c r="L3718"/>
    </row>
    <row r="3719" spans="1:12" x14ac:dyDescent="0.25">
      <c r="A3719"/>
      <c r="B3719"/>
      <c r="D3719"/>
      <c r="G3719"/>
      <c r="L3719"/>
    </row>
    <row r="3720" spans="1:12" x14ac:dyDescent="0.25">
      <c r="A3720"/>
      <c r="B3720"/>
      <c r="D3720"/>
      <c r="G3720"/>
      <c r="L3720"/>
    </row>
    <row r="3721" spans="1:12" x14ac:dyDescent="0.25">
      <c r="A3721"/>
      <c r="B3721"/>
      <c r="D3721"/>
      <c r="G3721"/>
      <c r="L3721"/>
    </row>
    <row r="3722" spans="1:12" x14ac:dyDescent="0.25">
      <c r="A3722"/>
      <c r="B3722"/>
      <c r="D3722"/>
      <c r="G3722"/>
      <c r="L3722"/>
    </row>
    <row r="3723" spans="1:12" x14ac:dyDescent="0.25">
      <c r="A3723"/>
      <c r="B3723"/>
      <c r="D3723"/>
      <c r="G3723"/>
      <c r="L3723"/>
    </row>
    <row r="3724" spans="1:12" x14ac:dyDescent="0.25">
      <c r="A3724"/>
      <c r="B3724"/>
      <c r="D3724"/>
      <c r="G3724"/>
      <c r="L3724"/>
    </row>
    <row r="3725" spans="1:12" x14ac:dyDescent="0.25">
      <c r="A3725"/>
      <c r="B3725"/>
      <c r="D3725"/>
      <c r="G3725"/>
      <c r="L3725"/>
    </row>
    <row r="3726" spans="1:12" x14ac:dyDescent="0.25">
      <c r="A3726"/>
      <c r="B3726"/>
      <c r="D3726"/>
      <c r="G3726"/>
      <c r="L3726"/>
    </row>
    <row r="3727" spans="1:12" x14ac:dyDescent="0.25">
      <c r="A3727"/>
      <c r="B3727"/>
      <c r="D3727"/>
      <c r="G3727"/>
      <c r="L3727"/>
    </row>
    <row r="3728" spans="1:12" x14ac:dyDescent="0.25">
      <c r="A3728"/>
      <c r="B3728"/>
      <c r="D3728"/>
      <c r="G3728"/>
      <c r="L3728"/>
    </row>
    <row r="3729" spans="1:12" x14ac:dyDescent="0.25">
      <c r="A3729"/>
      <c r="B3729"/>
      <c r="D3729"/>
      <c r="G3729"/>
      <c r="L3729"/>
    </row>
    <row r="3730" spans="1:12" x14ac:dyDescent="0.25">
      <c r="A3730"/>
      <c r="B3730"/>
      <c r="D3730"/>
      <c r="G3730"/>
      <c r="L3730"/>
    </row>
    <row r="3731" spans="1:12" x14ac:dyDescent="0.25">
      <c r="A3731"/>
      <c r="B3731"/>
      <c r="D3731"/>
      <c r="G3731"/>
      <c r="L3731"/>
    </row>
    <row r="3732" spans="1:12" x14ac:dyDescent="0.25">
      <c r="A3732"/>
      <c r="B3732"/>
      <c r="D3732"/>
      <c r="G3732"/>
      <c r="L3732"/>
    </row>
    <row r="3733" spans="1:12" x14ac:dyDescent="0.25">
      <c r="A3733"/>
      <c r="B3733"/>
      <c r="D3733"/>
      <c r="G3733"/>
      <c r="L3733"/>
    </row>
    <row r="3734" spans="1:12" x14ac:dyDescent="0.25">
      <c r="A3734"/>
      <c r="B3734"/>
      <c r="D3734"/>
      <c r="G3734"/>
      <c r="L3734"/>
    </row>
    <row r="3735" spans="1:12" x14ac:dyDescent="0.25">
      <c r="A3735"/>
      <c r="B3735"/>
      <c r="D3735"/>
      <c r="G3735"/>
      <c r="L3735"/>
    </row>
    <row r="3736" spans="1:12" x14ac:dyDescent="0.25">
      <c r="A3736"/>
      <c r="B3736"/>
      <c r="D3736"/>
      <c r="G3736"/>
      <c r="L3736"/>
    </row>
    <row r="3737" spans="1:12" x14ac:dyDescent="0.25">
      <c r="A3737"/>
      <c r="B3737"/>
      <c r="D3737"/>
      <c r="G3737"/>
      <c r="L3737"/>
    </row>
    <row r="3738" spans="1:12" x14ac:dyDescent="0.25">
      <c r="A3738"/>
      <c r="B3738"/>
      <c r="D3738"/>
      <c r="G3738"/>
      <c r="L3738"/>
    </row>
    <row r="3739" spans="1:12" x14ac:dyDescent="0.25">
      <c r="A3739"/>
      <c r="B3739"/>
      <c r="D3739"/>
      <c r="G3739"/>
      <c r="L3739"/>
    </row>
    <row r="3740" spans="1:12" x14ac:dyDescent="0.25">
      <c r="A3740"/>
      <c r="B3740"/>
      <c r="D3740"/>
      <c r="G3740"/>
      <c r="L3740"/>
    </row>
    <row r="3741" spans="1:12" x14ac:dyDescent="0.25">
      <c r="A3741"/>
      <c r="B3741"/>
      <c r="D3741"/>
      <c r="G3741"/>
      <c r="L3741"/>
    </row>
    <row r="3742" spans="1:12" x14ac:dyDescent="0.25">
      <c r="A3742"/>
      <c r="B3742"/>
      <c r="D3742"/>
      <c r="G3742"/>
      <c r="L3742"/>
    </row>
    <row r="3743" spans="1:12" x14ac:dyDescent="0.25">
      <c r="A3743"/>
      <c r="B3743"/>
      <c r="D3743"/>
      <c r="G3743"/>
      <c r="L3743"/>
    </row>
    <row r="3744" spans="1:12" x14ac:dyDescent="0.25">
      <c r="A3744"/>
      <c r="B3744"/>
      <c r="D3744"/>
      <c r="G3744"/>
      <c r="L3744"/>
    </row>
    <row r="3745" spans="1:12" x14ac:dyDescent="0.25">
      <c r="A3745"/>
      <c r="B3745"/>
      <c r="D3745"/>
      <c r="G3745"/>
      <c r="L3745"/>
    </row>
    <row r="3746" spans="1:12" x14ac:dyDescent="0.25">
      <c r="A3746"/>
      <c r="B3746"/>
      <c r="D3746"/>
      <c r="G3746"/>
      <c r="L3746"/>
    </row>
    <row r="3747" spans="1:12" x14ac:dyDescent="0.25">
      <c r="A3747"/>
      <c r="B3747"/>
      <c r="D3747"/>
      <c r="G3747"/>
      <c r="L3747"/>
    </row>
    <row r="3748" spans="1:12" x14ac:dyDescent="0.25">
      <c r="A3748"/>
      <c r="B3748"/>
      <c r="D3748"/>
      <c r="G3748"/>
      <c r="L3748"/>
    </row>
    <row r="3749" spans="1:12" x14ac:dyDescent="0.25">
      <c r="A3749"/>
      <c r="B3749"/>
      <c r="D3749"/>
      <c r="G3749"/>
      <c r="L3749"/>
    </row>
    <row r="3750" spans="1:12" x14ac:dyDescent="0.25">
      <c r="A3750"/>
      <c r="B3750"/>
      <c r="D3750"/>
      <c r="G3750"/>
      <c r="L3750"/>
    </row>
    <row r="3751" spans="1:12" x14ac:dyDescent="0.25">
      <c r="A3751"/>
      <c r="B3751"/>
      <c r="D3751"/>
      <c r="G3751"/>
      <c r="L3751"/>
    </row>
    <row r="3752" spans="1:12" x14ac:dyDescent="0.25">
      <c r="A3752"/>
      <c r="B3752"/>
      <c r="D3752"/>
      <c r="G3752"/>
      <c r="L3752"/>
    </row>
    <row r="3753" spans="1:12" x14ac:dyDescent="0.25">
      <c r="A3753"/>
      <c r="B3753"/>
      <c r="D3753"/>
      <c r="G3753"/>
      <c r="L3753"/>
    </row>
    <row r="3754" spans="1:12" x14ac:dyDescent="0.25">
      <c r="A3754"/>
      <c r="B3754"/>
      <c r="D3754"/>
      <c r="G3754"/>
      <c r="L3754"/>
    </row>
    <row r="3755" spans="1:12" x14ac:dyDescent="0.25">
      <c r="A3755"/>
      <c r="B3755"/>
      <c r="D3755"/>
      <c r="G3755"/>
      <c r="L3755"/>
    </row>
    <row r="3756" spans="1:12" x14ac:dyDescent="0.25">
      <c r="A3756"/>
      <c r="B3756"/>
      <c r="D3756"/>
      <c r="G3756"/>
      <c r="L3756"/>
    </row>
    <row r="3757" spans="1:12" x14ac:dyDescent="0.25">
      <c r="A3757"/>
      <c r="B3757"/>
      <c r="D3757"/>
      <c r="G3757"/>
      <c r="L3757"/>
    </row>
    <row r="3758" spans="1:12" x14ac:dyDescent="0.25">
      <c r="A3758"/>
      <c r="B3758"/>
      <c r="D3758"/>
      <c r="G3758"/>
      <c r="L3758"/>
    </row>
    <row r="3759" spans="1:12" x14ac:dyDescent="0.25">
      <c r="A3759"/>
      <c r="B3759"/>
      <c r="D3759"/>
      <c r="G3759"/>
      <c r="L3759"/>
    </row>
    <row r="3760" spans="1:12" x14ac:dyDescent="0.25">
      <c r="A3760"/>
      <c r="B3760"/>
      <c r="D3760"/>
      <c r="G3760"/>
      <c r="L3760"/>
    </row>
    <row r="3761" spans="1:12" x14ac:dyDescent="0.25">
      <c r="A3761"/>
      <c r="B3761"/>
      <c r="D3761"/>
      <c r="G3761"/>
      <c r="L3761"/>
    </row>
    <row r="3762" spans="1:12" x14ac:dyDescent="0.25">
      <c r="A3762"/>
      <c r="B3762"/>
      <c r="D3762"/>
      <c r="G3762"/>
      <c r="L3762"/>
    </row>
    <row r="3763" spans="1:12" x14ac:dyDescent="0.25">
      <c r="A3763"/>
      <c r="B3763"/>
      <c r="D3763"/>
      <c r="G3763"/>
      <c r="L3763"/>
    </row>
    <row r="3764" spans="1:12" x14ac:dyDescent="0.25">
      <c r="A3764"/>
      <c r="B3764"/>
      <c r="D3764"/>
      <c r="G3764"/>
      <c r="L3764"/>
    </row>
    <row r="3765" spans="1:12" x14ac:dyDescent="0.25">
      <c r="A3765"/>
      <c r="B3765"/>
      <c r="D3765"/>
      <c r="G3765"/>
      <c r="L3765"/>
    </row>
    <row r="3766" spans="1:12" x14ac:dyDescent="0.25">
      <c r="A3766"/>
      <c r="B3766"/>
      <c r="D3766"/>
      <c r="G3766"/>
      <c r="L3766"/>
    </row>
    <row r="3767" spans="1:12" x14ac:dyDescent="0.25">
      <c r="A3767"/>
      <c r="B3767"/>
      <c r="D3767"/>
      <c r="G3767"/>
      <c r="L3767"/>
    </row>
    <row r="3768" spans="1:12" x14ac:dyDescent="0.25">
      <c r="A3768"/>
      <c r="B3768"/>
      <c r="D3768"/>
      <c r="G3768"/>
      <c r="L3768"/>
    </row>
    <row r="3769" spans="1:12" x14ac:dyDescent="0.25">
      <c r="A3769"/>
      <c r="B3769"/>
      <c r="D3769"/>
      <c r="G3769"/>
      <c r="L3769"/>
    </row>
    <row r="3770" spans="1:12" x14ac:dyDescent="0.25">
      <c r="A3770"/>
      <c r="B3770"/>
      <c r="D3770"/>
      <c r="G3770"/>
      <c r="L3770"/>
    </row>
    <row r="3771" spans="1:12" x14ac:dyDescent="0.25">
      <c r="A3771"/>
      <c r="B3771"/>
      <c r="D3771"/>
      <c r="G3771"/>
      <c r="L3771"/>
    </row>
    <row r="3772" spans="1:12" x14ac:dyDescent="0.25">
      <c r="A3772"/>
      <c r="B3772"/>
      <c r="D3772"/>
      <c r="G3772"/>
      <c r="L3772"/>
    </row>
    <row r="3773" spans="1:12" x14ac:dyDescent="0.25">
      <c r="A3773"/>
      <c r="B3773"/>
      <c r="D3773"/>
      <c r="G3773"/>
      <c r="L3773"/>
    </row>
    <row r="3774" spans="1:12" x14ac:dyDescent="0.25">
      <c r="A3774"/>
      <c r="B3774"/>
      <c r="D3774"/>
      <c r="G3774"/>
      <c r="L3774"/>
    </row>
    <row r="3775" spans="1:12" x14ac:dyDescent="0.25">
      <c r="A3775"/>
      <c r="B3775"/>
      <c r="D3775"/>
      <c r="G3775"/>
      <c r="L3775"/>
    </row>
    <row r="3776" spans="1:12" x14ac:dyDescent="0.25">
      <c r="A3776"/>
      <c r="B3776"/>
      <c r="D3776"/>
      <c r="G3776"/>
      <c r="L3776"/>
    </row>
    <row r="3777" spans="1:12" x14ac:dyDescent="0.25">
      <c r="A3777"/>
      <c r="B3777"/>
      <c r="D3777"/>
      <c r="G3777"/>
      <c r="L3777"/>
    </row>
    <row r="3778" spans="1:12" x14ac:dyDescent="0.25">
      <c r="A3778"/>
      <c r="B3778"/>
      <c r="D3778"/>
      <c r="G3778"/>
      <c r="L3778"/>
    </row>
    <row r="3779" spans="1:12" x14ac:dyDescent="0.25">
      <c r="A3779"/>
      <c r="B3779"/>
      <c r="D3779"/>
      <c r="G3779"/>
      <c r="L3779"/>
    </row>
    <row r="3780" spans="1:12" x14ac:dyDescent="0.25">
      <c r="A3780"/>
      <c r="B3780"/>
      <c r="D3780"/>
      <c r="G3780"/>
      <c r="L3780"/>
    </row>
    <row r="3781" spans="1:12" x14ac:dyDescent="0.25">
      <c r="A3781"/>
      <c r="B3781"/>
      <c r="D3781"/>
      <c r="G3781"/>
      <c r="L3781"/>
    </row>
    <row r="3782" spans="1:12" x14ac:dyDescent="0.25">
      <c r="A3782"/>
      <c r="B3782"/>
      <c r="D3782"/>
      <c r="G3782"/>
      <c r="L3782"/>
    </row>
    <row r="3783" spans="1:12" x14ac:dyDescent="0.25">
      <c r="A3783"/>
      <c r="B3783"/>
      <c r="D3783"/>
      <c r="G3783"/>
      <c r="L3783"/>
    </row>
    <row r="3784" spans="1:12" x14ac:dyDescent="0.25">
      <c r="A3784"/>
      <c r="B3784"/>
      <c r="D3784"/>
      <c r="G3784"/>
      <c r="L3784"/>
    </row>
    <row r="3785" spans="1:12" x14ac:dyDescent="0.25">
      <c r="A3785"/>
      <c r="B3785"/>
      <c r="D3785"/>
      <c r="G3785"/>
      <c r="L3785"/>
    </row>
    <row r="3786" spans="1:12" x14ac:dyDescent="0.25">
      <c r="A3786"/>
      <c r="B3786"/>
      <c r="D3786"/>
      <c r="G3786"/>
      <c r="L3786"/>
    </row>
    <row r="3787" spans="1:12" x14ac:dyDescent="0.25">
      <c r="A3787"/>
      <c r="B3787"/>
      <c r="D3787"/>
      <c r="G3787"/>
      <c r="L3787"/>
    </row>
    <row r="3788" spans="1:12" x14ac:dyDescent="0.25">
      <c r="A3788"/>
      <c r="B3788"/>
      <c r="D3788"/>
      <c r="G3788"/>
      <c r="L3788"/>
    </row>
    <row r="3789" spans="1:12" x14ac:dyDescent="0.25">
      <c r="A3789"/>
      <c r="B3789"/>
      <c r="D3789"/>
      <c r="G3789"/>
      <c r="L3789"/>
    </row>
    <row r="3790" spans="1:12" x14ac:dyDescent="0.25">
      <c r="A3790"/>
      <c r="B3790"/>
      <c r="D3790"/>
      <c r="G3790"/>
      <c r="L3790"/>
    </row>
    <row r="3791" spans="1:12" x14ac:dyDescent="0.25">
      <c r="A3791"/>
      <c r="B3791"/>
      <c r="D3791"/>
      <c r="G3791"/>
      <c r="L3791"/>
    </row>
    <row r="3792" spans="1:12" x14ac:dyDescent="0.25">
      <c r="A3792"/>
      <c r="B3792"/>
      <c r="D3792"/>
      <c r="G3792"/>
      <c r="L3792"/>
    </row>
    <row r="3793" spans="1:12" x14ac:dyDescent="0.25">
      <c r="A3793"/>
      <c r="B3793"/>
      <c r="D3793"/>
      <c r="G3793"/>
      <c r="L3793"/>
    </row>
    <row r="3794" spans="1:12" x14ac:dyDescent="0.25">
      <c r="A3794"/>
      <c r="B3794"/>
      <c r="D3794"/>
      <c r="G3794"/>
      <c r="L3794"/>
    </row>
    <row r="3795" spans="1:12" x14ac:dyDescent="0.25">
      <c r="A3795"/>
      <c r="B3795"/>
      <c r="D3795"/>
      <c r="G3795"/>
      <c r="L3795"/>
    </row>
    <row r="3796" spans="1:12" x14ac:dyDescent="0.25">
      <c r="A3796"/>
      <c r="B3796"/>
      <c r="D3796"/>
      <c r="G3796"/>
      <c r="L3796"/>
    </row>
    <row r="3797" spans="1:12" x14ac:dyDescent="0.25">
      <c r="A3797"/>
      <c r="B3797"/>
      <c r="D3797"/>
      <c r="G3797"/>
      <c r="L3797"/>
    </row>
    <row r="3798" spans="1:12" x14ac:dyDescent="0.25">
      <c r="A3798"/>
      <c r="B3798"/>
      <c r="D3798"/>
      <c r="G3798"/>
      <c r="L3798"/>
    </row>
    <row r="3799" spans="1:12" x14ac:dyDescent="0.25">
      <c r="A3799"/>
      <c r="B3799"/>
      <c r="D3799"/>
      <c r="G3799"/>
      <c r="L3799"/>
    </row>
    <row r="3800" spans="1:12" x14ac:dyDescent="0.25">
      <c r="A3800"/>
      <c r="B3800"/>
      <c r="D3800"/>
      <c r="G3800"/>
      <c r="L3800"/>
    </row>
    <row r="3801" spans="1:12" x14ac:dyDescent="0.25">
      <c r="A3801"/>
      <c r="B3801"/>
      <c r="D3801"/>
      <c r="G3801"/>
      <c r="L3801"/>
    </row>
    <row r="3802" spans="1:12" x14ac:dyDescent="0.25">
      <c r="A3802"/>
      <c r="B3802"/>
      <c r="D3802"/>
      <c r="G3802"/>
      <c r="L3802"/>
    </row>
    <row r="3803" spans="1:12" x14ac:dyDescent="0.25">
      <c r="A3803"/>
      <c r="B3803"/>
      <c r="D3803"/>
      <c r="G3803"/>
      <c r="L3803"/>
    </row>
    <row r="3804" spans="1:12" x14ac:dyDescent="0.25">
      <c r="A3804"/>
      <c r="B3804"/>
      <c r="D3804"/>
      <c r="G3804"/>
      <c r="L3804"/>
    </row>
    <row r="3805" spans="1:12" x14ac:dyDescent="0.25">
      <c r="A3805"/>
      <c r="B3805"/>
      <c r="D3805"/>
      <c r="G3805"/>
      <c r="L3805"/>
    </row>
    <row r="3806" spans="1:12" x14ac:dyDescent="0.25">
      <c r="A3806"/>
      <c r="B3806"/>
      <c r="D3806"/>
      <c r="G3806"/>
      <c r="L3806"/>
    </row>
    <row r="3807" spans="1:12" x14ac:dyDescent="0.25">
      <c r="A3807"/>
      <c r="B3807"/>
      <c r="D3807"/>
      <c r="G3807"/>
      <c r="L3807"/>
    </row>
    <row r="3808" spans="1:12" x14ac:dyDescent="0.25">
      <c r="A3808"/>
      <c r="B3808"/>
      <c r="D3808"/>
      <c r="G3808"/>
      <c r="L3808"/>
    </row>
    <row r="3809" spans="1:12" x14ac:dyDescent="0.25">
      <c r="A3809"/>
      <c r="B3809"/>
      <c r="D3809"/>
      <c r="G3809"/>
      <c r="L3809"/>
    </row>
    <row r="3810" spans="1:12" x14ac:dyDescent="0.25">
      <c r="A3810"/>
      <c r="B3810"/>
      <c r="D3810"/>
      <c r="G3810"/>
      <c r="L3810"/>
    </row>
    <row r="3811" spans="1:12" x14ac:dyDescent="0.25">
      <c r="A3811"/>
      <c r="B3811"/>
      <c r="D3811"/>
      <c r="G3811"/>
      <c r="L3811"/>
    </row>
    <row r="3812" spans="1:12" x14ac:dyDescent="0.25">
      <c r="A3812"/>
      <c r="B3812"/>
      <c r="D3812"/>
      <c r="G3812"/>
      <c r="L3812"/>
    </row>
    <row r="3813" spans="1:12" x14ac:dyDescent="0.25">
      <c r="A3813"/>
      <c r="B3813"/>
      <c r="D3813"/>
      <c r="G3813"/>
      <c r="L3813"/>
    </row>
    <row r="3814" spans="1:12" x14ac:dyDescent="0.25">
      <c r="A3814"/>
      <c r="B3814"/>
      <c r="D3814"/>
      <c r="G3814"/>
      <c r="L3814"/>
    </row>
    <row r="3815" spans="1:12" x14ac:dyDescent="0.25">
      <c r="A3815"/>
      <c r="B3815"/>
      <c r="D3815"/>
      <c r="G3815"/>
      <c r="L3815"/>
    </row>
    <row r="3816" spans="1:12" x14ac:dyDescent="0.25">
      <c r="A3816"/>
      <c r="B3816"/>
      <c r="D3816"/>
      <c r="G3816"/>
      <c r="L3816"/>
    </row>
    <row r="3817" spans="1:12" x14ac:dyDescent="0.25">
      <c r="A3817"/>
      <c r="B3817"/>
      <c r="D3817"/>
      <c r="G3817"/>
      <c r="L3817"/>
    </row>
    <row r="3818" spans="1:12" x14ac:dyDescent="0.25">
      <c r="A3818"/>
      <c r="B3818"/>
      <c r="D3818"/>
      <c r="G3818"/>
      <c r="L3818"/>
    </row>
    <row r="3819" spans="1:12" x14ac:dyDescent="0.25">
      <c r="A3819"/>
      <c r="B3819"/>
      <c r="D3819"/>
      <c r="G3819"/>
      <c r="L3819"/>
    </row>
    <row r="3820" spans="1:12" x14ac:dyDescent="0.25">
      <c r="A3820"/>
      <c r="B3820"/>
      <c r="D3820"/>
      <c r="G3820"/>
      <c r="L3820"/>
    </row>
    <row r="3821" spans="1:12" x14ac:dyDescent="0.25">
      <c r="A3821"/>
      <c r="B3821"/>
      <c r="D3821"/>
      <c r="G3821"/>
      <c r="L3821"/>
    </row>
    <row r="3822" spans="1:12" x14ac:dyDescent="0.25">
      <c r="A3822"/>
      <c r="B3822"/>
      <c r="D3822"/>
      <c r="G3822"/>
      <c r="L3822"/>
    </row>
    <row r="3823" spans="1:12" x14ac:dyDescent="0.25">
      <c r="A3823"/>
      <c r="B3823"/>
      <c r="D3823"/>
      <c r="G3823"/>
      <c r="L3823"/>
    </row>
    <row r="3824" spans="1:12" x14ac:dyDescent="0.25">
      <c r="A3824"/>
      <c r="B3824"/>
      <c r="D3824"/>
      <c r="G3824"/>
      <c r="L3824"/>
    </row>
    <row r="3825" spans="1:12" x14ac:dyDescent="0.25">
      <c r="A3825"/>
      <c r="B3825"/>
      <c r="D3825"/>
      <c r="G3825"/>
      <c r="L3825"/>
    </row>
    <row r="3826" spans="1:12" x14ac:dyDescent="0.25">
      <c r="A3826"/>
      <c r="B3826"/>
      <c r="D3826"/>
      <c r="G3826"/>
      <c r="L3826"/>
    </row>
    <row r="3827" spans="1:12" x14ac:dyDescent="0.25">
      <c r="A3827"/>
      <c r="B3827"/>
      <c r="D3827"/>
      <c r="G3827"/>
      <c r="L3827"/>
    </row>
    <row r="3828" spans="1:12" x14ac:dyDescent="0.25">
      <c r="A3828"/>
      <c r="B3828"/>
      <c r="D3828"/>
      <c r="G3828"/>
      <c r="L3828"/>
    </row>
    <row r="3829" spans="1:12" x14ac:dyDescent="0.25">
      <c r="A3829"/>
      <c r="B3829"/>
      <c r="D3829"/>
      <c r="G3829"/>
      <c r="L3829"/>
    </row>
    <row r="3830" spans="1:12" x14ac:dyDescent="0.25">
      <c r="A3830"/>
      <c r="B3830"/>
      <c r="D3830"/>
      <c r="G3830"/>
      <c r="L3830"/>
    </row>
    <row r="3831" spans="1:12" x14ac:dyDescent="0.25">
      <c r="A3831"/>
      <c r="B3831"/>
      <c r="D3831"/>
      <c r="G3831"/>
      <c r="L3831"/>
    </row>
    <row r="3832" spans="1:12" x14ac:dyDescent="0.25">
      <c r="A3832"/>
      <c r="B3832"/>
      <c r="D3832"/>
      <c r="G3832"/>
      <c r="L3832"/>
    </row>
    <row r="3833" spans="1:12" x14ac:dyDescent="0.25">
      <c r="A3833"/>
      <c r="B3833"/>
      <c r="D3833"/>
      <c r="G3833"/>
      <c r="L3833"/>
    </row>
    <row r="3834" spans="1:12" x14ac:dyDescent="0.25">
      <c r="A3834"/>
      <c r="B3834"/>
      <c r="D3834"/>
      <c r="G3834"/>
      <c r="L3834"/>
    </row>
    <row r="3835" spans="1:12" x14ac:dyDescent="0.25">
      <c r="A3835"/>
      <c r="B3835"/>
      <c r="D3835"/>
      <c r="G3835"/>
      <c r="L3835"/>
    </row>
    <row r="3836" spans="1:12" x14ac:dyDescent="0.25">
      <c r="A3836"/>
      <c r="B3836"/>
      <c r="D3836"/>
      <c r="G3836"/>
      <c r="L3836"/>
    </row>
    <row r="3837" spans="1:12" x14ac:dyDescent="0.25">
      <c r="A3837"/>
      <c r="B3837"/>
      <c r="D3837"/>
      <c r="G3837"/>
      <c r="L3837"/>
    </row>
    <row r="3838" spans="1:12" x14ac:dyDescent="0.25">
      <c r="A3838"/>
      <c r="B3838"/>
      <c r="D3838"/>
      <c r="G3838"/>
      <c r="L3838"/>
    </row>
    <row r="3839" spans="1:12" x14ac:dyDescent="0.25">
      <c r="A3839"/>
      <c r="B3839"/>
      <c r="D3839"/>
      <c r="G3839"/>
      <c r="L3839"/>
    </row>
    <row r="3840" spans="1:12" x14ac:dyDescent="0.25">
      <c r="A3840"/>
      <c r="B3840"/>
      <c r="D3840"/>
      <c r="G3840"/>
      <c r="L3840"/>
    </row>
    <row r="3841" spans="1:12" x14ac:dyDescent="0.25">
      <c r="A3841"/>
      <c r="B3841"/>
      <c r="D3841"/>
      <c r="G3841"/>
      <c r="L3841"/>
    </row>
    <row r="3842" spans="1:12" x14ac:dyDescent="0.25">
      <c r="A3842"/>
      <c r="B3842"/>
      <c r="D3842"/>
      <c r="G3842"/>
      <c r="L3842"/>
    </row>
    <row r="3843" spans="1:12" x14ac:dyDescent="0.25">
      <c r="A3843"/>
      <c r="B3843"/>
      <c r="D3843"/>
      <c r="G3843"/>
      <c r="L3843"/>
    </row>
    <row r="3844" spans="1:12" x14ac:dyDescent="0.25">
      <c r="A3844"/>
      <c r="B3844"/>
      <c r="D3844"/>
      <c r="G3844"/>
      <c r="L3844"/>
    </row>
    <row r="3845" spans="1:12" x14ac:dyDescent="0.25">
      <c r="A3845"/>
      <c r="B3845"/>
      <c r="D3845"/>
      <c r="G3845"/>
      <c r="L3845"/>
    </row>
    <row r="3846" spans="1:12" x14ac:dyDescent="0.25">
      <c r="A3846"/>
      <c r="B3846"/>
      <c r="D3846"/>
      <c r="G3846"/>
      <c r="L3846"/>
    </row>
    <row r="3847" spans="1:12" x14ac:dyDescent="0.25">
      <c r="A3847"/>
      <c r="B3847"/>
      <c r="D3847"/>
      <c r="G3847"/>
      <c r="L3847"/>
    </row>
    <row r="3848" spans="1:12" x14ac:dyDescent="0.25">
      <c r="A3848"/>
      <c r="B3848"/>
      <c r="D3848"/>
      <c r="G3848"/>
      <c r="L3848"/>
    </row>
    <row r="3849" spans="1:12" x14ac:dyDescent="0.25">
      <c r="A3849"/>
      <c r="B3849"/>
      <c r="D3849"/>
      <c r="G3849"/>
      <c r="L3849"/>
    </row>
    <row r="3850" spans="1:12" x14ac:dyDescent="0.25">
      <c r="A3850"/>
      <c r="B3850"/>
      <c r="D3850"/>
      <c r="G3850"/>
      <c r="L3850"/>
    </row>
    <row r="3851" spans="1:12" x14ac:dyDescent="0.25">
      <c r="A3851"/>
      <c r="B3851"/>
      <c r="D3851"/>
      <c r="G3851"/>
      <c r="L3851"/>
    </row>
    <row r="3852" spans="1:12" x14ac:dyDescent="0.25">
      <c r="A3852"/>
      <c r="B3852"/>
      <c r="D3852"/>
      <c r="G3852"/>
      <c r="L3852"/>
    </row>
    <row r="3853" spans="1:12" x14ac:dyDescent="0.25">
      <c r="A3853"/>
      <c r="B3853"/>
      <c r="D3853"/>
      <c r="G3853"/>
      <c r="L3853"/>
    </row>
    <row r="3854" spans="1:12" x14ac:dyDescent="0.25">
      <c r="A3854"/>
      <c r="B3854"/>
      <c r="D3854"/>
      <c r="G3854"/>
      <c r="L3854"/>
    </row>
    <row r="3855" spans="1:12" x14ac:dyDescent="0.25">
      <c r="A3855"/>
      <c r="B3855"/>
      <c r="D3855"/>
      <c r="G3855"/>
      <c r="L3855"/>
    </row>
    <row r="3856" spans="1:12" x14ac:dyDescent="0.25">
      <c r="A3856"/>
      <c r="B3856"/>
      <c r="D3856"/>
      <c r="G3856"/>
      <c r="L3856"/>
    </row>
    <row r="3857" spans="1:12" x14ac:dyDescent="0.25">
      <c r="A3857"/>
      <c r="B3857"/>
      <c r="D3857"/>
      <c r="G3857"/>
      <c r="L3857"/>
    </row>
    <row r="3858" spans="1:12" x14ac:dyDescent="0.25">
      <c r="A3858"/>
      <c r="B3858"/>
      <c r="D3858"/>
      <c r="G3858"/>
      <c r="L3858"/>
    </row>
    <row r="3859" spans="1:12" x14ac:dyDescent="0.25">
      <c r="A3859"/>
      <c r="B3859"/>
      <c r="D3859"/>
      <c r="G3859"/>
      <c r="L3859"/>
    </row>
    <row r="3860" spans="1:12" x14ac:dyDescent="0.25">
      <c r="A3860"/>
      <c r="B3860"/>
      <c r="D3860"/>
      <c r="G3860"/>
      <c r="L3860"/>
    </row>
    <row r="3861" spans="1:12" x14ac:dyDescent="0.25">
      <c r="A3861"/>
      <c r="B3861"/>
      <c r="D3861"/>
      <c r="G3861"/>
      <c r="L3861"/>
    </row>
    <row r="3862" spans="1:12" x14ac:dyDescent="0.25">
      <c r="A3862"/>
      <c r="B3862"/>
      <c r="D3862"/>
      <c r="G3862"/>
      <c r="L3862"/>
    </row>
    <row r="3863" spans="1:12" x14ac:dyDescent="0.25">
      <c r="A3863"/>
      <c r="B3863"/>
      <c r="D3863"/>
      <c r="G3863"/>
      <c r="L3863"/>
    </row>
    <row r="3864" spans="1:12" x14ac:dyDescent="0.25">
      <c r="A3864"/>
      <c r="B3864"/>
      <c r="D3864"/>
      <c r="G3864"/>
      <c r="L3864"/>
    </row>
    <row r="3865" spans="1:12" x14ac:dyDescent="0.25">
      <c r="A3865"/>
      <c r="B3865"/>
      <c r="D3865"/>
      <c r="G3865"/>
      <c r="L3865"/>
    </row>
    <row r="3866" spans="1:12" x14ac:dyDescent="0.25">
      <c r="A3866"/>
      <c r="B3866"/>
      <c r="D3866"/>
      <c r="G3866"/>
      <c r="L3866"/>
    </row>
    <row r="3867" spans="1:12" x14ac:dyDescent="0.25">
      <c r="A3867"/>
      <c r="B3867"/>
      <c r="D3867"/>
      <c r="G3867"/>
      <c r="L3867"/>
    </row>
    <row r="3868" spans="1:12" x14ac:dyDescent="0.25">
      <c r="A3868"/>
      <c r="B3868"/>
      <c r="D3868"/>
      <c r="G3868"/>
      <c r="L3868"/>
    </row>
    <row r="3869" spans="1:12" x14ac:dyDescent="0.25">
      <c r="A3869"/>
      <c r="B3869"/>
      <c r="D3869"/>
      <c r="G3869"/>
      <c r="L3869"/>
    </row>
    <row r="3870" spans="1:12" x14ac:dyDescent="0.25">
      <c r="A3870"/>
      <c r="B3870"/>
      <c r="D3870"/>
      <c r="G3870"/>
      <c r="L3870"/>
    </row>
    <row r="3871" spans="1:12" x14ac:dyDescent="0.25">
      <c r="A3871"/>
      <c r="B3871"/>
      <c r="D3871"/>
      <c r="G3871"/>
      <c r="L3871"/>
    </row>
    <row r="3872" spans="1:12" x14ac:dyDescent="0.25">
      <c r="A3872"/>
      <c r="B3872"/>
      <c r="D3872"/>
      <c r="G3872"/>
      <c r="L3872"/>
    </row>
    <row r="3873" spans="1:12" x14ac:dyDescent="0.25">
      <c r="A3873"/>
      <c r="B3873"/>
      <c r="D3873"/>
      <c r="G3873"/>
      <c r="L3873"/>
    </row>
    <row r="3874" spans="1:12" x14ac:dyDescent="0.25">
      <c r="A3874"/>
      <c r="B3874"/>
      <c r="D3874"/>
      <c r="G3874"/>
      <c r="L3874"/>
    </row>
    <row r="3875" spans="1:12" x14ac:dyDescent="0.25">
      <c r="A3875"/>
      <c r="B3875"/>
      <c r="D3875"/>
      <c r="G3875"/>
      <c r="L3875"/>
    </row>
    <row r="3876" spans="1:12" x14ac:dyDescent="0.25">
      <c r="A3876"/>
      <c r="B3876"/>
      <c r="D3876"/>
      <c r="G3876"/>
      <c r="L3876"/>
    </row>
    <row r="3877" spans="1:12" x14ac:dyDescent="0.25">
      <c r="A3877"/>
      <c r="B3877"/>
      <c r="D3877"/>
      <c r="G3877"/>
      <c r="L3877"/>
    </row>
    <row r="3878" spans="1:12" x14ac:dyDescent="0.25">
      <c r="A3878"/>
      <c r="B3878"/>
      <c r="D3878"/>
      <c r="G3878"/>
      <c r="L3878"/>
    </row>
    <row r="3879" spans="1:12" x14ac:dyDescent="0.25">
      <c r="A3879"/>
      <c r="B3879"/>
      <c r="D3879"/>
      <c r="G3879"/>
      <c r="L3879"/>
    </row>
    <row r="3880" spans="1:12" x14ac:dyDescent="0.25">
      <c r="A3880"/>
      <c r="B3880"/>
      <c r="D3880"/>
      <c r="G3880"/>
      <c r="L3880"/>
    </row>
    <row r="3881" spans="1:12" x14ac:dyDescent="0.25">
      <c r="A3881"/>
      <c r="B3881"/>
      <c r="D3881"/>
      <c r="G3881"/>
      <c r="L3881"/>
    </row>
    <row r="3882" spans="1:12" x14ac:dyDescent="0.25">
      <c r="A3882"/>
      <c r="B3882"/>
      <c r="D3882"/>
      <c r="G3882"/>
      <c r="L3882"/>
    </row>
    <row r="3883" spans="1:12" x14ac:dyDescent="0.25">
      <c r="A3883"/>
      <c r="B3883"/>
      <c r="D3883"/>
      <c r="G3883"/>
      <c r="L3883"/>
    </row>
    <row r="3884" spans="1:12" x14ac:dyDescent="0.25">
      <c r="A3884"/>
      <c r="B3884"/>
      <c r="D3884"/>
      <c r="G3884"/>
      <c r="L3884"/>
    </row>
    <row r="3885" spans="1:12" x14ac:dyDescent="0.25">
      <c r="A3885"/>
      <c r="B3885"/>
      <c r="D3885"/>
      <c r="G3885"/>
      <c r="L3885"/>
    </row>
    <row r="3886" spans="1:12" x14ac:dyDescent="0.25">
      <c r="A3886"/>
      <c r="B3886"/>
      <c r="D3886"/>
      <c r="G3886"/>
      <c r="L3886"/>
    </row>
    <row r="3887" spans="1:12" x14ac:dyDescent="0.25">
      <c r="A3887"/>
      <c r="B3887"/>
      <c r="D3887"/>
      <c r="G3887"/>
      <c r="L3887"/>
    </row>
    <row r="3888" spans="1:12" x14ac:dyDescent="0.25">
      <c r="A3888"/>
      <c r="B3888"/>
      <c r="D3888"/>
      <c r="G3888"/>
      <c r="L3888"/>
    </row>
    <row r="3889" spans="1:12" x14ac:dyDescent="0.25">
      <c r="A3889"/>
      <c r="B3889"/>
      <c r="D3889"/>
      <c r="G3889"/>
      <c r="L3889"/>
    </row>
    <row r="3890" spans="1:12" x14ac:dyDescent="0.25">
      <c r="A3890"/>
      <c r="B3890"/>
      <c r="D3890"/>
      <c r="G3890"/>
      <c r="L3890"/>
    </row>
    <row r="3891" spans="1:12" x14ac:dyDescent="0.25">
      <c r="A3891"/>
      <c r="B3891"/>
      <c r="D3891"/>
      <c r="G3891"/>
      <c r="L3891"/>
    </row>
    <row r="3892" spans="1:12" x14ac:dyDescent="0.25">
      <c r="A3892"/>
      <c r="B3892"/>
      <c r="D3892"/>
      <c r="G3892"/>
      <c r="L3892"/>
    </row>
    <row r="3893" spans="1:12" x14ac:dyDescent="0.25">
      <c r="A3893"/>
      <c r="B3893"/>
      <c r="D3893"/>
      <c r="G3893"/>
      <c r="L3893"/>
    </row>
    <row r="3894" spans="1:12" x14ac:dyDescent="0.25">
      <c r="A3894"/>
      <c r="B3894"/>
      <c r="D3894"/>
      <c r="G3894"/>
      <c r="L3894"/>
    </row>
    <row r="3895" spans="1:12" x14ac:dyDescent="0.25">
      <c r="A3895"/>
      <c r="B3895"/>
      <c r="D3895"/>
      <c r="G3895"/>
      <c r="L3895"/>
    </row>
    <row r="3896" spans="1:12" x14ac:dyDescent="0.25">
      <c r="A3896"/>
      <c r="B3896"/>
      <c r="D3896"/>
      <c r="G3896"/>
      <c r="L3896"/>
    </row>
    <row r="3897" spans="1:12" x14ac:dyDescent="0.25">
      <c r="A3897"/>
      <c r="B3897"/>
      <c r="D3897"/>
      <c r="G3897"/>
      <c r="L3897"/>
    </row>
    <row r="3898" spans="1:12" x14ac:dyDescent="0.25">
      <c r="A3898"/>
      <c r="B3898"/>
      <c r="D3898"/>
      <c r="G3898"/>
      <c r="L3898"/>
    </row>
    <row r="3899" spans="1:12" x14ac:dyDescent="0.25">
      <c r="A3899"/>
      <c r="B3899"/>
      <c r="D3899"/>
      <c r="G3899"/>
      <c r="L3899"/>
    </row>
    <row r="3900" spans="1:12" x14ac:dyDescent="0.25">
      <c r="A3900"/>
      <c r="B3900"/>
      <c r="D3900"/>
      <c r="G3900"/>
      <c r="L3900"/>
    </row>
    <row r="3901" spans="1:12" x14ac:dyDescent="0.25">
      <c r="A3901"/>
      <c r="B3901"/>
      <c r="D3901"/>
      <c r="G3901"/>
      <c r="L3901"/>
    </row>
    <row r="3902" spans="1:12" x14ac:dyDescent="0.25">
      <c r="A3902"/>
      <c r="B3902"/>
      <c r="D3902"/>
      <c r="G3902"/>
      <c r="L3902"/>
    </row>
    <row r="3903" spans="1:12" x14ac:dyDescent="0.25">
      <c r="A3903"/>
      <c r="B3903"/>
      <c r="D3903"/>
      <c r="G3903"/>
      <c r="L3903"/>
    </row>
    <row r="3904" spans="1:12" x14ac:dyDescent="0.25">
      <c r="A3904"/>
      <c r="B3904"/>
      <c r="D3904"/>
      <c r="G3904"/>
      <c r="L3904"/>
    </row>
    <row r="3905" spans="1:12" x14ac:dyDescent="0.25">
      <c r="A3905"/>
      <c r="B3905"/>
      <c r="D3905"/>
      <c r="G3905"/>
      <c r="L3905"/>
    </row>
    <row r="3906" spans="1:12" x14ac:dyDescent="0.25">
      <c r="A3906"/>
      <c r="B3906"/>
      <c r="D3906"/>
      <c r="G3906"/>
      <c r="L3906"/>
    </row>
    <row r="3907" spans="1:12" x14ac:dyDescent="0.25">
      <c r="A3907"/>
      <c r="B3907"/>
      <c r="D3907"/>
      <c r="G3907"/>
      <c r="L3907"/>
    </row>
    <row r="3908" spans="1:12" x14ac:dyDescent="0.25">
      <c r="A3908"/>
      <c r="B3908"/>
      <c r="D3908"/>
      <c r="G3908"/>
      <c r="L3908"/>
    </row>
    <row r="3909" spans="1:12" x14ac:dyDescent="0.25">
      <c r="A3909"/>
      <c r="B3909"/>
      <c r="D3909"/>
      <c r="G3909"/>
      <c r="L3909"/>
    </row>
    <row r="3910" spans="1:12" x14ac:dyDescent="0.25">
      <c r="A3910"/>
      <c r="B3910"/>
      <c r="D3910"/>
      <c r="G3910"/>
      <c r="L3910"/>
    </row>
    <row r="3911" spans="1:12" x14ac:dyDescent="0.25">
      <c r="A3911"/>
      <c r="B3911"/>
      <c r="D3911"/>
      <c r="G3911"/>
      <c r="L3911"/>
    </row>
    <row r="3912" spans="1:12" x14ac:dyDescent="0.25">
      <c r="A3912"/>
      <c r="B3912"/>
      <c r="D3912"/>
      <c r="G3912"/>
      <c r="L3912"/>
    </row>
    <row r="3913" spans="1:12" x14ac:dyDescent="0.25">
      <c r="A3913"/>
      <c r="B3913"/>
      <c r="D3913"/>
      <c r="G3913"/>
      <c r="L3913"/>
    </row>
    <row r="3914" spans="1:12" x14ac:dyDescent="0.25">
      <c r="A3914"/>
      <c r="B3914"/>
      <c r="D3914"/>
      <c r="G3914"/>
      <c r="L3914"/>
    </row>
    <row r="3915" spans="1:12" x14ac:dyDescent="0.25">
      <c r="A3915"/>
      <c r="B3915"/>
      <c r="D3915"/>
      <c r="G3915"/>
      <c r="L3915"/>
    </row>
    <row r="3916" spans="1:12" x14ac:dyDescent="0.25">
      <c r="A3916"/>
      <c r="B3916"/>
      <c r="D3916"/>
      <c r="G3916"/>
      <c r="L3916"/>
    </row>
    <row r="3917" spans="1:12" x14ac:dyDescent="0.25">
      <c r="A3917"/>
      <c r="B3917"/>
      <c r="D3917"/>
      <c r="G3917"/>
      <c r="L3917"/>
    </row>
    <row r="3918" spans="1:12" x14ac:dyDescent="0.25">
      <c r="A3918"/>
      <c r="B3918"/>
      <c r="D3918"/>
      <c r="G3918"/>
      <c r="L3918"/>
    </row>
    <row r="3919" spans="1:12" x14ac:dyDescent="0.25">
      <c r="A3919"/>
      <c r="B3919"/>
      <c r="D3919"/>
      <c r="G3919"/>
      <c r="L3919"/>
    </row>
    <row r="3920" spans="1:12" x14ac:dyDescent="0.25">
      <c r="A3920"/>
      <c r="B3920"/>
      <c r="D3920"/>
      <c r="G3920"/>
      <c r="L3920"/>
    </row>
    <row r="3921" spans="1:12" x14ac:dyDescent="0.25">
      <c r="A3921"/>
      <c r="B3921"/>
      <c r="D3921"/>
      <c r="G3921"/>
      <c r="L3921"/>
    </row>
    <row r="3922" spans="1:12" x14ac:dyDescent="0.25">
      <c r="A3922"/>
      <c r="B3922"/>
      <c r="D3922"/>
      <c r="G3922"/>
      <c r="L3922"/>
    </row>
    <row r="3923" spans="1:12" x14ac:dyDescent="0.25">
      <c r="A3923"/>
      <c r="B3923"/>
      <c r="D3923"/>
      <c r="G3923"/>
      <c r="L3923"/>
    </row>
    <row r="3924" spans="1:12" x14ac:dyDescent="0.25">
      <c r="A3924"/>
      <c r="B3924"/>
      <c r="D3924"/>
      <c r="G3924"/>
      <c r="L3924"/>
    </row>
    <row r="3925" spans="1:12" x14ac:dyDescent="0.25">
      <c r="A3925"/>
      <c r="B3925"/>
      <c r="D3925"/>
      <c r="G3925"/>
      <c r="L3925"/>
    </row>
    <row r="3926" spans="1:12" x14ac:dyDescent="0.25">
      <c r="A3926"/>
      <c r="B3926"/>
      <c r="D3926"/>
      <c r="G3926"/>
      <c r="L3926"/>
    </row>
    <row r="3927" spans="1:12" x14ac:dyDescent="0.25">
      <c r="A3927"/>
      <c r="B3927"/>
      <c r="D3927"/>
      <c r="G3927"/>
      <c r="L3927"/>
    </row>
    <row r="3928" spans="1:12" x14ac:dyDescent="0.25">
      <c r="A3928"/>
      <c r="B3928"/>
      <c r="D3928"/>
      <c r="G3928"/>
      <c r="L3928"/>
    </row>
    <row r="3929" spans="1:12" x14ac:dyDescent="0.25">
      <c r="A3929"/>
      <c r="B3929"/>
      <c r="D3929"/>
      <c r="G3929"/>
      <c r="L3929"/>
    </row>
    <row r="3930" spans="1:12" x14ac:dyDescent="0.25">
      <c r="A3930"/>
      <c r="B3930"/>
      <c r="D3930"/>
      <c r="G3930"/>
      <c r="L3930"/>
    </row>
    <row r="3931" spans="1:12" x14ac:dyDescent="0.25">
      <c r="A3931"/>
      <c r="B3931"/>
      <c r="D3931"/>
      <c r="G3931"/>
      <c r="L3931"/>
    </row>
    <row r="3932" spans="1:12" x14ac:dyDescent="0.25">
      <c r="A3932"/>
      <c r="B3932"/>
      <c r="D3932"/>
      <c r="G3932"/>
      <c r="L3932"/>
    </row>
    <row r="3933" spans="1:12" x14ac:dyDescent="0.25">
      <c r="A3933"/>
      <c r="B3933"/>
      <c r="D3933"/>
      <c r="G3933"/>
      <c r="L3933"/>
    </row>
    <row r="3934" spans="1:12" x14ac:dyDescent="0.25">
      <c r="A3934"/>
      <c r="B3934"/>
      <c r="D3934"/>
      <c r="G3934"/>
      <c r="L3934"/>
    </row>
    <row r="3935" spans="1:12" x14ac:dyDescent="0.25">
      <c r="A3935"/>
      <c r="B3935"/>
      <c r="D3935"/>
      <c r="G3935"/>
      <c r="L3935"/>
    </row>
    <row r="3936" spans="1:12" x14ac:dyDescent="0.25">
      <c r="A3936"/>
      <c r="B3936"/>
      <c r="D3936"/>
      <c r="G3936"/>
      <c r="L3936"/>
    </row>
    <row r="3937" spans="1:12" x14ac:dyDescent="0.25">
      <c r="A3937"/>
      <c r="B3937"/>
      <c r="D3937"/>
      <c r="G3937"/>
      <c r="L3937"/>
    </row>
    <row r="3938" spans="1:12" x14ac:dyDescent="0.25">
      <c r="A3938"/>
      <c r="B3938"/>
      <c r="D3938"/>
      <c r="G3938"/>
      <c r="L3938"/>
    </row>
    <row r="3939" spans="1:12" x14ac:dyDescent="0.25">
      <c r="A3939"/>
      <c r="B3939"/>
      <c r="D3939"/>
      <c r="G3939"/>
      <c r="L3939"/>
    </row>
    <row r="3940" spans="1:12" x14ac:dyDescent="0.25">
      <c r="A3940"/>
      <c r="B3940"/>
      <c r="D3940"/>
      <c r="G3940"/>
      <c r="L3940"/>
    </row>
    <row r="3941" spans="1:12" x14ac:dyDescent="0.25">
      <c r="A3941"/>
      <c r="B3941"/>
      <c r="D3941"/>
      <c r="G3941"/>
      <c r="L3941"/>
    </row>
    <row r="3942" spans="1:12" x14ac:dyDescent="0.25">
      <c r="A3942"/>
      <c r="B3942"/>
      <c r="D3942"/>
      <c r="G3942"/>
      <c r="L3942"/>
    </row>
    <row r="3943" spans="1:12" x14ac:dyDescent="0.25">
      <c r="A3943"/>
      <c r="B3943"/>
      <c r="D3943"/>
      <c r="G3943"/>
      <c r="L3943"/>
    </row>
    <row r="3944" spans="1:12" x14ac:dyDescent="0.25">
      <c r="A3944"/>
      <c r="B3944"/>
      <c r="D3944"/>
      <c r="G3944"/>
      <c r="L3944"/>
    </row>
    <row r="3945" spans="1:12" x14ac:dyDescent="0.25">
      <c r="A3945"/>
      <c r="B3945"/>
      <c r="D3945"/>
      <c r="G3945"/>
      <c r="L3945"/>
    </row>
    <row r="3946" spans="1:12" x14ac:dyDescent="0.25">
      <c r="A3946"/>
      <c r="B3946"/>
      <c r="D3946"/>
      <c r="G3946"/>
      <c r="L3946"/>
    </row>
    <row r="3947" spans="1:12" x14ac:dyDescent="0.25">
      <c r="A3947"/>
      <c r="B3947"/>
      <c r="D3947"/>
      <c r="G3947"/>
      <c r="L3947"/>
    </row>
    <row r="3948" spans="1:12" x14ac:dyDescent="0.25">
      <c r="A3948"/>
      <c r="B3948"/>
      <c r="D3948"/>
      <c r="G3948"/>
      <c r="L3948"/>
    </row>
    <row r="3949" spans="1:12" x14ac:dyDescent="0.25">
      <c r="A3949"/>
      <c r="B3949"/>
      <c r="D3949"/>
      <c r="G3949"/>
      <c r="L3949"/>
    </row>
    <row r="3950" spans="1:12" x14ac:dyDescent="0.25">
      <c r="A3950"/>
      <c r="B3950"/>
      <c r="D3950"/>
      <c r="G3950"/>
      <c r="L3950"/>
    </row>
    <row r="3951" spans="1:12" x14ac:dyDescent="0.25">
      <c r="A3951"/>
      <c r="B3951"/>
      <c r="D3951"/>
      <c r="G3951"/>
      <c r="L3951"/>
    </row>
    <row r="3952" spans="1:12" x14ac:dyDescent="0.25">
      <c r="A3952"/>
      <c r="B3952"/>
      <c r="D3952"/>
      <c r="G3952"/>
      <c r="L3952"/>
    </row>
    <row r="3953" spans="1:12" x14ac:dyDescent="0.25">
      <c r="A3953"/>
      <c r="B3953"/>
      <c r="D3953"/>
      <c r="G3953"/>
      <c r="L3953"/>
    </row>
    <row r="3954" spans="1:12" x14ac:dyDescent="0.25">
      <c r="A3954"/>
      <c r="B3954"/>
      <c r="D3954"/>
      <c r="G3954"/>
      <c r="L3954"/>
    </row>
    <row r="3955" spans="1:12" x14ac:dyDescent="0.25">
      <c r="A3955"/>
      <c r="B3955"/>
      <c r="D3955"/>
      <c r="G3955"/>
      <c r="L3955"/>
    </row>
    <row r="3956" spans="1:12" x14ac:dyDescent="0.25">
      <c r="A3956"/>
      <c r="B3956"/>
      <c r="D3956"/>
      <c r="G3956"/>
      <c r="L3956"/>
    </row>
    <row r="3957" spans="1:12" x14ac:dyDescent="0.25">
      <c r="A3957"/>
      <c r="B3957"/>
      <c r="D3957"/>
      <c r="G3957"/>
      <c r="L3957"/>
    </row>
    <row r="3958" spans="1:12" x14ac:dyDescent="0.25">
      <c r="A3958"/>
      <c r="B3958"/>
      <c r="D3958"/>
      <c r="G3958"/>
      <c r="L3958"/>
    </row>
    <row r="3959" spans="1:12" x14ac:dyDescent="0.25">
      <c r="A3959"/>
      <c r="B3959"/>
      <c r="D3959"/>
      <c r="G3959"/>
      <c r="L3959"/>
    </row>
    <row r="3960" spans="1:12" x14ac:dyDescent="0.25">
      <c r="A3960"/>
      <c r="B3960"/>
      <c r="D3960"/>
      <c r="G3960"/>
      <c r="L3960"/>
    </row>
    <row r="3961" spans="1:12" x14ac:dyDescent="0.25">
      <c r="A3961"/>
      <c r="B3961"/>
      <c r="D3961"/>
      <c r="G3961"/>
      <c r="L3961"/>
    </row>
    <row r="3962" spans="1:12" x14ac:dyDescent="0.25">
      <c r="A3962"/>
      <c r="B3962"/>
      <c r="D3962"/>
      <c r="G3962"/>
      <c r="L3962"/>
    </row>
    <row r="3963" spans="1:12" x14ac:dyDescent="0.25">
      <c r="A3963"/>
      <c r="B3963"/>
      <c r="D3963"/>
      <c r="G3963"/>
      <c r="L3963"/>
    </row>
    <row r="3964" spans="1:12" x14ac:dyDescent="0.25">
      <c r="A3964"/>
      <c r="B3964"/>
      <c r="D3964"/>
      <c r="G3964"/>
      <c r="L3964"/>
    </row>
    <row r="3965" spans="1:12" x14ac:dyDescent="0.25">
      <c r="A3965"/>
      <c r="B3965"/>
      <c r="D3965"/>
      <c r="G3965"/>
      <c r="L3965"/>
    </row>
    <row r="3966" spans="1:12" x14ac:dyDescent="0.25">
      <c r="A3966"/>
      <c r="B3966"/>
      <c r="D3966"/>
      <c r="G3966"/>
      <c r="L3966"/>
    </row>
    <row r="3967" spans="1:12" x14ac:dyDescent="0.25">
      <c r="A3967"/>
      <c r="B3967"/>
      <c r="D3967"/>
      <c r="G3967"/>
      <c r="L3967"/>
    </row>
    <row r="3968" spans="1:12" x14ac:dyDescent="0.25">
      <c r="A3968"/>
      <c r="B3968"/>
      <c r="D3968"/>
      <c r="G3968"/>
      <c r="L3968"/>
    </row>
    <row r="3969" spans="1:12" x14ac:dyDescent="0.25">
      <c r="A3969"/>
      <c r="B3969"/>
      <c r="D3969"/>
      <c r="G3969"/>
      <c r="L3969"/>
    </row>
    <row r="3970" spans="1:12" x14ac:dyDescent="0.25">
      <c r="A3970"/>
      <c r="B3970"/>
      <c r="D3970"/>
      <c r="G3970"/>
      <c r="L3970"/>
    </row>
    <row r="3971" spans="1:12" x14ac:dyDescent="0.25">
      <c r="A3971"/>
      <c r="B3971"/>
      <c r="D3971"/>
      <c r="G3971"/>
      <c r="L3971"/>
    </row>
    <row r="3972" spans="1:12" x14ac:dyDescent="0.25">
      <c r="A3972"/>
      <c r="B3972"/>
      <c r="D3972"/>
      <c r="G3972"/>
      <c r="L3972"/>
    </row>
    <row r="3973" spans="1:12" x14ac:dyDescent="0.25">
      <c r="A3973"/>
      <c r="B3973"/>
      <c r="D3973"/>
      <c r="G3973"/>
      <c r="L3973"/>
    </row>
    <row r="3974" spans="1:12" x14ac:dyDescent="0.25">
      <c r="A3974"/>
      <c r="B3974"/>
      <c r="D3974"/>
      <c r="G3974"/>
      <c r="L3974"/>
    </row>
    <row r="3975" spans="1:12" x14ac:dyDescent="0.25">
      <c r="A3975"/>
      <c r="B3975"/>
      <c r="D3975"/>
      <c r="G3975"/>
      <c r="L3975"/>
    </row>
    <row r="3976" spans="1:12" x14ac:dyDescent="0.25">
      <c r="A3976"/>
      <c r="B3976"/>
      <c r="D3976"/>
      <c r="G3976"/>
      <c r="L3976"/>
    </row>
    <row r="3977" spans="1:12" x14ac:dyDescent="0.25">
      <c r="A3977"/>
      <c r="B3977"/>
      <c r="D3977"/>
      <c r="G3977"/>
      <c r="L3977"/>
    </row>
    <row r="3978" spans="1:12" x14ac:dyDescent="0.25">
      <c r="A3978"/>
      <c r="B3978"/>
      <c r="D3978"/>
      <c r="G3978"/>
      <c r="L3978"/>
    </row>
    <row r="3979" spans="1:12" x14ac:dyDescent="0.25">
      <c r="A3979"/>
      <c r="B3979"/>
      <c r="D3979"/>
      <c r="G3979"/>
      <c r="L3979"/>
    </row>
    <row r="3980" spans="1:12" x14ac:dyDescent="0.25">
      <c r="A3980"/>
      <c r="B3980"/>
      <c r="D3980"/>
      <c r="G3980"/>
      <c r="L3980"/>
    </row>
    <row r="3981" spans="1:12" x14ac:dyDescent="0.25">
      <c r="A3981"/>
      <c r="B3981"/>
      <c r="D3981"/>
      <c r="G3981"/>
      <c r="L3981"/>
    </row>
    <row r="3982" spans="1:12" x14ac:dyDescent="0.25">
      <c r="A3982"/>
      <c r="B3982"/>
      <c r="D3982"/>
      <c r="G3982"/>
      <c r="L3982"/>
    </row>
    <row r="3983" spans="1:12" x14ac:dyDescent="0.25">
      <c r="A3983"/>
      <c r="B3983"/>
      <c r="D3983"/>
      <c r="G3983"/>
      <c r="L3983"/>
    </row>
    <row r="3984" spans="1:12" x14ac:dyDescent="0.25">
      <c r="A3984"/>
      <c r="B3984"/>
      <c r="D3984"/>
      <c r="G3984"/>
      <c r="L3984"/>
    </row>
    <row r="3985" spans="1:12" x14ac:dyDescent="0.25">
      <c r="A3985"/>
      <c r="B3985"/>
      <c r="D3985"/>
      <c r="G3985"/>
      <c r="L3985"/>
    </row>
    <row r="3986" spans="1:12" x14ac:dyDescent="0.25">
      <c r="A3986"/>
      <c r="B3986"/>
      <c r="D3986"/>
      <c r="G3986"/>
      <c r="L3986"/>
    </row>
    <row r="3987" spans="1:12" x14ac:dyDescent="0.25">
      <c r="A3987"/>
      <c r="B3987"/>
      <c r="D3987"/>
      <c r="G3987"/>
      <c r="L3987"/>
    </row>
    <row r="3988" spans="1:12" x14ac:dyDescent="0.25">
      <c r="A3988"/>
      <c r="B3988"/>
      <c r="D3988"/>
      <c r="G3988"/>
      <c r="L3988"/>
    </row>
    <row r="3989" spans="1:12" x14ac:dyDescent="0.25">
      <c r="A3989"/>
      <c r="B3989"/>
      <c r="D3989"/>
      <c r="G3989"/>
      <c r="L3989"/>
    </row>
    <row r="3990" spans="1:12" x14ac:dyDescent="0.25">
      <c r="A3990"/>
      <c r="B3990"/>
      <c r="D3990"/>
      <c r="G3990"/>
      <c r="L3990"/>
    </row>
    <row r="3991" spans="1:12" x14ac:dyDescent="0.25">
      <c r="A3991"/>
      <c r="B3991"/>
      <c r="D3991"/>
      <c r="G3991"/>
      <c r="L3991"/>
    </row>
    <row r="3992" spans="1:12" x14ac:dyDescent="0.25">
      <c r="A3992"/>
      <c r="B3992"/>
      <c r="D3992"/>
      <c r="G3992"/>
      <c r="L3992"/>
    </row>
    <row r="3993" spans="1:12" x14ac:dyDescent="0.25">
      <c r="A3993"/>
      <c r="B3993"/>
      <c r="D3993"/>
      <c r="G3993"/>
      <c r="L3993"/>
    </row>
    <row r="3994" spans="1:12" x14ac:dyDescent="0.25">
      <c r="A3994"/>
      <c r="B3994"/>
      <c r="D3994"/>
      <c r="G3994"/>
      <c r="L3994"/>
    </row>
    <row r="3995" spans="1:12" x14ac:dyDescent="0.25">
      <c r="A3995"/>
      <c r="B3995"/>
      <c r="D3995"/>
      <c r="G3995"/>
      <c r="L3995"/>
    </row>
    <row r="3996" spans="1:12" x14ac:dyDescent="0.25">
      <c r="A3996"/>
      <c r="B3996"/>
      <c r="D3996"/>
      <c r="G3996"/>
      <c r="L3996"/>
    </row>
    <row r="3997" spans="1:12" x14ac:dyDescent="0.25">
      <c r="A3997"/>
      <c r="B3997"/>
      <c r="D3997"/>
      <c r="G3997"/>
      <c r="L3997"/>
    </row>
    <row r="3998" spans="1:12" x14ac:dyDescent="0.25">
      <c r="A3998"/>
      <c r="B3998"/>
      <c r="D3998"/>
      <c r="G3998"/>
      <c r="L3998"/>
    </row>
    <row r="3999" spans="1:12" x14ac:dyDescent="0.25">
      <c r="A3999"/>
      <c r="B3999"/>
      <c r="D3999"/>
      <c r="G3999"/>
      <c r="L3999"/>
    </row>
    <row r="4000" spans="1:12" x14ac:dyDescent="0.25">
      <c r="A4000"/>
      <c r="B4000"/>
      <c r="D4000"/>
      <c r="G4000"/>
      <c r="L4000"/>
    </row>
    <row r="4001" spans="1:12" x14ac:dyDescent="0.25">
      <c r="A4001"/>
      <c r="B4001"/>
      <c r="D4001"/>
      <c r="G4001"/>
      <c r="L4001"/>
    </row>
    <row r="4002" spans="1:12" x14ac:dyDescent="0.25">
      <c r="A4002"/>
      <c r="B4002"/>
      <c r="D4002"/>
      <c r="G4002"/>
      <c r="L4002"/>
    </row>
    <row r="4003" spans="1:12" x14ac:dyDescent="0.25">
      <c r="A4003"/>
      <c r="B4003"/>
      <c r="D4003"/>
      <c r="G4003"/>
      <c r="L4003"/>
    </row>
    <row r="4004" spans="1:12" x14ac:dyDescent="0.25">
      <c r="A4004"/>
      <c r="B4004"/>
      <c r="D4004"/>
      <c r="G4004"/>
      <c r="L4004"/>
    </row>
    <row r="4005" spans="1:12" x14ac:dyDescent="0.25">
      <c r="A4005"/>
      <c r="B4005"/>
      <c r="D4005"/>
      <c r="G4005"/>
      <c r="L4005"/>
    </row>
    <row r="4006" spans="1:12" x14ac:dyDescent="0.25">
      <c r="A4006"/>
      <c r="B4006"/>
      <c r="D4006"/>
      <c r="G4006"/>
      <c r="L4006"/>
    </row>
    <row r="4007" spans="1:12" x14ac:dyDescent="0.25">
      <c r="A4007"/>
      <c r="B4007"/>
      <c r="D4007"/>
      <c r="G4007"/>
      <c r="L4007"/>
    </row>
    <row r="4008" spans="1:12" x14ac:dyDescent="0.25">
      <c r="A4008"/>
      <c r="B4008"/>
      <c r="D4008"/>
      <c r="G4008"/>
      <c r="L4008"/>
    </row>
    <row r="4009" spans="1:12" x14ac:dyDescent="0.25">
      <c r="A4009"/>
      <c r="B4009"/>
      <c r="D4009"/>
      <c r="G4009"/>
      <c r="L4009"/>
    </row>
    <row r="4010" spans="1:12" x14ac:dyDescent="0.25">
      <c r="A4010"/>
      <c r="B4010"/>
      <c r="D4010"/>
      <c r="G4010"/>
      <c r="L4010"/>
    </row>
    <row r="4011" spans="1:12" x14ac:dyDescent="0.25">
      <c r="A4011"/>
      <c r="B4011"/>
      <c r="D4011"/>
      <c r="G4011"/>
      <c r="L4011"/>
    </row>
    <row r="4012" spans="1:12" x14ac:dyDescent="0.25">
      <c r="A4012"/>
      <c r="B4012"/>
      <c r="D4012"/>
      <c r="G4012"/>
      <c r="L4012"/>
    </row>
    <row r="4013" spans="1:12" x14ac:dyDescent="0.25">
      <c r="A4013"/>
      <c r="B4013"/>
      <c r="D4013"/>
      <c r="G4013"/>
      <c r="L4013"/>
    </row>
    <row r="4014" spans="1:12" x14ac:dyDescent="0.25">
      <c r="A4014"/>
      <c r="B4014"/>
      <c r="D4014"/>
      <c r="G4014"/>
      <c r="L4014"/>
    </row>
    <row r="4015" spans="1:12" x14ac:dyDescent="0.25">
      <c r="A4015"/>
      <c r="B4015"/>
      <c r="D4015"/>
      <c r="G4015"/>
      <c r="L4015"/>
    </row>
    <row r="4016" spans="1:12" x14ac:dyDescent="0.25">
      <c r="A4016"/>
      <c r="B4016"/>
      <c r="D4016"/>
      <c r="G4016"/>
      <c r="L4016"/>
    </row>
    <row r="4017" spans="1:12" x14ac:dyDescent="0.25">
      <c r="A4017"/>
      <c r="B4017"/>
      <c r="D4017"/>
      <c r="G4017"/>
      <c r="L4017"/>
    </row>
    <row r="4018" spans="1:12" x14ac:dyDescent="0.25">
      <c r="A4018"/>
      <c r="B4018"/>
      <c r="D4018"/>
      <c r="G4018"/>
      <c r="L4018"/>
    </row>
    <row r="4019" spans="1:12" x14ac:dyDescent="0.25">
      <c r="A4019"/>
      <c r="B4019"/>
      <c r="D4019"/>
      <c r="G4019"/>
      <c r="L4019"/>
    </row>
    <row r="4020" spans="1:12" x14ac:dyDescent="0.25">
      <c r="A4020"/>
      <c r="B4020"/>
      <c r="D4020"/>
      <c r="G4020"/>
      <c r="L4020"/>
    </row>
    <row r="4021" spans="1:12" x14ac:dyDescent="0.25">
      <c r="A4021"/>
      <c r="B4021"/>
      <c r="D4021"/>
      <c r="G4021"/>
      <c r="L4021"/>
    </row>
    <row r="4022" spans="1:12" x14ac:dyDescent="0.25">
      <c r="A4022"/>
      <c r="B4022"/>
      <c r="D4022"/>
      <c r="G4022"/>
      <c r="L4022"/>
    </row>
    <row r="4023" spans="1:12" x14ac:dyDescent="0.25">
      <c r="A4023"/>
      <c r="B4023"/>
      <c r="D4023"/>
      <c r="G4023"/>
      <c r="L4023"/>
    </row>
    <row r="4024" spans="1:12" x14ac:dyDescent="0.25">
      <c r="A4024"/>
      <c r="B4024"/>
      <c r="D4024"/>
      <c r="G4024"/>
      <c r="L4024"/>
    </row>
    <row r="4025" spans="1:12" x14ac:dyDescent="0.25">
      <c r="A4025"/>
      <c r="B4025"/>
      <c r="D4025"/>
      <c r="G4025"/>
      <c r="L4025"/>
    </row>
    <row r="4026" spans="1:12" x14ac:dyDescent="0.25">
      <c r="A4026"/>
      <c r="B4026"/>
      <c r="D4026"/>
      <c r="G4026"/>
      <c r="L4026"/>
    </row>
    <row r="4027" spans="1:12" x14ac:dyDescent="0.25">
      <c r="A4027"/>
      <c r="B4027"/>
      <c r="D4027"/>
      <c r="G4027"/>
      <c r="L4027"/>
    </row>
    <row r="4028" spans="1:12" x14ac:dyDescent="0.25">
      <c r="A4028"/>
      <c r="B4028"/>
      <c r="D4028"/>
      <c r="G4028"/>
      <c r="L4028"/>
    </row>
    <row r="4029" spans="1:12" x14ac:dyDescent="0.25">
      <c r="A4029"/>
      <c r="B4029"/>
      <c r="D4029"/>
      <c r="G4029"/>
      <c r="L4029"/>
    </row>
    <row r="4030" spans="1:12" x14ac:dyDescent="0.25">
      <c r="A4030"/>
      <c r="B4030"/>
      <c r="D4030"/>
      <c r="G4030"/>
      <c r="L4030"/>
    </row>
    <row r="4031" spans="1:12" x14ac:dyDescent="0.25">
      <c r="A4031"/>
      <c r="B4031"/>
      <c r="D4031"/>
      <c r="G4031"/>
      <c r="L4031"/>
    </row>
    <row r="4032" spans="1:12" x14ac:dyDescent="0.25">
      <c r="A4032"/>
      <c r="B4032"/>
      <c r="D4032"/>
      <c r="G4032"/>
      <c r="L4032"/>
    </row>
    <row r="4033" spans="1:12" x14ac:dyDescent="0.25">
      <c r="A4033"/>
      <c r="B4033"/>
      <c r="D4033"/>
      <c r="G4033"/>
      <c r="L4033"/>
    </row>
    <row r="4034" spans="1:12" x14ac:dyDescent="0.25">
      <c r="A4034"/>
      <c r="B4034"/>
      <c r="D4034"/>
      <c r="G4034"/>
      <c r="L4034"/>
    </row>
    <row r="4035" spans="1:12" x14ac:dyDescent="0.25">
      <c r="A4035"/>
      <c r="B4035"/>
      <c r="D4035"/>
      <c r="G4035"/>
      <c r="L4035"/>
    </row>
    <row r="4036" spans="1:12" x14ac:dyDescent="0.25">
      <c r="A4036"/>
      <c r="B4036"/>
      <c r="D4036"/>
      <c r="G4036"/>
      <c r="L4036"/>
    </row>
    <row r="4037" spans="1:12" x14ac:dyDescent="0.25">
      <c r="A4037"/>
      <c r="B4037"/>
      <c r="D4037"/>
      <c r="G4037"/>
      <c r="L4037"/>
    </row>
    <row r="4038" spans="1:12" x14ac:dyDescent="0.25">
      <c r="A4038"/>
      <c r="B4038"/>
      <c r="D4038"/>
      <c r="G4038"/>
      <c r="L4038"/>
    </row>
    <row r="4039" spans="1:12" x14ac:dyDescent="0.25">
      <c r="A4039"/>
      <c r="B4039"/>
      <c r="D4039"/>
      <c r="G4039"/>
      <c r="L4039"/>
    </row>
    <row r="4040" spans="1:12" x14ac:dyDescent="0.25">
      <c r="A4040"/>
      <c r="B4040"/>
      <c r="D4040"/>
      <c r="G4040"/>
      <c r="L4040"/>
    </row>
    <row r="4041" spans="1:12" x14ac:dyDescent="0.25">
      <c r="A4041"/>
      <c r="B4041"/>
      <c r="D4041"/>
      <c r="G4041"/>
      <c r="L4041"/>
    </row>
    <row r="4042" spans="1:12" x14ac:dyDescent="0.25">
      <c r="A4042"/>
      <c r="B4042"/>
      <c r="D4042"/>
      <c r="G4042"/>
      <c r="L4042"/>
    </row>
    <row r="4043" spans="1:12" x14ac:dyDescent="0.25">
      <c r="A4043"/>
      <c r="B4043"/>
      <c r="D4043"/>
      <c r="G4043"/>
      <c r="L4043"/>
    </row>
    <row r="4044" spans="1:12" x14ac:dyDescent="0.25">
      <c r="A4044"/>
      <c r="B4044"/>
      <c r="D4044"/>
      <c r="G4044"/>
      <c r="L4044"/>
    </row>
    <row r="4045" spans="1:12" x14ac:dyDescent="0.25">
      <c r="A4045"/>
      <c r="B4045"/>
      <c r="D4045"/>
      <c r="G4045"/>
      <c r="L4045"/>
    </row>
    <row r="4046" spans="1:12" x14ac:dyDescent="0.25">
      <c r="A4046"/>
      <c r="B4046"/>
      <c r="D4046"/>
      <c r="G4046"/>
      <c r="L4046"/>
    </row>
    <row r="4047" spans="1:12" x14ac:dyDescent="0.25">
      <c r="A4047"/>
      <c r="B4047"/>
      <c r="D4047"/>
      <c r="G4047"/>
      <c r="L4047"/>
    </row>
    <row r="4048" spans="1:12" x14ac:dyDescent="0.25">
      <c r="A4048"/>
      <c r="B4048"/>
      <c r="D4048"/>
      <c r="G4048"/>
      <c r="L4048"/>
    </row>
    <row r="4049" spans="1:12" x14ac:dyDescent="0.25">
      <c r="A4049"/>
      <c r="B4049"/>
      <c r="D4049"/>
      <c r="G4049"/>
      <c r="L4049"/>
    </row>
    <row r="4050" spans="1:12" x14ac:dyDescent="0.25">
      <c r="A4050"/>
      <c r="B4050"/>
      <c r="D4050"/>
      <c r="G4050"/>
      <c r="L4050"/>
    </row>
    <row r="4051" spans="1:12" x14ac:dyDescent="0.25">
      <c r="A4051"/>
      <c r="B4051"/>
      <c r="D4051"/>
      <c r="G4051"/>
      <c r="L4051"/>
    </row>
    <row r="4052" spans="1:12" x14ac:dyDescent="0.25">
      <c r="A4052"/>
      <c r="B4052"/>
      <c r="D4052"/>
      <c r="G4052"/>
      <c r="L4052"/>
    </row>
    <row r="4053" spans="1:12" x14ac:dyDescent="0.25">
      <c r="A4053"/>
      <c r="B4053"/>
      <c r="D4053"/>
      <c r="G4053"/>
      <c r="L4053"/>
    </row>
    <row r="4054" spans="1:12" x14ac:dyDescent="0.25">
      <c r="A4054"/>
      <c r="B4054"/>
      <c r="D4054"/>
      <c r="G4054"/>
      <c r="L4054"/>
    </row>
    <row r="4055" spans="1:12" x14ac:dyDescent="0.25">
      <c r="A4055"/>
      <c r="B4055"/>
      <c r="D4055"/>
      <c r="G4055"/>
      <c r="L4055"/>
    </row>
    <row r="4056" spans="1:12" x14ac:dyDescent="0.25">
      <c r="A4056"/>
      <c r="B4056"/>
      <c r="D4056"/>
      <c r="G4056"/>
      <c r="L4056"/>
    </row>
    <row r="4057" spans="1:12" x14ac:dyDescent="0.25">
      <c r="A4057"/>
      <c r="B4057"/>
      <c r="D4057"/>
      <c r="G4057"/>
      <c r="L4057"/>
    </row>
    <row r="4058" spans="1:12" x14ac:dyDescent="0.25">
      <c r="A4058"/>
      <c r="B4058"/>
      <c r="D4058"/>
      <c r="G4058"/>
      <c r="L4058"/>
    </row>
    <row r="4059" spans="1:12" x14ac:dyDescent="0.25">
      <c r="A4059"/>
      <c r="B4059"/>
      <c r="D4059"/>
      <c r="G4059"/>
      <c r="L4059"/>
    </row>
    <row r="4060" spans="1:12" x14ac:dyDescent="0.25">
      <c r="A4060"/>
      <c r="B4060"/>
      <c r="D4060"/>
      <c r="G4060"/>
      <c r="L4060"/>
    </row>
    <row r="4061" spans="1:12" x14ac:dyDescent="0.25">
      <c r="A4061"/>
      <c r="B4061"/>
      <c r="D4061"/>
      <c r="G4061"/>
      <c r="L4061"/>
    </row>
    <row r="4062" spans="1:12" x14ac:dyDescent="0.25">
      <c r="A4062"/>
      <c r="B4062"/>
      <c r="D4062"/>
      <c r="G4062"/>
      <c r="L4062"/>
    </row>
    <row r="4063" spans="1:12" x14ac:dyDescent="0.25">
      <c r="A4063"/>
      <c r="B4063"/>
      <c r="D4063"/>
      <c r="G4063"/>
      <c r="L4063"/>
    </row>
    <row r="4064" spans="1:12" x14ac:dyDescent="0.25">
      <c r="A4064"/>
      <c r="B4064"/>
      <c r="D4064"/>
      <c r="G4064"/>
      <c r="L4064"/>
    </row>
    <row r="4065" spans="1:12" x14ac:dyDescent="0.25">
      <c r="A4065"/>
      <c r="B4065"/>
      <c r="D4065"/>
      <c r="G4065"/>
      <c r="L4065"/>
    </row>
    <row r="4066" spans="1:12" x14ac:dyDescent="0.25">
      <c r="A4066"/>
      <c r="B4066"/>
      <c r="D4066"/>
      <c r="G4066"/>
      <c r="L4066"/>
    </row>
    <row r="4067" spans="1:12" x14ac:dyDescent="0.25">
      <c r="A4067"/>
      <c r="B4067"/>
      <c r="D4067"/>
      <c r="G4067"/>
      <c r="L4067"/>
    </row>
    <row r="4068" spans="1:12" x14ac:dyDescent="0.25">
      <c r="A4068"/>
      <c r="B4068"/>
      <c r="D4068"/>
      <c r="G4068"/>
      <c r="L4068"/>
    </row>
    <row r="4069" spans="1:12" x14ac:dyDescent="0.25">
      <c r="A4069"/>
      <c r="B4069"/>
      <c r="D4069"/>
      <c r="G4069"/>
      <c r="L4069"/>
    </row>
    <row r="4070" spans="1:12" x14ac:dyDescent="0.25">
      <c r="A4070"/>
      <c r="B4070"/>
      <c r="D4070"/>
      <c r="G4070"/>
      <c r="L4070"/>
    </row>
    <row r="4071" spans="1:12" x14ac:dyDescent="0.25">
      <c r="A4071"/>
      <c r="B4071"/>
      <c r="D4071"/>
      <c r="G4071"/>
      <c r="L4071"/>
    </row>
    <row r="4072" spans="1:12" x14ac:dyDescent="0.25">
      <c r="A4072"/>
      <c r="B4072"/>
      <c r="D4072"/>
      <c r="G4072"/>
      <c r="L4072"/>
    </row>
    <row r="4073" spans="1:12" x14ac:dyDescent="0.25">
      <c r="A4073"/>
      <c r="B4073"/>
      <c r="D4073"/>
      <c r="G4073"/>
      <c r="L4073"/>
    </row>
    <row r="4074" spans="1:12" x14ac:dyDescent="0.25">
      <c r="A4074"/>
      <c r="B4074"/>
      <c r="D4074"/>
      <c r="G4074"/>
      <c r="L4074"/>
    </row>
    <row r="4075" spans="1:12" x14ac:dyDescent="0.25">
      <c r="A4075"/>
      <c r="B4075"/>
      <c r="D4075"/>
      <c r="G4075"/>
      <c r="L4075"/>
    </row>
    <row r="4076" spans="1:12" x14ac:dyDescent="0.25">
      <c r="A4076"/>
      <c r="B4076"/>
      <c r="D4076"/>
      <c r="G4076"/>
      <c r="L4076"/>
    </row>
    <row r="4077" spans="1:12" x14ac:dyDescent="0.25">
      <c r="A4077"/>
      <c r="B4077"/>
      <c r="D4077"/>
      <c r="G4077"/>
      <c r="L4077"/>
    </row>
    <row r="4078" spans="1:12" x14ac:dyDescent="0.25">
      <c r="A4078"/>
      <c r="B4078"/>
      <c r="D4078"/>
      <c r="G4078"/>
      <c r="L4078"/>
    </row>
    <row r="4079" spans="1:12" x14ac:dyDescent="0.25">
      <c r="A4079"/>
      <c r="B4079"/>
      <c r="D4079"/>
      <c r="G4079"/>
      <c r="L4079"/>
    </row>
    <row r="4080" spans="1:12" x14ac:dyDescent="0.25">
      <c r="A4080"/>
      <c r="B4080"/>
      <c r="D4080"/>
      <c r="G4080"/>
      <c r="L4080"/>
    </row>
    <row r="4081" spans="1:12" x14ac:dyDescent="0.25">
      <c r="A4081"/>
      <c r="B4081"/>
      <c r="D4081"/>
      <c r="G4081"/>
      <c r="L4081"/>
    </row>
    <row r="4082" spans="1:12" x14ac:dyDescent="0.25">
      <c r="A4082"/>
      <c r="B4082"/>
      <c r="D4082"/>
      <c r="G4082"/>
      <c r="L4082"/>
    </row>
    <row r="4083" spans="1:12" x14ac:dyDescent="0.25">
      <c r="A4083"/>
      <c r="B4083"/>
      <c r="D4083"/>
      <c r="G4083"/>
      <c r="L4083"/>
    </row>
    <row r="4084" spans="1:12" x14ac:dyDescent="0.25">
      <c r="A4084"/>
      <c r="B4084"/>
      <c r="D4084"/>
      <c r="G4084"/>
      <c r="L4084"/>
    </row>
    <row r="4085" spans="1:12" x14ac:dyDescent="0.25">
      <c r="A4085"/>
      <c r="B4085"/>
      <c r="D4085"/>
      <c r="G4085"/>
      <c r="L4085"/>
    </row>
    <row r="4086" spans="1:12" x14ac:dyDescent="0.25">
      <c r="A4086"/>
      <c r="B4086"/>
      <c r="D4086"/>
      <c r="G4086"/>
      <c r="L4086"/>
    </row>
    <row r="4087" spans="1:12" x14ac:dyDescent="0.25">
      <c r="A4087"/>
      <c r="B4087"/>
      <c r="D4087"/>
      <c r="G4087"/>
      <c r="L4087"/>
    </row>
    <row r="4088" spans="1:12" x14ac:dyDescent="0.25">
      <c r="A4088"/>
      <c r="B4088"/>
      <c r="D4088"/>
      <c r="G4088"/>
      <c r="L4088"/>
    </row>
    <row r="4089" spans="1:12" x14ac:dyDescent="0.25">
      <c r="A4089"/>
      <c r="B4089"/>
      <c r="D4089"/>
      <c r="G4089"/>
      <c r="L4089"/>
    </row>
    <row r="4090" spans="1:12" x14ac:dyDescent="0.25">
      <c r="A4090"/>
      <c r="B4090"/>
      <c r="D4090"/>
      <c r="G4090"/>
      <c r="L4090"/>
    </row>
    <row r="4091" spans="1:12" x14ac:dyDescent="0.25">
      <c r="A4091"/>
      <c r="B4091"/>
      <c r="D4091"/>
      <c r="G4091"/>
      <c r="L4091"/>
    </row>
    <row r="4092" spans="1:12" x14ac:dyDescent="0.25">
      <c r="A4092"/>
      <c r="B4092"/>
      <c r="D4092"/>
      <c r="G4092"/>
      <c r="L4092"/>
    </row>
    <row r="4093" spans="1:12" x14ac:dyDescent="0.25">
      <c r="A4093"/>
      <c r="B4093"/>
      <c r="D4093"/>
      <c r="G4093"/>
      <c r="L4093"/>
    </row>
    <row r="4094" spans="1:12" x14ac:dyDescent="0.25">
      <c r="A4094"/>
      <c r="B4094"/>
      <c r="D4094"/>
      <c r="G4094"/>
      <c r="L4094"/>
    </row>
    <row r="4095" spans="1:12" x14ac:dyDescent="0.25">
      <c r="A4095"/>
      <c r="B4095"/>
      <c r="D4095"/>
      <c r="G4095"/>
      <c r="L4095"/>
    </row>
    <row r="4096" spans="1:12" x14ac:dyDescent="0.25">
      <c r="A4096"/>
      <c r="B4096"/>
      <c r="D4096"/>
      <c r="G4096"/>
      <c r="L4096"/>
    </row>
    <row r="4097" spans="1:12" x14ac:dyDescent="0.25">
      <c r="A4097"/>
      <c r="B4097"/>
      <c r="D4097"/>
      <c r="G4097"/>
      <c r="L4097"/>
    </row>
    <row r="4098" spans="1:12" x14ac:dyDescent="0.25">
      <c r="A4098"/>
      <c r="B4098"/>
      <c r="D4098"/>
      <c r="G4098"/>
      <c r="L4098"/>
    </row>
    <row r="4099" spans="1:12" x14ac:dyDescent="0.25">
      <c r="A4099"/>
      <c r="B4099"/>
      <c r="D4099"/>
      <c r="G4099"/>
      <c r="L4099"/>
    </row>
    <row r="4100" spans="1:12" x14ac:dyDescent="0.25">
      <c r="A4100"/>
      <c r="B4100"/>
      <c r="D4100"/>
      <c r="G4100"/>
      <c r="L4100"/>
    </row>
    <row r="4101" spans="1:12" x14ac:dyDescent="0.25">
      <c r="A4101"/>
      <c r="B4101"/>
      <c r="D4101"/>
      <c r="G4101"/>
      <c r="L4101"/>
    </row>
    <row r="4102" spans="1:12" x14ac:dyDescent="0.25">
      <c r="A4102"/>
      <c r="B4102"/>
      <c r="D4102"/>
      <c r="G4102"/>
      <c r="L4102"/>
    </row>
    <row r="4103" spans="1:12" x14ac:dyDescent="0.25">
      <c r="A4103"/>
      <c r="B4103"/>
      <c r="D4103"/>
      <c r="G4103"/>
      <c r="L4103"/>
    </row>
    <row r="4104" spans="1:12" x14ac:dyDescent="0.25">
      <c r="A4104"/>
      <c r="B4104"/>
      <c r="D4104"/>
      <c r="G4104"/>
      <c r="L4104"/>
    </row>
    <row r="4105" spans="1:12" x14ac:dyDescent="0.25">
      <c r="A4105"/>
      <c r="B4105"/>
      <c r="D4105"/>
      <c r="G4105"/>
      <c r="L4105"/>
    </row>
    <row r="4106" spans="1:12" x14ac:dyDescent="0.25">
      <c r="A4106"/>
      <c r="B4106"/>
      <c r="D4106"/>
      <c r="G4106"/>
      <c r="L4106"/>
    </row>
    <row r="4107" spans="1:12" x14ac:dyDescent="0.25">
      <c r="A4107"/>
      <c r="B4107"/>
      <c r="D4107"/>
      <c r="G4107"/>
      <c r="L4107"/>
    </row>
    <row r="4108" spans="1:12" x14ac:dyDescent="0.25">
      <c r="A4108"/>
      <c r="B4108"/>
      <c r="D4108"/>
      <c r="G4108"/>
      <c r="L4108"/>
    </row>
    <row r="4109" spans="1:12" x14ac:dyDescent="0.25">
      <c r="A4109"/>
      <c r="B4109"/>
      <c r="D4109"/>
      <c r="G4109"/>
      <c r="L4109"/>
    </row>
    <row r="4110" spans="1:12" x14ac:dyDescent="0.25">
      <c r="A4110"/>
      <c r="B4110"/>
      <c r="D4110"/>
      <c r="G4110"/>
      <c r="L4110"/>
    </row>
    <row r="4111" spans="1:12" x14ac:dyDescent="0.25">
      <c r="A4111"/>
      <c r="B4111"/>
      <c r="D4111"/>
      <c r="G4111"/>
      <c r="L4111"/>
    </row>
    <row r="4112" spans="1:12" x14ac:dyDescent="0.25">
      <c r="A4112"/>
      <c r="B4112"/>
      <c r="D4112"/>
      <c r="G4112"/>
      <c r="L4112"/>
    </row>
    <row r="4113" spans="1:12" x14ac:dyDescent="0.25">
      <c r="A4113"/>
      <c r="B4113"/>
      <c r="D4113"/>
      <c r="G4113"/>
      <c r="L4113"/>
    </row>
    <row r="4114" spans="1:12" x14ac:dyDescent="0.25">
      <c r="A4114"/>
      <c r="B4114"/>
      <c r="D4114"/>
      <c r="G4114"/>
      <c r="L4114"/>
    </row>
    <row r="4115" spans="1:12" x14ac:dyDescent="0.25">
      <c r="A4115"/>
      <c r="B4115"/>
      <c r="D4115"/>
      <c r="G4115"/>
      <c r="L4115"/>
    </row>
    <row r="4116" spans="1:12" x14ac:dyDescent="0.25">
      <c r="A4116"/>
      <c r="B4116"/>
      <c r="D4116"/>
      <c r="G4116"/>
      <c r="L4116"/>
    </row>
    <row r="4117" spans="1:12" x14ac:dyDescent="0.25">
      <c r="A4117"/>
      <c r="B4117"/>
      <c r="D4117"/>
      <c r="G4117"/>
      <c r="L4117"/>
    </row>
    <row r="4118" spans="1:12" x14ac:dyDescent="0.25">
      <c r="A4118"/>
      <c r="B4118"/>
      <c r="D4118"/>
      <c r="G4118"/>
      <c r="L4118"/>
    </row>
    <row r="4119" spans="1:12" x14ac:dyDescent="0.25">
      <c r="A4119"/>
      <c r="B4119"/>
      <c r="D4119"/>
      <c r="G4119"/>
      <c r="L4119"/>
    </row>
    <row r="4120" spans="1:12" x14ac:dyDescent="0.25">
      <c r="A4120"/>
      <c r="B4120"/>
      <c r="D4120"/>
      <c r="G4120"/>
      <c r="L4120"/>
    </row>
    <row r="4121" spans="1:12" x14ac:dyDescent="0.25">
      <c r="A4121"/>
      <c r="B4121"/>
      <c r="D4121"/>
      <c r="G4121"/>
      <c r="L4121"/>
    </row>
    <row r="4122" spans="1:12" x14ac:dyDescent="0.25">
      <c r="A4122"/>
      <c r="B4122"/>
      <c r="D4122"/>
      <c r="G4122"/>
      <c r="L4122"/>
    </row>
    <row r="4123" spans="1:12" x14ac:dyDescent="0.25">
      <c r="A4123"/>
      <c r="B4123"/>
      <c r="D4123"/>
      <c r="G4123"/>
      <c r="L4123"/>
    </row>
    <row r="4124" spans="1:12" x14ac:dyDescent="0.25">
      <c r="A4124"/>
      <c r="B4124"/>
      <c r="D4124"/>
      <c r="G4124"/>
      <c r="L4124"/>
    </row>
    <row r="4125" spans="1:12" x14ac:dyDescent="0.25">
      <c r="A4125"/>
      <c r="B4125"/>
      <c r="D4125"/>
      <c r="G4125"/>
      <c r="L4125"/>
    </row>
    <row r="4126" spans="1:12" x14ac:dyDescent="0.25">
      <c r="A4126"/>
      <c r="B4126"/>
      <c r="D4126"/>
      <c r="G4126"/>
      <c r="L4126"/>
    </row>
    <row r="4127" spans="1:12" x14ac:dyDescent="0.25">
      <c r="A4127"/>
      <c r="B4127"/>
      <c r="D4127"/>
      <c r="G4127"/>
      <c r="L4127"/>
    </row>
    <row r="4128" spans="1:12" x14ac:dyDescent="0.25">
      <c r="A4128"/>
      <c r="B4128"/>
      <c r="D4128"/>
      <c r="G4128"/>
      <c r="L4128"/>
    </row>
    <row r="4129" spans="1:12" x14ac:dyDescent="0.25">
      <c r="A4129"/>
      <c r="B4129"/>
      <c r="D4129"/>
      <c r="G4129"/>
      <c r="L4129"/>
    </row>
    <row r="4130" spans="1:12" x14ac:dyDescent="0.25">
      <c r="A4130"/>
      <c r="B4130"/>
      <c r="D4130"/>
      <c r="G4130"/>
      <c r="L4130"/>
    </row>
    <row r="4131" spans="1:12" x14ac:dyDescent="0.25">
      <c r="A4131"/>
      <c r="B4131"/>
      <c r="D4131"/>
      <c r="G4131"/>
      <c r="L4131"/>
    </row>
    <row r="4132" spans="1:12" x14ac:dyDescent="0.25">
      <c r="A4132"/>
      <c r="B4132"/>
      <c r="D4132"/>
      <c r="G4132"/>
      <c r="L4132"/>
    </row>
    <row r="4133" spans="1:12" x14ac:dyDescent="0.25">
      <c r="A4133"/>
      <c r="B4133"/>
      <c r="D4133"/>
      <c r="G4133"/>
      <c r="L4133"/>
    </row>
    <row r="4134" spans="1:12" x14ac:dyDescent="0.25">
      <c r="A4134"/>
      <c r="B4134"/>
      <c r="D4134"/>
      <c r="G4134"/>
      <c r="L4134"/>
    </row>
    <row r="4135" spans="1:12" x14ac:dyDescent="0.25">
      <c r="A4135"/>
      <c r="B4135"/>
      <c r="D4135"/>
      <c r="G4135"/>
      <c r="L4135"/>
    </row>
    <row r="4136" spans="1:12" x14ac:dyDescent="0.25">
      <c r="A4136"/>
      <c r="B4136"/>
      <c r="D4136"/>
      <c r="G4136"/>
      <c r="L4136"/>
    </row>
    <row r="4137" spans="1:12" x14ac:dyDescent="0.25">
      <c r="A4137"/>
      <c r="B4137"/>
      <c r="D4137"/>
      <c r="G4137"/>
      <c r="L4137"/>
    </row>
    <row r="4138" spans="1:12" x14ac:dyDescent="0.25">
      <c r="A4138"/>
      <c r="B4138"/>
      <c r="D4138"/>
      <c r="G4138"/>
      <c r="L4138"/>
    </row>
    <row r="4139" spans="1:12" x14ac:dyDescent="0.25">
      <c r="A4139"/>
      <c r="B4139"/>
      <c r="D4139"/>
      <c r="G4139"/>
      <c r="L4139"/>
    </row>
    <row r="4140" spans="1:12" x14ac:dyDescent="0.25">
      <c r="A4140"/>
      <c r="B4140"/>
      <c r="D4140"/>
      <c r="G4140"/>
      <c r="L4140"/>
    </row>
    <row r="4141" spans="1:12" x14ac:dyDescent="0.25">
      <c r="A4141"/>
      <c r="B4141"/>
      <c r="D4141"/>
      <c r="G4141"/>
      <c r="L4141"/>
    </row>
    <row r="4142" spans="1:12" x14ac:dyDescent="0.25">
      <c r="A4142"/>
      <c r="B4142"/>
      <c r="D4142"/>
      <c r="G4142"/>
      <c r="L4142"/>
    </row>
    <row r="4143" spans="1:12" x14ac:dyDescent="0.25">
      <c r="A4143"/>
      <c r="B4143"/>
      <c r="D4143"/>
      <c r="G4143"/>
      <c r="L4143"/>
    </row>
    <row r="4144" spans="1:12" x14ac:dyDescent="0.25">
      <c r="A4144"/>
      <c r="B4144"/>
      <c r="D4144"/>
      <c r="G4144"/>
      <c r="L4144"/>
    </row>
    <row r="4145" spans="1:12" x14ac:dyDescent="0.25">
      <c r="A4145"/>
      <c r="B4145"/>
      <c r="D4145"/>
      <c r="G4145"/>
      <c r="L4145"/>
    </row>
    <row r="4146" spans="1:12" x14ac:dyDescent="0.25">
      <c r="A4146"/>
      <c r="B4146"/>
      <c r="D4146"/>
      <c r="G4146"/>
      <c r="L4146"/>
    </row>
    <row r="4147" spans="1:12" x14ac:dyDescent="0.25">
      <c r="A4147"/>
      <c r="B4147"/>
      <c r="D4147"/>
      <c r="G4147"/>
      <c r="L4147"/>
    </row>
    <row r="4148" spans="1:12" x14ac:dyDescent="0.25">
      <c r="A4148"/>
      <c r="B4148"/>
      <c r="D4148"/>
      <c r="G4148"/>
      <c r="L4148"/>
    </row>
    <row r="4149" spans="1:12" x14ac:dyDescent="0.25">
      <c r="A4149"/>
      <c r="B4149"/>
      <c r="D4149"/>
      <c r="G4149"/>
      <c r="L4149"/>
    </row>
    <row r="4150" spans="1:12" x14ac:dyDescent="0.25">
      <c r="A4150"/>
      <c r="B4150"/>
      <c r="D4150"/>
      <c r="G4150"/>
      <c r="L4150"/>
    </row>
    <row r="4151" spans="1:12" x14ac:dyDescent="0.25">
      <c r="A4151"/>
      <c r="B4151"/>
      <c r="D4151"/>
      <c r="G4151"/>
      <c r="L4151"/>
    </row>
    <row r="4152" spans="1:12" x14ac:dyDescent="0.25">
      <c r="A4152"/>
      <c r="B4152"/>
      <c r="D4152"/>
      <c r="G4152"/>
      <c r="L4152"/>
    </row>
    <row r="4153" spans="1:12" x14ac:dyDescent="0.25">
      <c r="A4153"/>
      <c r="B4153"/>
      <c r="D4153"/>
      <c r="G4153"/>
      <c r="L4153"/>
    </row>
    <row r="4154" spans="1:12" x14ac:dyDescent="0.25">
      <c r="A4154"/>
      <c r="B4154"/>
      <c r="D4154"/>
      <c r="G4154"/>
      <c r="L4154"/>
    </row>
    <row r="4155" spans="1:12" x14ac:dyDescent="0.25">
      <c r="A4155"/>
      <c r="B4155"/>
      <c r="D4155"/>
      <c r="G4155"/>
      <c r="L4155"/>
    </row>
    <row r="4156" spans="1:12" x14ac:dyDescent="0.25">
      <c r="A4156"/>
      <c r="B4156"/>
      <c r="D4156"/>
      <c r="G4156"/>
      <c r="L4156"/>
    </row>
    <row r="4157" spans="1:12" x14ac:dyDescent="0.25">
      <c r="A4157"/>
      <c r="B4157"/>
      <c r="D4157"/>
      <c r="G4157"/>
      <c r="L4157"/>
    </row>
    <row r="4158" spans="1:12" x14ac:dyDescent="0.25">
      <c r="A4158"/>
      <c r="B4158"/>
      <c r="D4158"/>
      <c r="G4158"/>
      <c r="L4158"/>
    </row>
    <row r="4159" spans="1:12" x14ac:dyDescent="0.25">
      <c r="A4159"/>
      <c r="B4159"/>
      <c r="D4159"/>
      <c r="G4159"/>
      <c r="L4159"/>
    </row>
    <row r="4160" spans="1:12" x14ac:dyDescent="0.25">
      <c r="A4160"/>
      <c r="B4160"/>
      <c r="D4160"/>
      <c r="G4160"/>
      <c r="L4160"/>
    </row>
    <row r="4161" spans="1:12" x14ac:dyDescent="0.25">
      <c r="A4161"/>
      <c r="B4161"/>
      <c r="D4161"/>
      <c r="G4161"/>
      <c r="L4161"/>
    </row>
    <row r="4162" spans="1:12" x14ac:dyDescent="0.25">
      <c r="A4162"/>
      <c r="B4162"/>
      <c r="D4162"/>
      <c r="G4162"/>
      <c r="L4162"/>
    </row>
    <row r="4163" spans="1:12" x14ac:dyDescent="0.25">
      <c r="A4163"/>
      <c r="B4163"/>
      <c r="D4163"/>
      <c r="G4163"/>
      <c r="L4163"/>
    </row>
    <row r="4164" spans="1:12" x14ac:dyDescent="0.25">
      <c r="A4164"/>
      <c r="B4164"/>
      <c r="D4164"/>
      <c r="G4164"/>
      <c r="L4164"/>
    </row>
    <row r="4165" spans="1:12" x14ac:dyDescent="0.25">
      <c r="A4165"/>
      <c r="B4165"/>
      <c r="D4165"/>
      <c r="G4165"/>
      <c r="L4165"/>
    </row>
    <row r="4166" spans="1:12" x14ac:dyDescent="0.25">
      <c r="A4166"/>
      <c r="B4166"/>
      <c r="D4166"/>
      <c r="G4166"/>
      <c r="L4166"/>
    </row>
    <row r="4167" spans="1:12" x14ac:dyDescent="0.25">
      <c r="A4167"/>
      <c r="B4167"/>
      <c r="D4167"/>
      <c r="G4167"/>
      <c r="L4167"/>
    </row>
    <row r="4168" spans="1:12" x14ac:dyDescent="0.25">
      <c r="A4168"/>
      <c r="B4168"/>
      <c r="D4168"/>
      <c r="G4168"/>
      <c r="L4168"/>
    </row>
    <row r="4169" spans="1:12" x14ac:dyDescent="0.25">
      <c r="A4169"/>
      <c r="B4169"/>
      <c r="D4169"/>
      <c r="G4169"/>
      <c r="L4169"/>
    </row>
    <row r="4170" spans="1:12" x14ac:dyDescent="0.25">
      <c r="A4170"/>
      <c r="B4170"/>
      <c r="D4170"/>
      <c r="G4170"/>
      <c r="L4170"/>
    </row>
    <row r="4171" spans="1:12" x14ac:dyDescent="0.25">
      <c r="A4171"/>
      <c r="B4171"/>
      <c r="D4171"/>
      <c r="G4171"/>
      <c r="L4171"/>
    </row>
    <row r="4172" spans="1:12" x14ac:dyDescent="0.25">
      <c r="A4172"/>
      <c r="B4172"/>
      <c r="D4172"/>
      <c r="G4172"/>
      <c r="L4172"/>
    </row>
    <row r="4173" spans="1:12" x14ac:dyDescent="0.25">
      <c r="A4173"/>
      <c r="B4173"/>
      <c r="D4173"/>
      <c r="G4173"/>
      <c r="L4173"/>
    </row>
    <row r="4174" spans="1:12" x14ac:dyDescent="0.25">
      <c r="A4174"/>
      <c r="B4174"/>
      <c r="D4174"/>
      <c r="G4174"/>
      <c r="L4174"/>
    </row>
    <row r="4175" spans="1:12" x14ac:dyDescent="0.25">
      <c r="A4175"/>
      <c r="B4175"/>
      <c r="D4175"/>
      <c r="G4175"/>
      <c r="L4175"/>
    </row>
    <row r="4176" spans="1:12" x14ac:dyDescent="0.25">
      <c r="A4176"/>
      <c r="B4176"/>
      <c r="D4176"/>
      <c r="G4176"/>
      <c r="L4176"/>
    </row>
    <row r="4177" spans="1:12" x14ac:dyDescent="0.25">
      <c r="A4177"/>
      <c r="B4177"/>
      <c r="D4177"/>
      <c r="G4177"/>
      <c r="L4177"/>
    </row>
    <row r="4178" spans="1:12" x14ac:dyDescent="0.25">
      <c r="A4178"/>
      <c r="B4178"/>
      <c r="D4178"/>
      <c r="G4178"/>
      <c r="L4178"/>
    </row>
    <row r="4179" spans="1:12" x14ac:dyDescent="0.25">
      <c r="A4179"/>
      <c r="B4179"/>
      <c r="D4179"/>
      <c r="G4179"/>
      <c r="L4179"/>
    </row>
    <row r="4180" spans="1:12" x14ac:dyDescent="0.25">
      <c r="A4180"/>
      <c r="B4180"/>
      <c r="D4180"/>
      <c r="G4180"/>
      <c r="L4180"/>
    </row>
    <row r="4181" spans="1:12" x14ac:dyDescent="0.25">
      <c r="A4181"/>
      <c r="B4181"/>
      <c r="D4181"/>
      <c r="G4181"/>
      <c r="L4181"/>
    </row>
    <row r="4182" spans="1:12" x14ac:dyDescent="0.25">
      <c r="A4182"/>
      <c r="B4182"/>
      <c r="D4182"/>
      <c r="G4182"/>
      <c r="L4182"/>
    </row>
    <row r="4183" spans="1:12" x14ac:dyDescent="0.25">
      <c r="A4183"/>
      <c r="B4183"/>
      <c r="D4183"/>
      <c r="G4183"/>
      <c r="L4183"/>
    </row>
    <row r="4184" spans="1:12" x14ac:dyDescent="0.25">
      <c r="A4184"/>
      <c r="B4184"/>
      <c r="D4184"/>
      <c r="G4184"/>
      <c r="L4184"/>
    </row>
    <row r="4185" spans="1:12" x14ac:dyDescent="0.25">
      <c r="A4185"/>
      <c r="B4185"/>
      <c r="D4185"/>
      <c r="G4185"/>
      <c r="L4185"/>
    </row>
    <row r="4186" spans="1:12" x14ac:dyDescent="0.25">
      <c r="A4186"/>
      <c r="B4186"/>
      <c r="D4186"/>
      <c r="G4186"/>
      <c r="L4186"/>
    </row>
    <row r="4187" spans="1:12" x14ac:dyDescent="0.25">
      <c r="A4187"/>
      <c r="B4187"/>
      <c r="D4187"/>
      <c r="G4187"/>
      <c r="L4187"/>
    </row>
    <row r="4188" spans="1:12" x14ac:dyDescent="0.25">
      <c r="A4188"/>
      <c r="B4188"/>
      <c r="D4188"/>
      <c r="G4188"/>
      <c r="L4188"/>
    </row>
    <row r="4189" spans="1:12" x14ac:dyDescent="0.25">
      <c r="A4189"/>
      <c r="B4189"/>
      <c r="D4189"/>
      <c r="G4189"/>
      <c r="L4189"/>
    </row>
    <row r="4190" spans="1:12" x14ac:dyDescent="0.25">
      <c r="A4190"/>
      <c r="B4190"/>
      <c r="D4190"/>
      <c r="G4190"/>
      <c r="L4190"/>
    </row>
    <row r="4191" spans="1:12" x14ac:dyDescent="0.25">
      <c r="A4191"/>
      <c r="B4191"/>
      <c r="D4191"/>
      <c r="G4191"/>
      <c r="L4191"/>
    </row>
    <row r="4192" spans="1:12" x14ac:dyDescent="0.25">
      <c r="A4192"/>
      <c r="B4192"/>
      <c r="D4192"/>
      <c r="G4192"/>
      <c r="L4192"/>
    </row>
    <row r="4193" spans="1:12" x14ac:dyDescent="0.25">
      <c r="A4193"/>
      <c r="B4193"/>
      <c r="D4193"/>
      <c r="G4193"/>
      <c r="L4193"/>
    </row>
    <row r="4194" spans="1:12" x14ac:dyDescent="0.25">
      <c r="A4194"/>
      <c r="B4194"/>
      <c r="D4194"/>
      <c r="G4194"/>
      <c r="L4194"/>
    </row>
    <row r="4195" spans="1:12" x14ac:dyDescent="0.25">
      <c r="A4195"/>
      <c r="B4195"/>
      <c r="D4195"/>
      <c r="G4195"/>
      <c r="L4195"/>
    </row>
    <row r="4196" spans="1:12" x14ac:dyDescent="0.25">
      <c r="A4196"/>
      <c r="B4196"/>
      <c r="D4196"/>
      <c r="G4196"/>
      <c r="L4196"/>
    </row>
    <row r="4197" spans="1:12" x14ac:dyDescent="0.25">
      <c r="A4197"/>
      <c r="B4197"/>
      <c r="D4197"/>
      <c r="G4197"/>
      <c r="L4197"/>
    </row>
    <row r="4198" spans="1:12" x14ac:dyDescent="0.25">
      <c r="A4198"/>
      <c r="B4198"/>
      <c r="D4198"/>
      <c r="G4198"/>
      <c r="L4198"/>
    </row>
    <row r="4199" spans="1:12" x14ac:dyDescent="0.25">
      <c r="A4199"/>
      <c r="B4199"/>
      <c r="D4199"/>
      <c r="G4199"/>
      <c r="L4199"/>
    </row>
    <row r="4200" spans="1:12" x14ac:dyDescent="0.25">
      <c r="A4200"/>
      <c r="B4200"/>
      <c r="D4200"/>
      <c r="G4200"/>
      <c r="L4200"/>
    </row>
    <row r="4201" spans="1:12" x14ac:dyDescent="0.25">
      <c r="A4201"/>
      <c r="B4201"/>
      <c r="D4201"/>
      <c r="G4201"/>
      <c r="L4201"/>
    </row>
    <row r="4202" spans="1:12" x14ac:dyDescent="0.25">
      <c r="A4202"/>
      <c r="B4202"/>
      <c r="D4202"/>
      <c r="G4202"/>
      <c r="L4202"/>
    </row>
    <row r="4203" spans="1:12" x14ac:dyDescent="0.25">
      <c r="A4203"/>
      <c r="B4203"/>
      <c r="D4203"/>
      <c r="G4203"/>
      <c r="L4203"/>
    </row>
    <row r="4204" spans="1:12" x14ac:dyDescent="0.25">
      <c r="A4204"/>
      <c r="B4204"/>
      <c r="D4204"/>
      <c r="G4204"/>
      <c r="L4204"/>
    </row>
    <row r="4205" spans="1:12" x14ac:dyDescent="0.25">
      <c r="A4205"/>
      <c r="B4205"/>
      <c r="D4205"/>
      <c r="G4205"/>
      <c r="L4205"/>
    </row>
    <row r="4206" spans="1:12" x14ac:dyDescent="0.25">
      <c r="A4206"/>
      <c r="B4206"/>
      <c r="D4206"/>
      <c r="G4206"/>
      <c r="L4206"/>
    </row>
    <row r="4207" spans="1:12" x14ac:dyDescent="0.25">
      <c r="A4207"/>
      <c r="B4207"/>
      <c r="D4207"/>
      <c r="G4207"/>
      <c r="L4207"/>
    </row>
    <row r="4208" spans="1:12" x14ac:dyDescent="0.25">
      <c r="A4208"/>
      <c r="B4208"/>
      <c r="D4208"/>
      <c r="G4208"/>
      <c r="L4208"/>
    </row>
    <row r="4209" spans="1:12" x14ac:dyDescent="0.25">
      <c r="A4209"/>
      <c r="B4209"/>
      <c r="D4209"/>
      <c r="G4209"/>
      <c r="L4209"/>
    </row>
    <row r="4210" spans="1:12" x14ac:dyDescent="0.25">
      <c r="A4210"/>
      <c r="B4210"/>
      <c r="D4210"/>
      <c r="G4210"/>
      <c r="L4210"/>
    </row>
    <row r="4211" spans="1:12" x14ac:dyDescent="0.25">
      <c r="A4211"/>
      <c r="B4211"/>
      <c r="D4211"/>
      <c r="G4211"/>
      <c r="L4211"/>
    </row>
    <row r="4212" spans="1:12" x14ac:dyDescent="0.25">
      <c r="A4212"/>
      <c r="B4212"/>
      <c r="D4212"/>
      <c r="G4212"/>
      <c r="L4212"/>
    </row>
    <row r="4213" spans="1:12" x14ac:dyDescent="0.25">
      <c r="A4213"/>
      <c r="B4213"/>
      <c r="D4213"/>
      <c r="G4213"/>
      <c r="L4213"/>
    </row>
    <row r="4214" spans="1:12" x14ac:dyDescent="0.25">
      <c r="A4214"/>
      <c r="B4214"/>
      <c r="D4214"/>
      <c r="G4214"/>
      <c r="L4214"/>
    </row>
    <row r="4215" spans="1:12" x14ac:dyDescent="0.25">
      <c r="A4215"/>
      <c r="B4215"/>
      <c r="D4215"/>
      <c r="G4215"/>
      <c r="L4215"/>
    </row>
    <row r="4216" spans="1:12" x14ac:dyDescent="0.25">
      <c r="A4216"/>
      <c r="B4216"/>
      <c r="D4216"/>
      <c r="G4216"/>
      <c r="L4216"/>
    </row>
    <row r="4217" spans="1:12" x14ac:dyDescent="0.25">
      <c r="A4217"/>
      <c r="B4217"/>
      <c r="D4217"/>
      <c r="G4217"/>
      <c r="L4217"/>
    </row>
    <row r="4218" spans="1:12" x14ac:dyDescent="0.25">
      <c r="A4218"/>
      <c r="B4218"/>
      <c r="D4218"/>
      <c r="G4218"/>
      <c r="L4218"/>
    </row>
    <row r="4219" spans="1:12" x14ac:dyDescent="0.25">
      <c r="A4219"/>
      <c r="B4219"/>
      <c r="D4219"/>
      <c r="G4219"/>
      <c r="L4219"/>
    </row>
    <row r="4220" spans="1:12" x14ac:dyDescent="0.25">
      <c r="A4220"/>
      <c r="B4220"/>
      <c r="D4220"/>
      <c r="G4220"/>
      <c r="L4220"/>
    </row>
    <row r="4221" spans="1:12" x14ac:dyDescent="0.25">
      <c r="A4221"/>
      <c r="B4221"/>
      <c r="D4221"/>
      <c r="G4221"/>
      <c r="L4221"/>
    </row>
    <row r="4222" spans="1:12" x14ac:dyDescent="0.25">
      <c r="A4222"/>
      <c r="B4222"/>
      <c r="D4222"/>
      <c r="G4222"/>
      <c r="L4222"/>
    </row>
    <row r="4223" spans="1:12" x14ac:dyDescent="0.25">
      <c r="A4223"/>
      <c r="B4223"/>
      <c r="D4223"/>
      <c r="G4223"/>
      <c r="L4223"/>
    </row>
    <row r="4224" spans="1:12" x14ac:dyDescent="0.25">
      <c r="A4224"/>
      <c r="B4224"/>
      <c r="D4224"/>
      <c r="G4224"/>
      <c r="L4224"/>
    </row>
    <row r="4225" spans="1:12" x14ac:dyDescent="0.25">
      <c r="A4225"/>
      <c r="B4225"/>
      <c r="D4225"/>
      <c r="G4225"/>
      <c r="L4225"/>
    </row>
    <row r="4226" spans="1:12" x14ac:dyDescent="0.25">
      <c r="A4226"/>
      <c r="B4226"/>
      <c r="D4226"/>
      <c r="G4226"/>
      <c r="L4226"/>
    </row>
    <row r="4227" spans="1:12" x14ac:dyDescent="0.25">
      <c r="A4227"/>
      <c r="B4227"/>
      <c r="D4227"/>
      <c r="G4227"/>
      <c r="L4227"/>
    </row>
    <row r="4228" spans="1:12" x14ac:dyDescent="0.25">
      <c r="A4228"/>
      <c r="B4228"/>
      <c r="D4228"/>
      <c r="G4228"/>
      <c r="L4228"/>
    </row>
    <row r="4229" spans="1:12" x14ac:dyDescent="0.25">
      <c r="A4229"/>
      <c r="B4229"/>
      <c r="D4229"/>
      <c r="G4229"/>
      <c r="L4229"/>
    </row>
    <row r="4230" spans="1:12" x14ac:dyDescent="0.25">
      <c r="A4230"/>
      <c r="B4230"/>
      <c r="D4230"/>
      <c r="G4230"/>
      <c r="L4230"/>
    </row>
    <row r="4231" spans="1:12" x14ac:dyDescent="0.25">
      <c r="A4231"/>
      <c r="B4231"/>
      <c r="D4231"/>
      <c r="G4231"/>
      <c r="L4231"/>
    </row>
    <row r="4232" spans="1:12" x14ac:dyDescent="0.25">
      <c r="A4232"/>
      <c r="B4232"/>
      <c r="D4232"/>
      <c r="G4232"/>
      <c r="L4232"/>
    </row>
    <row r="4233" spans="1:12" x14ac:dyDescent="0.25">
      <c r="A4233"/>
      <c r="B4233"/>
      <c r="D4233"/>
      <c r="G4233"/>
      <c r="L4233"/>
    </row>
    <row r="4234" spans="1:12" x14ac:dyDescent="0.25">
      <c r="A4234"/>
      <c r="B4234"/>
      <c r="D4234"/>
      <c r="G4234"/>
      <c r="L4234"/>
    </row>
    <row r="4235" spans="1:12" x14ac:dyDescent="0.25">
      <c r="A4235"/>
      <c r="B4235"/>
      <c r="D4235"/>
      <c r="G4235"/>
      <c r="L4235"/>
    </row>
    <row r="4236" spans="1:12" x14ac:dyDescent="0.25">
      <c r="A4236"/>
      <c r="B4236"/>
      <c r="D4236"/>
      <c r="G4236"/>
      <c r="L4236"/>
    </row>
    <row r="4237" spans="1:12" x14ac:dyDescent="0.25">
      <c r="A4237"/>
      <c r="B4237"/>
      <c r="D4237"/>
      <c r="G4237"/>
      <c r="L4237"/>
    </row>
    <row r="4238" spans="1:12" x14ac:dyDescent="0.25">
      <c r="A4238"/>
      <c r="B4238"/>
      <c r="D4238"/>
      <c r="G4238"/>
      <c r="L4238"/>
    </row>
    <row r="4239" spans="1:12" x14ac:dyDescent="0.25">
      <c r="A4239"/>
      <c r="B4239"/>
      <c r="D4239"/>
      <c r="G4239"/>
      <c r="L4239"/>
    </row>
    <row r="4240" spans="1:12" x14ac:dyDescent="0.25">
      <c r="A4240"/>
      <c r="B4240"/>
      <c r="D4240"/>
      <c r="G4240"/>
      <c r="L4240"/>
    </row>
    <row r="4241" spans="1:12" x14ac:dyDescent="0.25">
      <c r="A4241"/>
      <c r="B4241"/>
      <c r="D4241"/>
      <c r="G4241"/>
      <c r="L4241"/>
    </row>
    <row r="4242" spans="1:12" x14ac:dyDescent="0.25">
      <c r="A4242"/>
      <c r="B4242"/>
      <c r="D4242"/>
      <c r="G4242"/>
      <c r="L4242"/>
    </row>
    <row r="4243" spans="1:12" x14ac:dyDescent="0.25">
      <c r="A4243"/>
      <c r="B4243"/>
      <c r="D4243"/>
      <c r="G4243"/>
      <c r="L4243"/>
    </row>
    <row r="4244" spans="1:12" x14ac:dyDescent="0.25">
      <c r="A4244"/>
      <c r="B4244"/>
      <c r="D4244"/>
      <c r="G4244"/>
      <c r="L4244"/>
    </row>
    <row r="4245" spans="1:12" x14ac:dyDescent="0.25">
      <c r="A4245"/>
      <c r="B4245"/>
      <c r="D4245"/>
      <c r="G4245"/>
      <c r="L4245"/>
    </row>
    <row r="4246" spans="1:12" x14ac:dyDescent="0.25">
      <c r="A4246"/>
      <c r="B4246"/>
      <c r="D4246"/>
      <c r="G4246"/>
      <c r="L4246"/>
    </row>
    <row r="4247" spans="1:12" x14ac:dyDescent="0.25">
      <c r="A4247"/>
      <c r="B4247"/>
      <c r="D4247"/>
      <c r="G4247"/>
      <c r="L4247"/>
    </row>
    <row r="4248" spans="1:12" x14ac:dyDescent="0.25">
      <c r="A4248"/>
      <c r="B4248"/>
      <c r="D4248"/>
      <c r="G4248"/>
      <c r="L4248"/>
    </row>
    <row r="4249" spans="1:12" x14ac:dyDescent="0.25">
      <c r="A4249"/>
      <c r="B4249"/>
      <c r="D4249"/>
      <c r="G4249"/>
      <c r="L4249"/>
    </row>
    <row r="4250" spans="1:12" x14ac:dyDescent="0.25">
      <c r="A4250"/>
      <c r="B4250"/>
      <c r="D4250"/>
      <c r="G4250"/>
      <c r="L4250"/>
    </row>
    <row r="4251" spans="1:12" x14ac:dyDescent="0.25">
      <c r="A4251"/>
      <c r="B4251"/>
      <c r="D4251"/>
      <c r="G4251"/>
      <c r="L4251"/>
    </row>
    <row r="4252" spans="1:12" x14ac:dyDescent="0.25">
      <c r="A4252"/>
      <c r="B4252"/>
      <c r="D4252"/>
      <c r="G4252"/>
      <c r="L4252"/>
    </row>
    <row r="4253" spans="1:12" x14ac:dyDescent="0.25">
      <c r="A4253"/>
      <c r="B4253"/>
      <c r="D4253"/>
      <c r="G4253"/>
      <c r="L4253"/>
    </row>
    <row r="4254" spans="1:12" x14ac:dyDescent="0.25">
      <c r="A4254"/>
      <c r="B4254"/>
      <c r="D4254"/>
      <c r="G4254"/>
      <c r="L4254"/>
    </row>
    <row r="4255" spans="1:12" x14ac:dyDescent="0.25">
      <c r="A4255"/>
      <c r="B4255"/>
      <c r="D4255"/>
      <c r="G4255"/>
      <c r="L4255"/>
    </row>
    <row r="4256" spans="1:12" x14ac:dyDescent="0.25">
      <c r="A4256"/>
      <c r="B4256"/>
      <c r="D4256"/>
      <c r="G4256"/>
      <c r="L4256"/>
    </row>
    <row r="4257" spans="1:12" x14ac:dyDescent="0.25">
      <c r="A4257"/>
      <c r="B4257"/>
      <c r="D4257"/>
      <c r="G4257"/>
      <c r="L4257"/>
    </row>
    <row r="4258" spans="1:12" x14ac:dyDescent="0.25">
      <c r="A4258"/>
      <c r="B4258"/>
      <c r="D4258"/>
      <c r="G4258"/>
      <c r="L4258"/>
    </row>
    <row r="4259" spans="1:12" x14ac:dyDescent="0.25">
      <c r="A4259"/>
      <c r="B4259"/>
      <c r="D4259"/>
      <c r="G4259"/>
      <c r="L4259"/>
    </row>
    <row r="4260" spans="1:12" x14ac:dyDescent="0.25">
      <c r="A4260"/>
      <c r="B4260"/>
      <c r="D4260"/>
      <c r="G4260"/>
      <c r="L4260"/>
    </row>
    <row r="4261" spans="1:12" x14ac:dyDescent="0.25">
      <c r="A4261"/>
      <c r="B4261"/>
      <c r="D4261"/>
      <c r="G4261"/>
      <c r="L4261"/>
    </row>
    <row r="4262" spans="1:12" x14ac:dyDescent="0.25">
      <c r="A4262"/>
      <c r="B4262"/>
      <c r="D4262"/>
      <c r="G4262"/>
      <c r="L4262"/>
    </row>
    <row r="4263" spans="1:12" x14ac:dyDescent="0.25">
      <c r="A4263"/>
      <c r="B4263"/>
      <c r="D4263"/>
      <c r="G4263"/>
      <c r="L4263"/>
    </row>
    <row r="4264" spans="1:12" x14ac:dyDescent="0.25">
      <c r="A4264"/>
      <c r="B4264"/>
      <c r="D4264"/>
      <c r="G4264"/>
      <c r="L4264"/>
    </row>
    <row r="4265" spans="1:12" x14ac:dyDescent="0.25">
      <c r="A4265"/>
      <c r="B4265"/>
      <c r="D4265"/>
      <c r="G4265"/>
      <c r="L4265"/>
    </row>
    <row r="4266" spans="1:12" x14ac:dyDescent="0.25">
      <c r="A4266"/>
      <c r="B4266"/>
      <c r="D4266"/>
      <c r="G4266"/>
      <c r="L4266"/>
    </row>
    <row r="4267" spans="1:12" x14ac:dyDescent="0.25">
      <c r="A4267"/>
      <c r="B4267"/>
      <c r="D4267"/>
      <c r="G4267"/>
      <c r="L4267"/>
    </row>
    <row r="4268" spans="1:12" x14ac:dyDescent="0.25">
      <c r="A4268"/>
      <c r="B4268"/>
      <c r="D4268"/>
      <c r="G4268"/>
      <c r="L4268"/>
    </row>
    <row r="4269" spans="1:12" x14ac:dyDescent="0.25">
      <c r="A4269"/>
      <c r="B4269"/>
      <c r="D4269"/>
      <c r="G4269"/>
      <c r="L4269"/>
    </row>
    <row r="4270" spans="1:12" x14ac:dyDescent="0.25">
      <c r="A4270"/>
      <c r="B4270"/>
      <c r="D4270"/>
      <c r="G4270"/>
      <c r="L4270"/>
    </row>
    <row r="4271" spans="1:12" x14ac:dyDescent="0.25">
      <c r="A4271"/>
      <c r="B4271"/>
      <c r="D4271"/>
      <c r="G4271"/>
      <c r="L4271"/>
    </row>
    <row r="4272" spans="1:12" x14ac:dyDescent="0.25">
      <c r="A4272"/>
      <c r="B4272"/>
      <c r="D4272"/>
      <c r="G4272"/>
      <c r="L4272"/>
    </row>
    <row r="4273" spans="1:12" x14ac:dyDescent="0.25">
      <c r="A4273"/>
      <c r="B4273"/>
      <c r="D4273"/>
      <c r="G4273"/>
      <c r="L4273"/>
    </row>
    <row r="4274" spans="1:12" x14ac:dyDescent="0.25">
      <c r="A4274"/>
      <c r="B4274"/>
      <c r="D4274"/>
      <c r="G4274"/>
      <c r="L4274"/>
    </row>
    <row r="4275" spans="1:12" x14ac:dyDescent="0.25">
      <c r="A4275"/>
      <c r="B4275"/>
      <c r="D4275"/>
      <c r="G4275"/>
      <c r="L4275"/>
    </row>
    <row r="4276" spans="1:12" x14ac:dyDescent="0.25">
      <c r="A4276"/>
      <c r="B4276"/>
      <c r="D4276"/>
      <c r="G4276"/>
      <c r="L4276"/>
    </row>
    <row r="4277" spans="1:12" x14ac:dyDescent="0.25">
      <c r="A4277"/>
      <c r="B4277"/>
      <c r="D4277"/>
      <c r="G4277"/>
      <c r="L4277"/>
    </row>
    <row r="4278" spans="1:12" x14ac:dyDescent="0.25">
      <c r="A4278"/>
      <c r="B4278"/>
      <c r="D4278"/>
      <c r="G4278"/>
      <c r="L4278"/>
    </row>
    <row r="4279" spans="1:12" x14ac:dyDescent="0.25">
      <c r="A4279"/>
      <c r="B4279"/>
      <c r="D4279"/>
      <c r="G4279"/>
      <c r="L4279"/>
    </row>
    <row r="4280" spans="1:12" x14ac:dyDescent="0.25">
      <c r="A4280"/>
      <c r="B4280"/>
      <c r="D4280"/>
      <c r="G4280"/>
      <c r="L4280"/>
    </row>
    <row r="4281" spans="1:12" x14ac:dyDescent="0.25">
      <c r="A4281"/>
      <c r="B4281"/>
      <c r="D4281"/>
      <c r="G4281"/>
      <c r="L4281"/>
    </row>
    <row r="4282" spans="1:12" x14ac:dyDescent="0.25">
      <c r="A4282"/>
      <c r="B4282"/>
      <c r="D4282"/>
      <c r="G4282"/>
      <c r="L4282"/>
    </row>
    <row r="4283" spans="1:12" x14ac:dyDescent="0.25">
      <c r="A4283"/>
      <c r="B4283"/>
      <c r="D4283"/>
      <c r="G4283"/>
      <c r="L4283"/>
    </row>
    <row r="4284" spans="1:12" x14ac:dyDescent="0.25">
      <c r="A4284"/>
      <c r="B4284"/>
      <c r="D4284"/>
      <c r="G4284"/>
      <c r="L4284"/>
    </row>
    <row r="4285" spans="1:12" x14ac:dyDescent="0.25">
      <c r="A4285"/>
      <c r="B4285"/>
      <c r="D4285"/>
      <c r="G4285"/>
      <c r="L4285"/>
    </row>
    <row r="4286" spans="1:12" x14ac:dyDescent="0.25">
      <c r="A4286"/>
      <c r="B4286"/>
      <c r="D4286"/>
      <c r="G4286"/>
      <c r="L4286"/>
    </row>
    <row r="4287" spans="1:12" x14ac:dyDescent="0.25">
      <c r="A4287"/>
      <c r="B4287"/>
      <c r="D4287"/>
      <c r="G4287"/>
      <c r="L4287"/>
    </row>
    <row r="4288" spans="1:12" x14ac:dyDescent="0.25">
      <c r="A4288"/>
      <c r="B4288"/>
      <c r="D4288"/>
      <c r="G4288"/>
      <c r="L4288"/>
    </row>
    <row r="4289" spans="1:12" x14ac:dyDescent="0.25">
      <c r="A4289"/>
      <c r="B4289"/>
      <c r="D4289"/>
      <c r="G4289"/>
      <c r="L4289"/>
    </row>
    <row r="4290" spans="1:12" x14ac:dyDescent="0.25">
      <c r="A4290"/>
      <c r="B4290"/>
      <c r="D4290"/>
      <c r="G4290"/>
      <c r="L4290"/>
    </row>
    <row r="4291" spans="1:12" x14ac:dyDescent="0.25">
      <c r="A4291"/>
      <c r="B4291"/>
      <c r="D4291"/>
      <c r="G4291"/>
      <c r="L4291"/>
    </row>
    <row r="4292" spans="1:12" x14ac:dyDescent="0.25">
      <c r="A4292"/>
      <c r="B4292"/>
      <c r="D4292"/>
      <c r="G4292"/>
      <c r="L4292"/>
    </row>
    <row r="4293" spans="1:12" x14ac:dyDescent="0.25">
      <c r="A4293"/>
      <c r="B4293"/>
      <c r="D4293"/>
      <c r="G4293"/>
      <c r="L4293"/>
    </row>
    <row r="4294" spans="1:12" x14ac:dyDescent="0.25">
      <c r="A4294"/>
      <c r="B4294"/>
      <c r="D4294"/>
      <c r="G4294"/>
      <c r="L4294"/>
    </row>
    <row r="4295" spans="1:12" x14ac:dyDescent="0.25">
      <c r="A4295"/>
      <c r="B4295"/>
      <c r="D4295"/>
      <c r="G4295"/>
      <c r="L4295"/>
    </row>
    <row r="4296" spans="1:12" x14ac:dyDescent="0.25">
      <c r="A4296"/>
      <c r="B4296"/>
      <c r="D4296"/>
      <c r="G4296"/>
      <c r="L4296"/>
    </row>
    <row r="4297" spans="1:12" x14ac:dyDescent="0.25">
      <c r="A4297"/>
      <c r="B4297"/>
      <c r="D4297"/>
      <c r="G4297"/>
      <c r="L4297"/>
    </row>
    <row r="4298" spans="1:12" x14ac:dyDescent="0.25">
      <c r="A4298"/>
      <c r="B4298"/>
      <c r="D4298"/>
      <c r="G4298"/>
      <c r="L4298"/>
    </row>
    <row r="4299" spans="1:12" x14ac:dyDescent="0.25">
      <c r="A4299"/>
      <c r="B4299"/>
      <c r="D4299"/>
      <c r="G4299"/>
      <c r="L4299"/>
    </row>
    <row r="4300" spans="1:12" x14ac:dyDescent="0.25">
      <c r="A4300"/>
      <c r="B4300"/>
      <c r="D4300"/>
      <c r="G4300"/>
      <c r="L4300"/>
    </row>
    <row r="4301" spans="1:12" x14ac:dyDescent="0.25">
      <c r="A4301"/>
      <c r="B4301"/>
      <c r="D4301"/>
      <c r="G4301"/>
      <c r="L4301"/>
    </row>
    <row r="4302" spans="1:12" x14ac:dyDescent="0.25">
      <c r="A4302"/>
      <c r="B4302"/>
      <c r="D4302"/>
      <c r="G4302"/>
      <c r="L4302"/>
    </row>
    <row r="4303" spans="1:12" x14ac:dyDescent="0.25">
      <c r="A4303"/>
      <c r="B4303"/>
      <c r="D4303"/>
      <c r="G4303"/>
      <c r="L4303"/>
    </row>
    <row r="4304" spans="1:12" x14ac:dyDescent="0.25">
      <c r="A4304"/>
      <c r="B4304"/>
      <c r="D4304"/>
      <c r="G4304"/>
      <c r="L4304"/>
    </row>
    <row r="4305" spans="1:12" x14ac:dyDescent="0.25">
      <c r="A4305"/>
      <c r="B4305"/>
      <c r="D4305"/>
      <c r="G4305"/>
      <c r="L4305"/>
    </row>
    <row r="4306" spans="1:12" x14ac:dyDescent="0.25">
      <c r="A4306"/>
      <c r="B4306"/>
      <c r="D4306"/>
      <c r="G4306"/>
      <c r="L4306"/>
    </row>
    <row r="4307" spans="1:12" x14ac:dyDescent="0.25">
      <c r="A4307"/>
      <c r="B4307"/>
      <c r="D4307"/>
      <c r="G4307"/>
      <c r="L4307"/>
    </row>
    <row r="4308" spans="1:12" x14ac:dyDescent="0.25">
      <c r="A4308"/>
      <c r="B4308"/>
      <c r="D4308"/>
      <c r="G4308"/>
      <c r="L4308"/>
    </row>
    <row r="4309" spans="1:12" x14ac:dyDescent="0.25">
      <c r="A4309"/>
      <c r="B4309"/>
      <c r="D4309"/>
      <c r="G4309"/>
      <c r="L4309"/>
    </row>
    <row r="4310" spans="1:12" x14ac:dyDescent="0.25">
      <c r="A4310"/>
      <c r="B4310"/>
      <c r="D4310"/>
      <c r="G4310"/>
      <c r="L4310"/>
    </row>
    <row r="4311" spans="1:12" x14ac:dyDescent="0.25">
      <c r="A4311"/>
      <c r="B4311"/>
      <c r="D4311"/>
      <c r="G4311"/>
      <c r="L4311"/>
    </row>
    <row r="4312" spans="1:12" x14ac:dyDescent="0.25">
      <c r="A4312"/>
      <c r="B4312"/>
      <c r="D4312"/>
      <c r="G4312"/>
      <c r="L4312"/>
    </row>
    <row r="4313" spans="1:12" x14ac:dyDescent="0.25">
      <c r="A4313"/>
      <c r="B4313"/>
      <c r="D4313"/>
      <c r="G4313"/>
      <c r="L4313"/>
    </row>
    <row r="4314" spans="1:12" x14ac:dyDescent="0.25">
      <c r="A4314"/>
      <c r="B4314"/>
      <c r="D4314"/>
      <c r="G4314"/>
      <c r="L4314"/>
    </row>
    <row r="4315" spans="1:12" x14ac:dyDescent="0.25">
      <c r="A4315"/>
      <c r="B4315"/>
      <c r="D4315"/>
      <c r="G4315"/>
      <c r="L4315"/>
    </row>
    <row r="4316" spans="1:12" x14ac:dyDescent="0.25">
      <c r="A4316"/>
      <c r="B4316"/>
      <c r="D4316"/>
      <c r="G4316"/>
      <c r="L4316"/>
    </row>
    <row r="4317" spans="1:12" x14ac:dyDescent="0.25">
      <c r="A4317"/>
      <c r="B4317"/>
      <c r="D4317"/>
      <c r="G4317"/>
      <c r="L4317"/>
    </row>
    <row r="4318" spans="1:12" x14ac:dyDescent="0.25">
      <c r="A4318"/>
      <c r="B4318"/>
      <c r="D4318"/>
      <c r="G4318"/>
      <c r="L4318"/>
    </row>
    <row r="4319" spans="1:12" x14ac:dyDescent="0.25">
      <c r="A4319"/>
      <c r="B4319"/>
      <c r="D4319"/>
      <c r="G4319"/>
      <c r="L4319"/>
    </row>
    <row r="4320" spans="1:12" x14ac:dyDescent="0.25">
      <c r="A4320"/>
      <c r="B4320"/>
      <c r="D4320"/>
      <c r="G4320"/>
      <c r="L4320"/>
    </row>
    <row r="4321" spans="1:12" x14ac:dyDescent="0.25">
      <c r="A4321"/>
      <c r="B4321"/>
      <c r="D4321"/>
      <c r="G4321"/>
      <c r="L4321"/>
    </row>
    <row r="4322" spans="1:12" x14ac:dyDescent="0.25">
      <c r="A4322"/>
      <c r="B4322"/>
      <c r="D4322"/>
      <c r="G4322"/>
      <c r="L4322"/>
    </row>
    <row r="4323" spans="1:12" x14ac:dyDescent="0.25">
      <c r="A4323"/>
      <c r="B4323"/>
      <c r="D4323"/>
      <c r="G4323"/>
      <c r="L4323"/>
    </row>
    <row r="4324" spans="1:12" x14ac:dyDescent="0.25">
      <c r="A4324"/>
      <c r="B4324"/>
      <c r="D4324"/>
      <c r="G4324"/>
      <c r="L4324"/>
    </row>
    <row r="4325" spans="1:12" x14ac:dyDescent="0.25">
      <c r="A4325"/>
      <c r="B4325"/>
      <c r="D4325"/>
      <c r="G4325"/>
      <c r="L4325"/>
    </row>
    <row r="4326" spans="1:12" x14ac:dyDescent="0.25">
      <c r="A4326"/>
      <c r="B4326"/>
      <c r="D4326"/>
      <c r="G4326"/>
      <c r="L4326"/>
    </row>
    <row r="4327" spans="1:12" x14ac:dyDescent="0.25">
      <c r="A4327"/>
      <c r="B4327"/>
      <c r="D4327"/>
      <c r="G4327"/>
      <c r="L4327"/>
    </row>
    <row r="4328" spans="1:12" x14ac:dyDescent="0.25">
      <c r="A4328"/>
      <c r="B4328"/>
      <c r="D4328"/>
      <c r="G4328"/>
      <c r="L4328"/>
    </row>
    <row r="4329" spans="1:12" x14ac:dyDescent="0.25">
      <c r="A4329"/>
      <c r="B4329"/>
      <c r="D4329"/>
      <c r="G4329"/>
      <c r="L4329"/>
    </row>
    <row r="4330" spans="1:12" x14ac:dyDescent="0.25">
      <c r="A4330"/>
      <c r="B4330"/>
      <c r="D4330"/>
      <c r="G4330"/>
      <c r="L4330"/>
    </row>
    <row r="4331" spans="1:12" x14ac:dyDescent="0.25">
      <c r="A4331"/>
      <c r="B4331"/>
      <c r="D4331"/>
      <c r="G4331"/>
      <c r="L4331"/>
    </row>
    <row r="4332" spans="1:12" x14ac:dyDescent="0.25">
      <c r="A4332"/>
      <c r="B4332"/>
      <c r="D4332"/>
      <c r="G4332"/>
      <c r="L4332"/>
    </row>
    <row r="4333" spans="1:12" x14ac:dyDescent="0.25">
      <c r="A4333"/>
      <c r="B4333"/>
      <c r="D4333"/>
      <c r="G4333"/>
      <c r="L4333"/>
    </row>
    <row r="4334" spans="1:12" x14ac:dyDescent="0.25">
      <c r="A4334"/>
      <c r="B4334"/>
      <c r="D4334"/>
      <c r="G4334"/>
      <c r="L4334"/>
    </row>
    <row r="4335" spans="1:12" x14ac:dyDescent="0.25">
      <c r="A4335"/>
      <c r="B4335"/>
      <c r="D4335"/>
      <c r="G4335"/>
      <c r="L4335"/>
    </row>
    <row r="4336" spans="1:12" x14ac:dyDescent="0.25">
      <c r="A4336"/>
      <c r="B4336"/>
      <c r="D4336"/>
      <c r="G4336"/>
      <c r="L4336"/>
    </row>
    <row r="4337" spans="1:12" x14ac:dyDescent="0.25">
      <c r="A4337"/>
      <c r="B4337"/>
      <c r="D4337"/>
      <c r="G4337"/>
      <c r="L4337"/>
    </row>
    <row r="4338" spans="1:12" x14ac:dyDescent="0.25">
      <c r="A4338"/>
      <c r="B4338"/>
      <c r="D4338"/>
      <c r="G4338"/>
      <c r="L4338"/>
    </row>
    <row r="4339" spans="1:12" x14ac:dyDescent="0.25">
      <c r="A4339"/>
      <c r="B4339"/>
      <c r="D4339"/>
      <c r="G4339"/>
      <c r="L4339"/>
    </row>
    <row r="4340" spans="1:12" x14ac:dyDescent="0.25">
      <c r="A4340"/>
      <c r="B4340"/>
      <c r="D4340"/>
      <c r="G4340"/>
      <c r="L4340"/>
    </row>
    <row r="4341" spans="1:12" x14ac:dyDescent="0.25">
      <c r="A4341"/>
      <c r="B4341"/>
      <c r="D4341"/>
      <c r="G4341"/>
      <c r="L4341"/>
    </row>
    <row r="4342" spans="1:12" x14ac:dyDescent="0.25">
      <c r="A4342"/>
      <c r="B4342"/>
      <c r="D4342"/>
      <c r="G4342"/>
      <c r="L4342"/>
    </row>
    <row r="4343" spans="1:12" x14ac:dyDescent="0.25">
      <c r="A4343"/>
      <c r="B4343"/>
      <c r="D4343"/>
      <c r="G4343"/>
      <c r="L4343"/>
    </row>
    <row r="4344" spans="1:12" x14ac:dyDescent="0.25">
      <c r="A4344"/>
      <c r="B4344"/>
      <c r="D4344"/>
      <c r="G4344"/>
      <c r="L4344"/>
    </row>
    <row r="4345" spans="1:12" x14ac:dyDescent="0.25">
      <c r="A4345"/>
      <c r="B4345"/>
      <c r="D4345"/>
      <c r="G4345"/>
      <c r="L4345"/>
    </row>
    <row r="4346" spans="1:12" x14ac:dyDescent="0.25">
      <c r="A4346"/>
      <c r="B4346"/>
      <c r="D4346"/>
      <c r="G4346"/>
      <c r="L4346"/>
    </row>
    <row r="4347" spans="1:12" x14ac:dyDescent="0.25">
      <c r="A4347"/>
      <c r="B4347"/>
      <c r="D4347"/>
      <c r="G4347"/>
      <c r="L4347"/>
    </row>
    <row r="4348" spans="1:12" x14ac:dyDescent="0.25">
      <c r="A4348"/>
      <c r="B4348"/>
      <c r="D4348"/>
      <c r="G4348"/>
      <c r="L4348"/>
    </row>
    <row r="4349" spans="1:12" x14ac:dyDescent="0.25">
      <c r="A4349"/>
      <c r="B4349"/>
      <c r="D4349"/>
      <c r="G4349"/>
      <c r="L4349"/>
    </row>
    <row r="4350" spans="1:12" x14ac:dyDescent="0.25">
      <c r="A4350"/>
      <c r="B4350"/>
      <c r="D4350"/>
      <c r="G4350"/>
      <c r="L4350"/>
    </row>
    <row r="4351" spans="1:12" x14ac:dyDescent="0.25">
      <c r="A4351"/>
      <c r="B4351"/>
      <c r="D4351"/>
      <c r="G4351"/>
      <c r="L4351"/>
    </row>
    <row r="4352" spans="1:12" x14ac:dyDescent="0.25">
      <c r="A4352"/>
      <c r="B4352"/>
      <c r="D4352"/>
      <c r="G4352"/>
      <c r="L4352"/>
    </row>
    <row r="4353" spans="1:12" x14ac:dyDescent="0.25">
      <c r="A4353"/>
      <c r="B4353"/>
      <c r="D4353"/>
      <c r="G4353"/>
      <c r="L4353"/>
    </row>
    <row r="4354" spans="1:12" x14ac:dyDescent="0.25">
      <c r="A4354"/>
      <c r="B4354"/>
      <c r="D4354"/>
      <c r="G4354"/>
      <c r="L4354"/>
    </row>
    <row r="4355" spans="1:12" x14ac:dyDescent="0.25">
      <c r="A4355"/>
      <c r="B4355"/>
      <c r="D4355"/>
      <c r="G4355"/>
      <c r="L4355"/>
    </row>
    <row r="4356" spans="1:12" x14ac:dyDescent="0.25">
      <c r="A4356"/>
      <c r="B4356"/>
      <c r="D4356"/>
      <c r="G4356"/>
      <c r="L4356"/>
    </row>
    <row r="4357" spans="1:12" x14ac:dyDescent="0.25">
      <c r="A4357"/>
      <c r="B4357"/>
      <c r="D4357"/>
      <c r="G4357"/>
      <c r="L4357"/>
    </row>
    <row r="4358" spans="1:12" x14ac:dyDescent="0.25">
      <c r="A4358"/>
      <c r="B4358"/>
      <c r="D4358"/>
      <c r="G4358"/>
      <c r="L4358"/>
    </row>
    <row r="4359" spans="1:12" x14ac:dyDescent="0.25">
      <c r="A4359"/>
      <c r="B4359"/>
      <c r="D4359"/>
      <c r="G4359"/>
      <c r="L4359"/>
    </row>
    <row r="4360" spans="1:12" x14ac:dyDescent="0.25">
      <c r="A4360"/>
      <c r="B4360"/>
      <c r="D4360"/>
      <c r="G4360"/>
      <c r="L4360"/>
    </row>
    <row r="4361" spans="1:12" x14ac:dyDescent="0.25">
      <c r="A4361"/>
      <c r="B4361"/>
      <c r="D4361"/>
      <c r="G4361"/>
      <c r="L4361"/>
    </row>
    <row r="4362" spans="1:12" x14ac:dyDescent="0.25">
      <c r="A4362"/>
      <c r="B4362"/>
      <c r="D4362"/>
      <c r="G4362"/>
      <c r="L4362"/>
    </row>
    <row r="4363" spans="1:12" x14ac:dyDescent="0.25">
      <c r="A4363"/>
      <c r="B4363"/>
      <c r="D4363"/>
      <c r="G4363"/>
      <c r="L4363"/>
    </row>
    <row r="4364" spans="1:12" x14ac:dyDescent="0.25">
      <c r="A4364"/>
      <c r="B4364"/>
      <c r="D4364"/>
      <c r="G4364"/>
      <c r="L4364"/>
    </row>
    <row r="4365" spans="1:12" x14ac:dyDescent="0.25">
      <c r="A4365"/>
      <c r="B4365"/>
      <c r="D4365"/>
      <c r="G4365"/>
      <c r="L4365"/>
    </row>
    <row r="4366" spans="1:12" x14ac:dyDescent="0.25">
      <c r="A4366"/>
      <c r="B4366"/>
      <c r="D4366"/>
      <c r="G4366"/>
      <c r="L4366"/>
    </row>
    <row r="4367" spans="1:12" x14ac:dyDescent="0.25">
      <c r="A4367"/>
      <c r="B4367"/>
      <c r="D4367"/>
      <c r="G4367"/>
      <c r="L4367"/>
    </row>
    <row r="4368" spans="1:12" x14ac:dyDescent="0.25">
      <c r="A4368"/>
      <c r="B4368"/>
      <c r="D4368"/>
      <c r="G4368"/>
      <c r="L4368"/>
    </row>
    <row r="4369" spans="1:12" x14ac:dyDescent="0.25">
      <c r="A4369"/>
      <c r="B4369"/>
      <c r="D4369"/>
      <c r="G4369"/>
      <c r="L4369"/>
    </row>
    <row r="4370" spans="1:12" x14ac:dyDescent="0.25">
      <c r="A4370"/>
      <c r="B4370"/>
      <c r="D4370"/>
      <c r="G4370"/>
      <c r="L4370"/>
    </row>
    <row r="4371" spans="1:12" x14ac:dyDescent="0.25">
      <c r="A4371"/>
      <c r="B4371"/>
      <c r="D4371"/>
      <c r="G4371"/>
      <c r="L4371"/>
    </row>
    <row r="4372" spans="1:12" x14ac:dyDescent="0.25">
      <c r="A4372"/>
      <c r="B4372"/>
      <c r="D4372"/>
      <c r="G4372"/>
      <c r="L4372"/>
    </row>
    <row r="4373" spans="1:12" x14ac:dyDescent="0.25">
      <c r="A4373"/>
      <c r="B4373"/>
      <c r="D4373"/>
      <c r="G4373"/>
      <c r="L4373"/>
    </row>
    <row r="4374" spans="1:12" x14ac:dyDescent="0.25">
      <c r="A4374"/>
      <c r="B4374"/>
      <c r="D4374"/>
      <c r="G4374"/>
      <c r="L4374"/>
    </row>
    <row r="4375" spans="1:12" x14ac:dyDescent="0.25">
      <c r="A4375"/>
      <c r="B4375"/>
      <c r="D4375"/>
      <c r="G4375"/>
      <c r="L4375"/>
    </row>
    <row r="4376" spans="1:12" x14ac:dyDescent="0.25">
      <c r="A4376"/>
      <c r="B4376"/>
      <c r="D4376"/>
      <c r="G4376"/>
      <c r="L4376"/>
    </row>
    <row r="4377" spans="1:12" x14ac:dyDescent="0.25">
      <c r="A4377"/>
      <c r="B4377"/>
      <c r="D4377"/>
      <c r="G4377"/>
      <c r="L4377"/>
    </row>
    <row r="4378" spans="1:12" x14ac:dyDescent="0.25">
      <c r="A4378"/>
      <c r="B4378"/>
      <c r="D4378"/>
      <c r="G4378"/>
      <c r="L4378"/>
    </row>
    <row r="4379" spans="1:12" x14ac:dyDescent="0.25">
      <c r="A4379"/>
      <c r="B4379"/>
      <c r="D4379"/>
      <c r="G4379"/>
      <c r="L4379"/>
    </row>
    <row r="4380" spans="1:12" x14ac:dyDescent="0.25">
      <c r="A4380"/>
      <c r="B4380"/>
      <c r="D4380"/>
      <c r="G4380"/>
      <c r="L4380"/>
    </row>
    <row r="4381" spans="1:12" x14ac:dyDescent="0.25">
      <c r="A4381"/>
      <c r="B4381"/>
      <c r="D4381"/>
      <c r="G4381"/>
      <c r="L4381"/>
    </row>
    <row r="4382" spans="1:12" x14ac:dyDescent="0.25">
      <c r="A4382"/>
      <c r="B4382"/>
      <c r="D4382"/>
      <c r="G4382"/>
      <c r="L4382"/>
    </row>
    <row r="4383" spans="1:12" x14ac:dyDescent="0.25">
      <c r="A4383"/>
      <c r="B4383"/>
      <c r="D4383"/>
      <c r="G4383"/>
      <c r="L4383"/>
    </row>
    <row r="4384" spans="1:12" x14ac:dyDescent="0.25">
      <c r="A4384"/>
      <c r="B4384"/>
      <c r="D4384"/>
      <c r="G4384"/>
      <c r="L4384"/>
    </row>
    <row r="4385" spans="1:12" x14ac:dyDescent="0.25">
      <c r="A4385"/>
      <c r="B4385"/>
      <c r="D4385"/>
      <c r="G4385"/>
      <c r="L4385"/>
    </row>
    <row r="4386" spans="1:12" x14ac:dyDescent="0.25">
      <c r="A4386"/>
      <c r="B4386"/>
      <c r="D4386"/>
      <c r="G4386"/>
      <c r="L4386"/>
    </row>
    <row r="4387" spans="1:12" x14ac:dyDescent="0.25">
      <c r="A4387"/>
      <c r="B4387"/>
      <c r="D4387"/>
      <c r="G4387"/>
      <c r="L4387"/>
    </row>
    <row r="4388" spans="1:12" x14ac:dyDescent="0.25">
      <c r="A4388"/>
      <c r="B4388"/>
      <c r="D4388"/>
      <c r="G4388"/>
      <c r="L4388"/>
    </row>
    <row r="4389" spans="1:12" x14ac:dyDescent="0.25">
      <c r="A4389"/>
      <c r="B4389"/>
      <c r="D4389"/>
      <c r="G4389"/>
      <c r="L4389"/>
    </row>
    <row r="4390" spans="1:12" x14ac:dyDescent="0.25">
      <c r="A4390"/>
      <c r="B4390"/>
      <c r="D4390"/>
      <c r="G4390"/>
      <c r="L4390"/>
    </row>
    <row r="4391" spans="1:12" x14ac:dyDescent="0.25">
      <c r="A4391"/>
      <c r="B4391"/>
      <c r="D4391"/>
      <c r="G4391"/>
      <c r="L4391"/>
    </row>
    <row r="4392" spans="1:12" x14ac:dyDescent="0.25">
      <c r="A4392"/>
      <c r="B4392"/>
      <c r="D4392"/>
      <c r="G4392"/>
      <c r="L4392"/>
    </row>
    <row r="4393" spans="1:12" x14ac:dyDescent="0.25">
      <c r="A4393"/>
      <c r="B4393"/>
      <c r="D4393"/>
      <c r="G4393"/>
      <c r="L4393"/>
    </row>
    <row r="4394" spans="1:12" x14ac:dyDescent="0.25">
      <c r="A4394"/>
      <c r="B4394"/>
      <c r="D4394"/>
      <c r="G4394"/>
      <c r="L4394"/>
    </row>
    <row r="4395" spans="1:12" x14ac:dyDescent="0.25">
      <c r="A4395"/>
      <c r="B4395"/>
      <c r="D4395"/>
      <c r="G4395"/>
      <c r="L4395"/>
    </row>
    <row r="4396" spans="1:12" x14ac:dyDescent="0.25">
      <c r="A4396"/>
      <c r="B4396"/>
      <c r="D4396"/>
      <c r="G4396"/>
      <c r="L4396"/>
    </row>
    <row r="4397" spans="1:12" x14ac:dyDescent="0.25">
      <c r="A4397"/>
      <c r="B4397"/>
      <c r="D4397"/>
      <c r="G4397"/>
      <c r="L4397"/>
    </row>
    <row r="4398" spans="1:12" x14ac:dyDescent="0.25">
      <c r="A4398"/>
      <c r="B4398"/>
      <c r="D4398"/>
      <c r="G4398"/>
      <c r="L4398"/>
    </row>
    <row r="4399" spans="1:12" x14ac:dyDescent="0.25">
      <c r="A4399"/>
      <c r="B4399"/>
      <c r="D4399"/>
      <c r="G4399"/>
      <c r="L4399"/>
    </row>
    <row r="4400" spans="1:12" x14ac:dyDescent="0.25">
      <c r="A4400"/>
      <c r="B4400"/>
      <c r="D4400"/>
      <c r="G4400"/>
      <c r="L4400"/>
    </row>
    <row r="4401" spans="1:12" x14ac:dyDescent="0.25">
      <c r="A4401"/>
      <c r="B4401"/>
      <c r="D4401"/>
      <c r="G4401"/>
      <c r="L4401"/>
    </row>
    <row r="4402" spans="1:12" x14ac:dyDescent="0.25">
      <c r="A4402"/>
      <c r="B4402"/>
      <c r="D4402"/>
      <c r="G4402"/>
      <c r="L4402"/>
    </row>
    <row r="4403" spans="1:12" x14ac:dyDescent="0.25">
      <c r="A4403"/>
      <c r="B4403"/>
      <c r="D4403"/>
      <c r="G4403"/>
      <c r="L4403"/>
    </row>
    <row r="4404" spans="1:12" x14ac:dyDescent="0.25">
      <c r="A4404"/>
      <c r="B4404"/>
      <c r="D4404"/>
      <c r="G4404"/>
      <c r="L4404"/>
    </row>
    <row r="4405" spans="1:12" x14ac:dyDescent="0.25">
      <c r="A4405"/>
      <c r="B4405"/>
      <c r="D4405"/>
      <c r="G4405"/>
      <c r="L4405"/>
    </row>
    <row r="4406" spans="1:12" x14ac:dyDescent="0.25">
      <c r="A4406"/>
      <c r="B4406"/>
      <c r="D4406"/>
      <c r="G4406"/>
      <c r="L4406"/>
    </row>
    <row r="4407" spans="1:12" x14ac:dyDescent="0.25">
      <c r="A4407"/>
      <c r="B4407"/>
      <c r="D4407"/>
      <c r="G4407"/>
      <c r="L4407"/>
    </row>
    <row r="4408" spans="1:12" x14ac:dyDescent="0.25">
      <c r="A4408"/>
      <c r="B4408"/>
      <c r="D4408"/>
      <c r="G4408"/>
      <c r="L4408"/>
    </row>
    <row r="4409" spans="1:12" x14ac:dyDescent="0.25">
      <c r="A4409"/>
      <c r="B4409"/>
      <c r="D4409"/>
      <c r="G4409"/>
      <c r="L4409"/>
    </row>
    <row r="4410" spans="1:12" x14ac:dyDescent="0.25">
      <c r="A4410"/>
      <c r="B4410"/>
      <c r="D4410"/>
      <c r="G4410"/>
      <c r="L4410"/>
    </row>
    <row r="4411" spans="1:12" x14ac:dyDescent="0.25">
      <c r="A4411"/>
      <c r="B4411"/>
      <c r="D4411"/>
      <c r="G4411"/>
      <c r="L4411"/>
    </row>
    <row r="4412" spans="1:12" x14ac:dyDescent="0.25">
      <c r="A4412"/>
      <c r="B4412"/>
      <c r="D4412"/>
      <c r="G4412"/>
      <c r="L4412"/>
    </row>
    <row r="4413" spans="1:12" x14ac:dyDescent="0.25">
      <c r="A4413"/>
      <c r="B4413"/>
      <c r="D4413"/>
      <c r="G4413"/>
      <c r="L4413"/>
    </row>
    <row r="4414" spans="1:12" x14ac:dyDescent="0.25">
      <c r="A4414"/>
      <c r="B4414"/>
      <c r="D4414"/>
      <c r="G4414"/>
      <c r="L4414"/>
    </row>
    <row r="4415" spans="1:12" x14ac:dyDescent="0.25">
      <c r="A4415"/>
      <c r="B4415"/>
      <c r="D4415"/>
      <c r="G4415"/>
      <c r="L4415"/>
    </row>
    <row r="4416" spans="1:12" x14ac:dyDescent="0.25">
      <c r="A4416"/>
      <c r="B4416"/>
      <c r="D4416"/>
      <c r="G4416"/>
      <c r="L4416"/>
    </row>
    <row r="4417" spans="1:12" x14ac:dyDescent="0.25">
      <c r="A4417"/>
      <c r="B4417"/>
      <c r="D4417"/>
      <c r="G4417"/>
      <c r="L4417"/>
    </row>
    <row r="4418" spans="1:12" x14ac:dyDescent="0.25">
      <c r="A4418"/>
      <c r="B4418"/>
      <c r="D4418"/>
      <c r="G4418"/>
      <c r="L4418"/>
    </row>
    <row r="4419" spans="1:12" x14ac:dyDescent="0.25">
      <c r="A4419"/>
      <c r="B4419"/>
      <c r="D4419"/>
      <c r="G4419"/>
      <c r="L4419"/>
    </row>
    <row r="4420" spans="1:12" x14ac:dyDescent="0.25">
      <c r="A4420"/>
      <c r="B4420"/>
      <c r="D4420"/>
      <c r="G4420"/>
      <c r="L4420"/>
    </row>
    <row r="4421" spans="1:12" x14ac:dyDescent="0.25">
      <c r="A4421"/>
      <c r="B4421"/>
      <c r="D4421"/>
      <c r="G4421"/>
      <c r="L4421"/>
    </row>
    <row r="4422" spans="1:12" x14ac:dyDescent="0.25">
      <c r="A4422"/>
      <c r="B4422"/>
      <c r="D4422"/>
      <c r="G4422"/>
      <c r="L4422"/>
    </row>
    <row r="4423" spans="1:12" x14ac:dyDescent="0.25">
      <c r="A4423"/>
      <c r="B4423"/>
      <c r="D4423"/>
      <c r="G4423"/>
      <c r="L4423"/>
    </row>
    <row r="4424" spans="1:12" x14ac:dyDescent="0.25">
      <c r="A4424"/>
      <c r="B4424"/>
      <c r="D4424"/>
      <c r="G4424"/>
      <c r="L4424"/>
    </row>
    <row r="4425" spans="1:12" x14ac:dyDescent="0.25">
      <c r="A4425"/>
      <c r="B4425"/>
      <c r="D4425"/>
      <c r="G4425"/>
      <c r="L4425"/>
    </row>
    <row r="4426" spans="1:12" x14ac:dyDescent="0.25">
      <c r="A4426"/>
      <c r="B4426"/>
      <c r="D4426"/>
      <c r="G4426"/>
      <c r="L4426"/>
    </row>
    <row r="4427" spans="1:12" x14ac:dyDescent="0.25">
      <c r="A4427"/>
      <c r="B4427"/>
      <c r="D4427"/>
      <c r="G4427"/>
      <c r="L4427"/>
    </row>
    <row r="4428" spans="1:12" x14ac:dyDescent="0.25">
      <c r="A4428"/>
      <c r="B4428"/>
      <c r="D4428"/>
      <c r="G4428"/>
      <c r="L4428"/>
    </row>
    <row r="4429" spans="1:12" x14ac:dyDescent="0.25">
      <c r="A4429"/>
      <c r="B4429"/>
      <c r="D4429"/>
      <c r="G4429"/>
      <c r="L4429"/>
    </row>
    <row r="4430" spans="1:12" x14ac:dyDescent="0.25">
      <c r="A4430"/>
      <c r="B4430"/>
      <c r="D4430"/>
      <c r="G4430"/>
      <c r="L4430"/>
    </row>
    <row r="4431" spans="1:12" x14ac:dyDescent="0.25">
      <c r="A4431"/>
      <c r="B4431"/>
      <c r="D4431"/>
      <c r="G4431"/>
      <c r="L4431"/>
    </row>
    <row r="4432" spans="1:12" x14ac:dyDescent="0.25">
      <c r="A4432"/>
      <c r="B4432"/>
      <c r="D4432"/>
      <c r="G4432"/>
      <c r="L4432"/>
    </row>
    <row r="4433" spans="1:12" x14ac:dyDescent="0.25">
      <c r="A4433"/>
      <c r="B4433"/>
      <c r="D4433"/>
      <c r="G4433"/>
      <c r="L4433"/>
    </row>
    <row r="4434" spans="1:12" x14ac:dyDescent="0.25">
      <c r="A4434"/>
      <c r="B4434"/>
      <c r="D4434"/>
      <c r="G4434"/>
      <c r="L4434"/>
    </row>
    <row r="4435" spans="1:12" x14ac:dyDescent="0.25">
      <c r="A4435"/>
      <c r="B4435"/>
      <c r="D4435"/>
      <c r="G4435"/>
      <c r="L4435"/>
    </row>
    <row r="4436" spans="1:12" x14ac:dyDescent="0.25">
      <c r="A4436"/>
      <c r="B4436"/>
      <c r="D4436"/>
      <c r="G4436"/>
      <c r="L4436"/>
    </row>
    <row r="4437" spans="1:12" x14ac:dyDescent="0.25">
      <c r="A4437"/>
      <c r="B4437"/>
      <c r="D4437"/>
      <c r="G4437"/>
      <c r="L4437"/>
    </row>
    <row r="4438" spans="1:12" x14ac:dyDescent="0.25">
      <c r="A4438"/>
      <c r="B4438"/>
      <c r="D4438"/>
      <c r="G4438"/>
      <c r="L4438"/>
    </row>
    <row r="4439" spans="1:12" x14ac:dyDescent="0.25">
      <c r="A4439"/>
      <c r="B4439"/>
      <c r="D4439"/>
      <c r="G4439"/>
      <c r="L4439"/>
    </row>
    <row r="4440" spans="1:12" x14ac:dyDescent="0.25">
      <c r="A4440"/>
      <c r="B4440"/>
      <c r="D4440"/>
      <c r="G4440"/>
      <c r="L4440"/>
    </row>
    <row r="4441" spans="1:12" x14ac:dyDescent="0.25">
      <c r="A4441"/>
      <c r="B4441"/>
      <c r="D4441"/>
      <c r="G4441"/>
      <c r="L4441"/>
    </row>
    <row r="4442" spans="1:12" x14ac:dyDescent="0.25">
      <c r="A4442"/>
      <c r="B4442"/>
      <c r="D4442"/>
      <c r="G4442"/>
      <c r="L4442"/>
    </row>
    <row r="4443" spans="1:12" x14ac:dyDescent="0.25">
      <c r="A4443"/>
      <c r="B4443"/>
      <c r="D4443"/>
      <c r="G4443"/>
      <c r="L4443"/>
    </row>
    <row r="4444" spans="1:12" x14ac:dyDescent="0.25">
      <c r="A4444"/>
      <c r="B4444"/>
      <c r="D4444"/>
      <c r="G4444"/>
      <c r="L4444"/>
    </row>
    <row r="4445" spans="1:12" x14ac:dyDescent="0.25">
      <c r="A4445"/>
      <c r="B4445"/>
      <c r="D4445"/>
      <c r="G4445"/>
      <c r="L4445"/>
    </row>
    <row r="4446" spans="1:12" x14ac:dyDescent="0.25">
      <c r="A4446"/>
      <c r="B4446"/>
      <c r="D4446"/>
      <c r="G4446"/>
      <c r="L4446"/>
    </row>
    <row r="4447" spans="1:12" x14ac:dyDescent="0.25">
      <c r="A4447"/>
      <c r="B4447"/>
      <c r="D4447"/>
      <c r="G4447"/>
      <c r="L4447"/>
    </row>
    <row r="4448" spans="1:12" x14ac:dyDescent="0.25">
      <c r="A4448"/>
      <c r="B4448"/>
      <c r="D4448"/>
      <c r="G4448"/>
      <c r="L4448"/>
    </row>
    <row r="4449" spans="1:12" x14ac:dyDescent="0.25">
      <c r="A4449"/>
      <c r="B4449"/>
      <c r="D4449"/>
      <c r="G4449"/>
      <c r="L4449"/>
    </row>
    <row r="4450" spans="1:12" x14ac:dyDescent="0.25">
      <c r="A4450"/>
      <c r="B4450"/>
      <c r="D4450"/>
      <c r="G4450"/>
      <c r="L4450"/>
    </row>
    <row r="4451" spans="1:12" x14ac:dyDescent="0.25">
      <c r="A4451"/>
      <c r="B4451"/>
      <c r="D4451"/>
      <c r="G4451"/>
      <c r="L4451"/>
    </row>
    <row r="4452" spans="1:12" x14ac:dyDescent="0.25">
      <c r="A4452"/>
      <c r="B4452"/>
      <c r="D4452"/>
      <c r="G4452"/>
      <c r="L4452"/>
    </row>
    <row r="4453" spans="1:12" x14ac:dyDescent="0.25">
      <c r="A4453"/>
      <c r="B4453"/>
      <c r="D4453"/>
      <c r="G4453"/>
      <c r="L4453"/>
    </row>
    <row r="4454" spans="1:12" x14ac:dyDescent="0.25">
      <c r="A4454"/>
      <c r="B4454"/>
      <c r="D4454"/>
      <c r="G4454"/>
      <c r="L4454"/>
    </row>
    <row r="4455" spans="1:12" x14ac:dyDescent="0.25">
      <c r="A4455"/>
      <c r="B4455"/>
      <c r="D4455"/>
      <c r="G4455"/>
      <c r="L4455"/>
    </row>
    <row r="4456" spans="1:12" x14ac:dyDescent="0.25">
      <c r="A4456"/>
      <c r="B4456"/>
      <c r="D4456"/>
      <c r="G4456"/>
      <c r="L4456"/>
    </row>
    <row r="4457" spans="1:12" x14ac:dyDescent="0.25">
      <c r="A4457"/>
      <c r="B4457"/>
      <c r="D4457"/>
      <c r="G4457"/>
      <c r="L4457"/>
    </row>
    <row r="4458" spans="1:12" x14ac:dyDescent="0.25">
      <c r="A4458"/>
      <c r="B4458"/>
      <c r="D4458"/>
      <c r="G4458"/>
      <c r="L4458"/>
    </row>
    <row r="4459" spans="1:12" x14ac:dyDescent="0.25">
      <c r="A4459"/>
      <c r="B4459"/>
      <c r="D4459"/>
      <c r="G4459"/>
      <c r="L4459"/>
    </row>
    <row r="4460" spans="1:12" x14ac:dyDescent="0.25">
      <c r="A4460"/>
      <c r="B4460"/>
      <c r="D4460"/>
      <c r="G4460"/>
      <c r="L4460"/>
    </row>
    <row r="4461" spans="1:12" x14ac:dyDescent="0.25">
      <c r="A4461"/>
      <c r="B4461"/>
      <c r="D4461"/>
      <c r="G4461"/>
      <c r="L4461"/>
    </row>
    <row r="4462" spans="1:12" x14ac:dyDescent="0.25">
      <c r="A4462"/>
      <c r="B4462"/>
      <c r="D4462"/>
      <c r="G4462"/>
      <c r="L4462"/>
    </row>
    <row r="4463" spans="1:12" x14ac:dyDescent="0.25">
      <c r="A4463"/>
      <c r="B4463"/>
      <c r="D4463"/>
      <c r="G4463"/>
      <c r="L4463"/>
    </row>
    <row r="4464" spans="1:12" x14ac:dyDescent="0.25">
      <c r="A4464"/>
      <c r="B4464"/>
      <c r="D4464"/>
      <c r="G4464"/>
      <c r="L4464"/>
    </row>
    <row r="4465" spans="1:12" x14ac:dyDescent="0.25">
      <c r="A4465"/>
      <c r="B4465"/>
      <c r="D4465"/>
      <c r="G4465"/>
      <c r="L4465"/>
    </row>
    <row r="4466" spans="1:12" x14ac:dyDescent="0.25">
      <c r="A4466"/>
      <c r="B4466"/>
      <c r="D4466"/>
      <c r="G4466"/>
      <c r="L4466"/>
    </row>
    <row r="4467" spans="1:12" x14ac:dyDescent="0.25">
      <c r="A4467"/>
      <c r="B4467"/>
      <c r="D4467"/>
      <c r="G4467"/>
      <c r="L4467"/>
    </row>
    <row r="4468" spans="1:12" x14ac:dyDescent="0.25">
      <c r="A4468"/>
      <c r="B4468"/>
      <c r="D4468"/>
      <c r="G4468"/>
      <c r="L4468"/>
    </row>
    <row r="4469" spans="1:12" x14ac:dyDescent="0.25">
      <c r="A4469"/>
      <c r="B4469"/>
      <c r="D4469"/>
      <c r="G4469"/>
      <c r="L4469"/>
    </row>
    <row r="4470" spans="1:12" x14ac:dyDescent="0.25">
      <c r="A4470"/>
      <c r="B4470"/>
      <c r="D4470"/>
      <c r="G4470"/>
      <c r="L4470"/>
    </row>
    <row r="4471" spans="1:12" x14ac:dyDescent="0.25">
      <c r="A4471"/>
      <c r="B4471"/>
      <c r="D4471"/>
      <c r="G4471"/>
      <c r="L4471"/>
    </row>
    <row r="4472" spans="1:12" x14ac:dyDescent="0.25">
      <c r="A4472"/>
      <c r="B4472"/>
      <c r="D4472"/>
      <c r="G4472"/>
      <c r="L4472"/>
    </row>
    <row r="4473" spans="1:12" x14ac:dyDescent="0.25">
      <c r="A4473"/>
      <c r="B4473"/>
      <c r="D4473"/>
      <c r="G4473"/>
      <c r="L4473"/>
    </row>
    <row r="4474" spans="1:12" x14ac:dyDescent="0.25">
      <c r="A4474"/>
      <c r="B4474"/>
      <c r="D4474"/>
      <c r="G4474"/>
      <c r="L4474"/>
    </row>
    <row r="4475" spans="1:12" x14ac:dyDescent="0.25">
      <c r="A4475"/>
      <c r="B4475"/>
      <c r="D4475"/>
      <c r="G4475"/>
      <c r="L4475"/>
    </row>
    <row r="4476" spans="1:12" x14ac:dyDescent="0.25">
      <c r="A4476"/>
      <c r="B4476"/>
      <c r="D4476"/>
      <c r="G4476"/>
      <c r="L4476"/>
    </row>
    <row r="4477" spans="1:12" x14ac:dyDescent="0.25">
      <c r="A4477"/>
      <c r="B4477"/>
      <c r="D4477"/>
      <c r="G4477"/>
      <c r="L4477"/>
    </row>
    <row r="4478" spans="1:12" x14ac:dyDescent="0.25">
      <c r="A4478"/>
      <c r="B4478"/>
      <c r="D4478"/>
      <c r="G4478"/>
      <c r="L4478"/>
    </row>
    <row r="4479" spans="1:12" x14ac:dyDescent="0.25">
      <c r="A4479"/>
      <c r="B4479"/>
      <c r="D4479"/>
      <c r="G4479"/>
      <c r="L4479"/>
    </row>
    <row r="4480" spans="1:12" x14ac:dyDescent="0.25">
      <c r="A4480"/>
      <c r="B4480"/>
      <c r="D4480"/>
      <c r="G4480"/>
      <c r="L4480"/>
    </row>
    <row r="4481" spans="1:12" x14ac:dyDescent="0.25">
      <c r="A4481"/>
      <c r="B4481"/>
      <c r="D4481"/>
      <c r="G4481"/>
      <c r="L4481"/>
    </row>
    <row r="4482" spans="1:12" x14ac:dyDescent="0.25">
      <c r="A4482"/>
      <c r="B4482"/>
      <c r="D4482"/>
      <c r="G4482"/>
      <c r="L4482"/>
    </row>
    <row r="4483" spans="1:12" x14ac:dyDescent="0.25">
      <c r="A4483"/>
      <c r="B4483"/>
      <c r="D4483"/>
      <c r="G4483"/>
      <c r="L4483"/>
    </row>
    <row r="4484" spans="1:12" x14ac:dyDescent="0.25">
      <c r="A4484"/>
      <c r="B4484"/>
      <c r="D4484"/>
      <c r="G4484"/>
      <c r="L4484"/>
    </row>
    <row r="4485" spans="1:12" x14ac:dyDescent="0.25">
      <c r="A4485"/>
      <c r="B4485"/>
      <c r="D4485"/>
      <c r="G4485"/>
      <c r="L4485"/>
    </row>
    <row r="4486" spans="1:12" x14ac:dyDescent="0.25">
      <c r="A4486"/>
      <c r="B4486"/>
      <c r="D4486"/>
      <c r="G4486"/>
      <c r="L4486"/>
    </row>
    <row r="4487" spans="1:12" x14ac:dyDescent="0.25">
      <c r="A4487"/>
      <c r="B4487"/>
      <c r="D4487"/>
      <c r="G4487"/>
      <c r="L4487"/>
    </row>
    <row r="4488" spans="1:12" x14ac:dyDescent="0.25">
      <c r="A4488"/>
      <c r="B4488"/>
      <c r="D4488"/>
      <c r="G4488"/>
      <c r="L4488"/>
    </row>
    <row r="4489" spans="1:12" x14ac:dyDescent="0.25">
      <c r="A4489"/>
      <c r="B4489"/>
      <c r="D4489"/>
      <c r="G4489"/>
      <c r="L4489"/>
    </row>
    <row r="4490" spans="1:12" x14ac:dyDescent="0.25">
      <c r="A4490"/>
      <c r="B4490"/>
      <c r="D4490"/>
      <c r="G4490"/>
      <c r="L4490"/>
    </row>
    <row r="4491" spans="1:12" x14ac:dyDescent="0.25">
      <c r="A4491"/>
      <c r="B4491"/>
      <c r="D4491"/>
      <c r="G4491"/>
      <c r="L4491"/>
    </row>
    <row r="4492" spans="1:12" x14ac:dyDescent="0.25">
      <c r="A4492"/>
      <c r="B4492"/>
      <c r="D4492"/>
      <c r="G4492"/>
      <c r="L4492"/>
    </row>
    <row r="4493" spans="1:12" x14ac:dyDescent="0.25">
      <c r="A4493"/>
      <c r="B4493"/>
      <c r="D4493"/>
      <c r="G4493"/>
      <c r="L4493"/>
    </row>
    <row r="4494" spans="1:12" x14ac:dyDescent="0.25">
      <c r="A4494"/>
      <c r="B4494"/>
      <c r="D4494"/>
      <c r="G4494"/>
      <c r="L4494"/>
    </row>
    <row r="4495" spans="1:12" x14ac:dyDescent="0.25">
      <c r="A4495"/>
      <c r="B4495"/>
      <c r="D4495"/>
      <c r="G4495"/>
      <c r="L4495"/>
    </row>
    <row r="4496" spans="1:12" x14ac:dyDescent="0.25">
      <c r="A4496"/>
      <c r="B4496"/>
      <c r="D4496"/>
      <c r="G4496"/>
      <c r="L4496"/>
    </row>
    <row r="4497" spans="1:12" x14ac:dyDescent="0.25">
      <c r="A4497"/>
      <c r="B4497"/>
      <c r="D4497"/>
      <c r="G4497"/>
      <c r="L4497"/>
    </row>
    <row r="4498" spans="1:12" x14ac:dyDescent="0.25">
      <c r="A4498"/>
      <c r="B4498"/>
      <c r="D4498"/>
      <c r="G4498"/>
      <c r="L4498"/>
    </row>
    <row r="4499" spans="1:12" x14ac:dyDescent="0.25">
      <c r="A4499"/>
      <c r="B4499"/>
      <c r="D4499"/>
      <c r="G4499"/>
      <c r="L4499"/>
    </row>
    <row r="4500" spans="1:12" x14ac:dyDescent="0.25">
      <c r="A4500"/>
      <c r="B4500"/>
      <c r="D4500"/>
      <c r="G4500"/>
      <c r="L4500"/>
    </row>
    <row r="4501" spans="1:12" x14ac:dyDescent="0.25">
      <c r="A4501"/>
      <c r="B4501"/>
      <c r="D4501"/>
      <c r="G4501"/>
      <c r="L4501"/>
    </row>
    <row r="4502" spans="1:12" x14ac:dyDescent="0.25">
      <c r="A4502"/>
      <c r="B4502"/>
      <c r="D4502"/>
      <c r="G4502"/>
      <c r="L4502"/>
    </row>
    <row r="4503" spans="1:12" x14ac:dyDescent="0.25">
      <c r="A4503"/>
      <c r="B4503"/>
      <c r="D4503"/>
      <c r="G4503"/>
      <c r="L4503"/>
    </row>
    <row r="4504" spans="1:12" x14ac:dyDescent="0.25">
      <c r="A4504"/>
      <c r="B4504"/>
      <c r="D4504"/>
      <c r="G4504"/>
      <c r="L4504"/>
    </row>
    <row r="4505" spans="1:12" x14ac:dyDescent="0.25">
      <c r="A4505"/>
      <c r="B4505"/>
      <c r="D4505"/>
      <c r="G4505"/>
      <c r="L4505"/>
    </row>
    <row r="4506" spans="1:12" x14ac:dyDescent="0.25">
      <c r="A4506"/>
      <c r="B4506"/>
      <c r="D4506"/>
      <c r="G4506"/>
      <c r="L4506"/>
    </row>
    <row r="4507" spans="1:12" x14ac:dyDescent="0.25">
      <c r="A4507"/>
      <c r="B4507"/>
      <c r="D4507"/>
      <c r="G4507"/>
      <c r="L4507"/>
    </row>
    <row r="4508" spans="1:12" x14ac:dyDescent="0.25">
      <c r="A4508"/>
      <c r="B4508"/>
      <c r="D4508"/>
      <c r="G4508"/>
      <c r="L4508"/>
    </row>
    <row r="4509" spans="1:12" x14ac:dyDescent="0.25">
      <c r="A4509"/>
      <c r="B4509"/>
      <c r="D4509"/>
      <c r="G4509"/>
      <c r="L4509"/>
    </row>
    <row r="4510" spans="1:12" x14ac:dyDescent="0.25">
      <c r="A4510"/>
      <c r="B4510"/>
      <c r="D4510"/>
      <c r="G4510"/>
      <c r="L4510"/>
    </row>
    <row r="4511" spans="1:12" x14ac:dyDescent="0.25">
      <c r="A4511"/>
      <c r="B4511"/>
      <c r="D4511"/>
      <c r="G4511"/>
      <c r="L4511"/>
    </row>
    <row r="4512" spans="1:12" x14ac:dyDescent="0.25">
      <c r="A4512"/>
      <c r="B4512"/>
      <c r="D4512"/>
      <c r="G4512"/>
      <c r="L4512"/>
    </row>
    <row r="4513" spans="1:12" x14ac:dyDescent="0.25">
      <c r="A4513"/>
      <c r="B4513"/>
      <c r="D4513"/>
      <c r="G4513"/>
      <c r="L4513"/>
    </row>
    <row r="4514" spans="1:12" x14ac:dyDescent="0.25">
      <c r="A4514"/>
      <c r="B4514"/>
      <c r="D4514"/>
      <c r="G4514"/>
      <c r="L4514"/>
    </row>
    <row r="4515" spans="1:12" x14ac:dyDescent="0.25">
      <c r="A4515"/>
      <c r="B4515"/>
      <c r="D4515"/>
      <c r="G4515"/>
      <c r="L4515"/>
    </row>
    <row r="4516" spans="1:12" x14ac:dyDescent="0.25">
      <c r="A4516"/>
      <c r="B4516"/>
      <c r="D4516"/>
      <c r="G4516"/>
      <c r="L4516"/>
    </row>
    <row r="4517" spans="1:12" x14ac:dyDescent="0.25">
      <c r="A4517"/>
      <c r="B4517"/>
      <c r="D4517"/>
      <c r="G4517"/>
      <c r="L4517"/>
    </row>
    <row r="4518" spans="1:12" x14ac:dyDescent="0.25">
      <c r="A4518"/>
      <c r="B4518"/>
      <c r="D4518"/>
      <c r="G4518"/>
      <c r="L4518"/>
    </row>
    <row r="4519" spans="1:12" x14ac:dyDescent="0.25">
      <c r="A4519"/>
      <c r="B4519"/>
      <c r="D4519"/>
      <c r="G4519"/>
      <c r="L4519"/>
    </row>
    <row r="4520" spans="1:12" x14ac:dyDescent="0.25">
      <c r="A4520"/>
      <c r="B4520"/>
      <c r="D4520"/>
      <c r="G4520"/>
      <c r="L4520"/>
    </row>
    <row r="4521" spans="1:12" x14ac:dyDescent="0.25">
      <c r="A4521"/>
      <c r="B4521"/>
      <c r="D4521"/>
      <c r="G4521"/>
      <c r="L4521"/>
    </row>
    <row r="4522" spans="1:12" x14ac:dyDescent="0.25">
      <c r="A4522"/>
      <c r="B4522"/>
      <c r="D4522"/>
      <c r="G4522"/>
      <c r="L4522"/>
    </row>
    <row r="4523" spans="1:12" x14ac:dyDescent="0.25">
      <c r="A4523"/>
      <c r="B4523"/>
      <c r="D4523"/>
      <c r="G4523"/>
      <c r="L4523"/>
    </row>
    <row r="4524" spans="1:12" x14ac:dyDescent="0.25">
      <c r="A4524"/>
      <c r="B4524"/>
      <c r="D4524"/>
      <c r="G4524"/>
      <c r="L4524"/>
    </row>
    <row r="4525" spans="1:12" x14ac:dyDescent="0.25">
      <c r="A4525"/>
      <c r="B4525"/>
      <c r="D4525"/>
      <c r="G4525"/>
      <c r="L4525"/>
    </row>
    <row r="4526" spans="1:12" x14ac:dyDescent="0.25">
      <c r="A4526"/>
      <c r="B4526"/>
      <c r="D4526"/>
      <c r="G4526"/>
      <c r="L4526"/>
    </row>
    <row r="4527" spans="1:12" x14ac:dyDescent="0.25">
      <c r="A4527"/>
      <c r="B4527"/>
      <c r="D4527"/>
      <c r="G4527"/>
      <c r="L4527"/>
    </row>
    <row r="4528" spans="1:12" x14ac:dyDescent="0.25">
      <c r="A4528"/>
      <c r="B4528"/>
      <c r="D4528"/>
      <c r="G4528"/>
      <c r="L4528"/>
    </row>
    <row r="4529" spans="1:12" x14ac:dyDescent="0.25">
      <c r="A4529"/>
      <c r="B4529"/>
      <c r="D4529"/>
      <c r="G4529"/>
      <c r="L4529"/>
    </row>
    <row r="4530" spans="1:12" x14ac:dyDescent="0.25">
      <c r="A4530"/>
      <c r="B4530"/>
      <c r="D4530"/>
      <c r="G4530"/>
      <c r="L4530"/>
    </row>
    <row r="4531" spans="1:12" x14ac:dyDescent="0.25">
      <c r="A4531"/>
      <c r="B4531"/>
      <c r="D4531"/>
      <c r="G4531"/>
      <c r="L4531"/>
    </row>
    <row r="4532" spans="1:12" x14ac:dyDescent="0.25">
      <c r="A4532"/>
      <c r="B4532"/>
      <c r="D4532"/>
      <c r="G4532"/>
      <c r="L4532"/>
    </row>
    <row r="4533" spans="1:12" x14ac:dyDescent="0.25">
      <c r="A4533"/>
      <c r="B4533"/>
      <c r="D4533"/>
      <c r="G4533"/>
      <c r="L4533"/>
    </row>
    <row r="4534" spans="1:12" x14ac:dyDescent="0.25">
      <c r="A4534"/>
      <c r="B4534"/>
      <c r="D4534"/>
      <c r="G4534"/>
      <c r="L4534"/>
    </row>
    <row r="4535" spans="1:12" x14ac:dyDescent="0.25">
      <c r="A4535"/>
      <c r="B4535"/>
      <c r="D4535"/>
      <c r="G4535"/>
      <c r="L4535"/>
    </row>
    <row r="4536" spans="1:12" x14ac:dyDescent="0.25">
      <c r="A4536"/>
      <c r="B4536"/>
      <c r="D4536"/>
      <c r="G4536"/>
      <c r="L4536"/>
    </row>
    <row r="4537" spans="1:12" x14ac:dyDescent="0.25">
      <c r="A4537"/>
      <c r="B4537"/>
      <c r="D4537"/>
      <c r="G4537"/>
      <c r="L4537"/>
    </row>
    <row r="4538" spans="1:12" x14ac:dyDescent="0.25">
      <c r="A4538"/>
      <c r="B4538"/>
      <c r="D4538"/>
      <c r="G4538"/>
      <c r="L4538"/>
    </row>
    <row r="4539" spans="1:12" x14ac:dyDescent="0.25">
      <c r="A4539"/>
      <c r="B4539"/>
      <c r="D4539"/>
      <c r="G4539"/>
      <c r="L4539"/>
    </row>
    <row r="4540" spans="1:12" x14ac:dyDescent="0.25">
      <c r="A4540"/>
      <c r="B4540"/>
      <c r="D4540"/>
      <c r="G4540"/>
      <c r="L4540"/>
    </row>
    <row r="4541" spans="1:12" x14ac:dyDescent="0.25">
      <c r="A4541"/>
      <c r="B4541"/>
      <c r="D4541"/>
      <c r="G4541"/>
      <c r="L4541"/>
    </row>
    <row r="4542" spans="1:12" x14ac:dyDescent="0.25">
      <c r="A4542"/>
      <c r="B4542"/>
      <c r="D4542"/>
      <c r="G4542"/>
      <c r="L4542"/>
    </row>
    <row r="4543" spans="1:12" x14ac:dyDescent="0.25">
      <c r="A4543"/>
      <c r="B4543"/>
      <c r="D4543"/>
      <c r="G4543"/>
      <c r="L4543"/>
    </row>
    <row r="4544" spans="1:12" x14ac:dyDescent="0.25">
      <c r="A4544"/>
      <c r="B4544"/>
      <c r="D4544"/>
      <c r="G4544"/>
      <c r="L4544"/>
    </row>
    <row r="4545" spans="1:12" x14ac:dyDescent="0.25">
      <c r="A4545"/>
      <c r="B4545"/>
      <c r="D4545"/>
      <c r="G4545"/>
      <c r="L4545"/>
    </row>
    <row r="4546" spans="1:12" x14ac:dyDescent="0.25">
      <c r="A4546"/>
      <c r="B4546"/>
      <c r="D4546"/>
      <c r="G4546"/>
      <c r="L4546"/>
    </row>
    <row r="4547" spans="1:12" x14ac:dyDescent="0.25">
      <c r="A4547"/>
      <c r="B4547"/>
      <c r="D4547"/>
      <c r="G4547"/>
      <c r="L4547"/>
    </row>
    <row r="4548" spans="1:12" x14ac:dyDescent="0.25">
      <c r="A4548"/>
      <c r="B4548"/>
      <c r="D4548"/>
      <c r="G4548"/>
      <c r="L4548"/>
    </row>
    <row r="4549" spans="1:12" x14ac:dyDescent="0.25">
      <c r="A4549"/>
      <c r="B4549"/>
      <c r="D4549"/>
      <c r="G4549"/>
      <c r="L4549"/>
    </row>
    <row r="4550" spans="1:12" x14ac:dyDescent="0.25">
      <c r="A4550"/>
      <c r="B4550"/>
      <c r="D4550"/>
      <c r="G4550"/>
      <c r="L4550"/>
    </row>
    <row r="4551" spans="1:12" x14ac:dyDescent="0.25">
      <c r="A4551"/>
      <c r="B4551"/>
      <c r="D4551"/>
      <c r="G4551"/>
      <c r="L4551"/>
    </row>
    <row r="4552" spans="1:12" x14ac:dyDescent="0.25">
      <c r="A4552"/>
      <c r="B4552"/>
      <c r="D4552"/>
      <c r="G4552"/>
      <c r="L4552"/>
    </row>
    <row r="4553" spans="1:12" x14ac:dyDescent="0.25">
      <c r="A4553"/>
      <c r="B4553"/>
      <c r="D4553"/>
      <c r="G4553"/>
      <c r="L4553"/>
    </row>
    <row r="4554" spans="1:12" x14ac:dyDescent="0.25">
      <c r="A4554"/>
      <c r="B4554"/>
      <c r="D4554"/>
      <c r="G4554"/>
      <c r="L4554"/>
    </row>
    <row r="4555" spans="1:12" x14ac:dyDescent="0.25">
      <c r="A4555"/>
      <c r="B4555"/>
      <c r="D4555"/>
      <c r="G4555"/>
      <c r="L4555"/>
    </row>
    <row r="4556" spans="1:12" x14ac:dyDescent="0.25">
      <c r="A4556"/>
      <c r="B4556"/>
      <c r="D4556"/>
      <c r="G4556"/>
      <c r="L4556"/>
    </row>
    <row r="4557" spans="1:12" x14ac:dyDescent="0.25">
      <c r="A4557"/>
      <c r="B4557"/>
      <c r="D4557"/>
      <c r="G4557"/>
      <c r="L4557"/>
    </row>
    <row r="4558" spans="1:12" x14ac:dyDescent="0.25">
      <c r="A4558"/>
      <c r="B4558"/>
      <c r="D4558"/>
      <c r="G4558"/>
      <c r="L4558"/>
    </row>
    <row r="4559" spans="1:12" x14ac:dyDescent="0.25">
      <c r="A4559"/>
      <c r="B4559"/>
      <c r="D4559"/>
      <c r="G4559"/>
      <c r="L4559"/>
    </row>
    <row r="4560" spans="1:12" x14ac:dyDescent="0.25">
      <c r="A4560"/>
      <c r="B4560"/>
      <c r="D4560"/>
      <c r="G4560"/>
      <c r="L4560"/>
    </row>
    <row r="4561" spans="1:12" x14ac:dyDescent="0.25">
      <c r="A4561"/>
      <c r="B4561"/>
      <c r="D4561"/>
      <c r="G4561"/>
      <c r="L4561"/>
    </row>
    <row r="4562" spans="1:12" x14ac:dyDescent="0.25">
      <c r="A4562"/>
      <c r="B4562"/>
      <c r="D4562"/>
      <c r="G4562"/>
      <c r="L4562"/>
    </row>
    <row r="4563" spans="1:12" x14ac:dyDescent="0.25">
      <c r="A4563"/>
      <c r="B4563"/>
      <c r="D4563"/>
      <c r="G4563"/>
      <c r="L4563"/>
    </row>
    <row r="4564" spans="1:12" x14ac:dyDescent="0.25">
      <c r="A4564"/>
      <c r="B4564"/>
      <c r="D4564"/>
      <c r="G4564"/>
      <c r="L4564"/>
    </row>
    <row r="4565" spans="1:12" x14ac:dyDescent="0.25">
      <c r="A4565"/>
      <c r="B4565"/>
      <c r="D4565"/>
      <c r="G4565"/>
      <c r="L4565"/>
    </row>
    <row r="4566" spans="1:12" x14ac:dyDescent="0.25">
      <c r="A4566"/>
      <c r="B4566"/>
      <c r="D4566"/>
      <c r="G4566"/>
      <c r="L4566"/>
    </row>
    <row r="4567" spans="1:12" x14ac:dyDescent="0.25">
      <c r="A4567"/>
      <c r="B4567"/>
      <c r="D4567"/>
      <c r="G4567"/>
      <c r="L4567"/>
    </row>
    <row r="4568" spans="1:12" x14ac:dyDescent="0.25">
      <c r="A4568"/>
      <c r="B4568"/>
      <c r="D4568"/>
      <c r="G4568"/>
      <c r="L4568"/>
    </row>
    <row r="4569" spans="1:12" x14ac:dyDescent="0.25">
      <c r="A4569"/>
      <c r="B4569"/>
      <c r="D4569"/>
      <c r="G4569"/>
      <c r="L4569"/>
    </row>
    <row r="4570" spans="1:12" x14ac:dyDescent="0.25">
      <c r="A4570"/>
      <c r="B4570"/>
      <c r="D4570"/>
      <c r="G4570"/>
      <c r="L4570"/>
    </row>
    <row r="4571" spans="1:12" x14ac:dyDescent="0.25">
      <c r="A4571"/>
      <c r="B4571"/>
      <c r="D4571"/>
      <c r="G4571"/>
      <c r="L4571"/>
    </row>
    <row r="4572" spans="1:12" x14ac:dyDescent="0.25">
      <c r="A4572"/>
      <c r="B4572"/>
      <c r="D4572"/>
      <c r="G4572"/>
      <c r="L4572"/>
    </row>
    <row r="4573" spans="1:12" x14ac:dyDescent="0.25">
      <c r="A4573"/>
      <c r="B4573"/>
      <c r="D4573"/>
      <c r="G4573"/>
      <c r="L4573"/>
    </row>
    <row r="4574" spans="1:12" x14ac:dyDescent="0.25">
      <c r="A4574"/>
      <c r="B4574"/>
      <c r="D4574"/>
      <c r="G4574"/>
      <c r="L4574"/>
    </row>
    <row r="4575" spans="1:12" x14ac:dyDescent="0.25">
      <c r="A4575"/>
      <c r="B4575"/>
      <c r="D4575"/>
      <c r="G4575"/>
      <c r="L4575"/>
    </row>
    <row r="4576" spans="1:12" x14ac:dyDescent="0.25">
      <c r="A4576"/>
      <c r="B4576"/>
      <c r="D4576"/>
      <c r="G4576"/>
      <c r="L4576"/>
    </row>
    <row r="4577" spans="1:12" x14ac:dyDescent="0.25">
      <c r="A4577"/>
      <c r="B4577"/>
      <c r="D4577"/>
      <c r="G4577"/>
      <c r="L4577"/>
    </row>
    <row r="4578" spans="1:12" x14ac:dyDescent="0.25">
      <c r="A4578"/>
      <c r="B4578"/>
      <c r="D4578"/>
      <c r="G4578"/>
      <c r="L4578"/>
    </row>
    <row r="4579" spans="1:12" x14ac:dyDescent="0.25">
      <c r="A4579"/>
      <c r="B4579"/>
      <c r="D4579"/>
      <c r="G4579"/>
      <c r="L4579"/>
    </row>
    <row r="4580" spans="1:12" x14ac:dyDescent="0.25">
      <c r="A4580"/>
      <c r="B4580"/>
      <c r="D4580"/>
      <c r="G4580"/>
      <c r="L4580"/>
    </row>
    <row r="4581" spans="1:12" x14ac:dyDescent="0.25">
      <c r="A4581"/>
      <c r="B4581"/>
      <c r="D4581"/>
      <c r="G4581"/>
      <c r="L4581"/>
    </row>
    <row r="4582" spans="1:12" x14ac:dyDescent="0.25">
      <c r="A4582"/>
      <c r="B4582"/>
      <c r="D4582"/>
      <c r="G4582"/>
      <c r="L4582"/>
    </row>
    <row r="4583" spans="1:12" x14ac:dyDescent="0.25">
      <c r="A4583"/>
      <c r="B4583"/>
      <c r="D4583"/>
      <c r="G4583"/>
      <c r="L4583"/>
    </row>
    <row r="4584" spans="1:12" x14ac:dyDescent="0.25">
      <c r="A4584"/>
      <c r="B4584"/>
      <c r="D4584"/>
      <c r="G4584"/>
      <c r="L4584"/>
    </row>
    <row r="4585" spans="1:12" x14ac:dyDescent="0.25">
      <c r="A4585"/>
      <c r="B4585"/>
      <c r="D4585"/>
      <c r="G4585"/>
      <c r="L4585"/>
    </row>
    <row r="4586" spans="1:12" x14ac:dyDescent="0.25">
      <c r="A4586"/>
      <c r="B4586"/>
      <c r="D4586"/>
      <c r="G4586"/>
      <c r="L4586"/>
    </row>
    <row r="4587" spans="1:12" x14ac:dyDescent="0.25">
      <c r="A4587"/>
      <c r="B4587"/>
      <c r="D4587"/>
      <c r="G4587"/>
      <c r="L4587"/>
    </row>
    <row r="4588" spans="1:12" x14ac:dyDescent="0.25">
      <c r="A4588"/>
      <c r="B4588"/>
      <c r="D4588"/>
      <c r="G4588"/>
      <c r="L4588"/>
    </row>
    <row r="4589" spans="1:12" x14ac:dyDescent="0.25">
      <c r="A4589"/>
      <c r="B4589"/>
      <c r="D4589"/>
      <c r="G4589"/>
      <c r="L4589"/>
    </row>
    <row r="4590" spans="1:12" x14ac:dyDescent="0.25">
      <c r="A4590"/>
      <c r="B4590"/>
      <c r="D4590"/>
      <c r="G4590"/>
      <c r="L4590"/>
    </row>
    <row r="4591" spans="1:12" x14ac:dyDescent="0.25">
      <c r="A4591"/>
      <c r="B4591"/>
      <c r="D4591"/>
      <c r="G4591"/>
      <c r="L4591"/>
    </row>
    <row r="4592" spans="1:12" x14ac:dyDescent="0.25">
      <c r="A4592"/>
      <c r="B4592"/>
      <c r="D4592"/>
      <c r="G4592"/>
      <c r="L4592"/>
    </row>
    <row r="4593" spans="1:12" x14ac:dyDescent="0.25">
      <c r="A4593"/>
      <c r="B4593"/>
      <c r="D4593"/>
      <c r="G4593"/>
      <c r="L4593"/>
    </row>
    <row r="4594" spans="1:12" x14ac:dyDescent="0.25">
      <c r="A4594"/>
      <c r="B4594"/>
      <c r="D4594"/>
      <c r="G4594"/>
      <c r="L4594"/>
    </row>
    <row r="4595" spans="1:12" x14ac:dyDescent="0.25">
      <c r="A4595"/>
      <c r="B4595"/>
      <c r="D4595"/>
      <c r="G4595"/>
      <c r="L4595"/>
    </row>
    <row r="4596" spans="1:12" x14ac:dyDescent="0.25">
      <c r="A4596"/>
      <c r="B4596"/>
      <c r="D4596"/>
      <c r="G4596"/>
      <c r="L4596"/>
    </row>
    <row r="4597" spans="1:12" x14ac:dyDescent="0.25">
      <c r="A4597"/>
      <c r="B4597"/>
      <c r="D4597"/>
      <c r="G4597"/>
      <c r="L4597"/>
    </row>
    <row r="4598" spans="1:12" x14ac:dyDescent="0.25">
      <c r="A4598"/>
      <c r="B4598"/>
      <c r="D4598"/>
      <c r="G4598"/>
      <c r="L4598"/>
    </row>
    <row r="4599" spans="1:12" x14ac:dyDescent="0.25">
      <c r="A4599"/>
      <c r="B4599"/>
      <c r="D4599"/>
      <c r="G4599"/>
      <c r="L4599"/>
    </row>
    <row r="4600" spans="1:12" x14ac:dyDescent="0.25">
      <c r="A4600"/>
      <c r="B4600"/>
      <c r="D4600"/>
      <c r="G4600"/>
      <c r="L4600"/>
    </row>
    <row r="4601" spans="1:12" x14ac:dyDescent="0.25">
      <c r="A4601"/>
      <c r="B4601"/>
      <c r="D4601"/>
      <c r="G4601"/>
      <c r="L4601"/>
    </row>
    <row r="4602" spans="1:12" x14ac:dyDescent="0.25">
      <c r="A4602"/>
      <c r="B4602"/>
      <c r="D4602"/>
      <c r="G4602"/>
      <c r="L4602"/>
    </row>
    <row r="4603" spans="1:12" x14ac:dyDescent="0.25">
      <c r="A4603"/>
      <c r="B4603"/>
      <c r="D4603"/>
      <c r="G4603"/>
      <c r="L4603"/>
    </row>
    <row r="4604" spans="1:12" x14ac:dyDescent="0.25">
      <c r="A4604"/>
      <c r="B4604"/>
      <c r="D4604"/>
      <c r="G4604"/>
      <c r="L4604"/>
    </row>
    <row r="4605" spans="1:12" x14ac:dyDescent="0.25">
      <c r="A4605"/>
      <c r="B4605"/>
      <c r="D4605"/>
      <c r="G4605"/>
      <c r="L4605"/>
    </row>
    <row r="4606" spans="1:12" x14ac:dyDescent="0.25">
      <c r="A4606"/>
      <c r="B4606"/>
      <c r="D4606"/>
      <c r="G4606"/>
      <c r="L4606"/>
    </row>
    <row r="4607" spans="1:12" x14ac:dyDescent="0.25">
      <c r="A4607"/>
      <c r="B4607"/>
      <c r="D4607"/>
      <c r="G4607"/>
      <c r="L4607"/>
    </row>
    <row r="4608" spans="1:12" x14ac:dyDescent="0.25">
      <c r="A4608"/>
      <c r="B4608"/>
      <c r="D4608"/>
      <c r="G4608"/>
      <c r="L4608"/>
    </row>
    <row r="4609" spans="1:12" x14ac:dyDescent="0.25">
      <c r="A4609"/>
      <c r="B4609"/>
      <c r="D4609"/>
      <c r="G4609"/>
      <c r="L4609"/>
    </row>
    <row r="4610" spans="1:12" x14ac:dyDescent="0.25">
      <c r="A4610"/>
      <c r="B4610"/>
      <c r="D4610"/>
      <c r="G4610"/>
      <c r="L4610"/>
    </row>
    <row r="4611" spans="1:12" x14ac:dyDescent="0.25">
      <c r="A4611"/>
      <c r="B4611"/>
      <c r="D4611"/>
      <c r="G4611"/>
      <c r="L4611"/>
    </row>
    <row r="4612" spans="1:12" x14ac:dyDescent="0.25">
      <c r="A4612"/>
      <c r="B4612"/>
      <c r="D4612"/>
      <c r="G4612"/>
      <c r="L4612"/>
    </row>
    <row r="4613" spans="1:12" x14ac:dyDescent="0.25">
      <c r="A4613"/>
      <c r="B4613"/>
      <c r="D4613"/>
      <c r="G4613"/>
      <c r="L4613"/>
    </row>
    <row r="4614" spans="1:12" x14ac:dyDescent="0.25">
      <c r="A4614"/>
      <c r="B4614"/>
      <c r="D4614"/>
      <c r="G4614"/>
      <c r="L4614"/>
    </row>
    <row r="4615" spans="1:12" x14ac:dyDescent="0.25">
      <c r="A4615"/>
      <c r="B4615"/>
      <c r="D4615"/>
      <c r="G4615"/>
      <c r="L4615"/>
    </row>
    <row r="4616" spans="1:12" x14ac:dyDescent="0.25">
      <c r="A4616"/>
      <c r="B4616"/>
      <c r="D4616"/>
      <c r="G4616"/>
      <c r="L4616"/>
    </row>
    <row r="4617" spans="1:12" x14ac:dyDescent="0.25">
      <c r="A4617"/>
      <c r="B4617"/>
      <c r="D4617"/>
      <c r="G4617"/>
      <c r="L4617"/>
    </row>
    <row r="4618" spans="1:12" x14ac:dyDescent="0.25">
      <c r="A4618"/>
      <c r="B4618"/>
      <c r="D4618"/>
      <c r="G4618"/>
      <c r="L4618"/>
    </row>
    <row r="4619" spans="1:12" x14ac:dyDescent="0.25">
      <c r="A4619"/>
      <c r="B4619"/>
      <c r="D4619"/>
      <c r="G4619"/>
      <c r="L4619"/>
    </row>
    <row r="4620" spans="1:12" x14ac:dyDescent="0.25">
      <c r="A4620"/>
      <c r="B4620"/>
      <c r="D4620"/>
      <c r="G4620"/>
      <c r="L4620"/>
    </row>
    <row r="4621" spans="1:12" x14ac:dyDescent="0.25">
      <c r="A4621"/>
      <c r="B4621"/>
      <c r="D4621"/>
      <c r="G4621"/>
      <c r="L4621"/>
    </row>
    <row r="4622" spans="1:12" x14ac:dyDescent="0.25">
      <c r="A4622"/>
      <c r="B4622"/>
      <c r="D4622"/>
      <c r="G4622"/>
      <c r="L4622"/>
    </row>
    <row r="4623" spans="1:12" x14ac:dyDescent="0.25">
      <c r="A4623"/>
      <c r="B4623"/>
      <c r="D4623"/>
      <c r="G4623"/>
      <c r="L4623"/>
    </row>
    <row r="4624" spans="1:12" x14ac:dyDescent="0.25">
      <c r="A4624"/>
      <c r="B4624"/>
      <c r="D4624"/>
      <c r="G4624"/>
      <c r="L4624"/>
    </row>
    <row r="4625" spans="1:12" x14ac:dyDescent="0.25">
      <c r="A4625"/>
      <c r="B4625"/>
      <c r="D4625"/>
      <c r="G4625"/>
      <c r="L4625"/>
    </row>
    <row r="4626" spans="1:12" x14ac:dyDescent="0.25">
      <c r="A4626"/>
      <c r="B4626"/>
      <c r="D4626"/>
      <c r="G4626"/>
      <c r="L4626"/>
    </row>
    <row r="4627" spans="1:12" x14ac:dyDescent="0.25">
      <c r="A4627"/>
      <c r="B4627"/>
      <c r="D4627"/>
      <c r="G4627"/>
      <c r="L4627"/>
    </row>
    <row r="4628" spans="1:12" x14ac:dyDescent="0.25">
      <c r="A4628"/>
      <c r="B4628"/>
      <c r="D4628"/>
      <c r="G4628"/>
      <c r="L4628"/>
    </row>
    <row r="4629" spans="1:12" x14ac:dyDescent="0.25">
      <c r="A4629"/>
      <c r="B4629"/>
      <c r="D4629"/>
      <c r="G4629"/>
      <c r="L4629"/>
    </row>
    <row r="4630" spans="1:12" x14ac:dyDescent="0.25">
      <c r="A4630"/>
      <c r="B4630"/>
      <c r="D4630"/>
      <c r="G4630"/>
      <c r="L4630"/>
    </row>
    <row r="4631" spans="1:12" x14ac:dyDescent="0.25">
      <c r="A4631"/>
      <c r="B4631"/>
      <c r="D4631"/>
      <c r="G4631"/>
      <c r="L4631"/>
    </row>
    <row r="4632" spans="1:12" x14ac:dyDescent="0.25">
      <c r="A4632"/>
      <c r="B4632"/>
      <c r="D4632"/>
      <c r="G4632"/>
      <c r="L4632"/>
    </row>
    <row r="4633" spans="1:12" x14ac:dyDescent="0.25">
      <c r="A4633"/>
      <c r="B4633"/>
      <c r="D4633"/>
      <c r="G4633"/>
      <c r="L4633"/>
    </row>
    <row r="4634" spans="1:12" x14ac:dyDescent="0.25">
      <c r="A4634"/>
      <c r="B4634"/>
      <c r="D4634"/>
      <c r="G4634"/>
      <c r="L4634"/>
    </row>
    <row r="4635" spans="1:12" x14ac:dyDescent="0.25">
      <c r="A4635"/>
      <c r="B4635"/>
      <c r="D4635"/>
      <c r="G4635"/>
      <c r="L4635"/>
    </row>
    <row r="4636" spans="1:12" x14ac:dyDescent="0.25">
      <c r="A4636"/>
      <c r="B4636"/>
      <c r="D4636"/>
      <c r="G4636"/>
      <c r="L4636"/>
    </row>
    <row r="4637" spans="1:12" x14ac:dyDescent="0.25">
      <c r="A4637"/>
      <c r="B4637"/>
      <c r="D4637"/>
      <c r="G4637"/>
      <c r="L4637"/>
    </row>
    <row r="4638" spans="1:12" x14ac:dyDescent="0.25">
      <c r="A4638"/>
      <c r="B4638"/>
      <c r="D4638"/>
      <c r="G4638"/>
      <c r="L4638"/>
    </row>
    <row r="4639" spans="1:12" x14ac:dyDescent="0.25">
      <c r="A4639"/>
      <c r="B4639"/>
      <c r="D4639"/>
      <c r="G4639"/>
      <c r="L4639"/>
    </row>
    <row r="4640" spans="1:12" x14ac:dyDescent="0.25">
      <c r="A4640"/>
      <c r="B4640"/>
      <c r="D4640"/>
      <c r="G4640"/>
      <c r="L4640"/>
    </row>
    <row r="4641" spans="1:12" x14ac:dyDescent="0.25">
      <c r="A4641"/>
      <c r="B4641"/>
      <c r="D4641"/>
      <c r="G4641"/>
      <c r="L4641"/>
    </row>
    <row r="4642" spans="1:12" x14ac:dyDescent="0.25">
      <c r="A4642"/>
      <c r="B4642"/>
      <c r="D4642"/>
      <c r="G4642"/>
      <c r="L4642"/>
    </row>
    <row r="4643" spans="1:12" x14ac:dyDescent="0.25">
      <c r="A4643"/>
      <c r="B4643"/>
      <c r="D4643"/>
      <c r="G4643"/>
      <c r="L4643"/>
    </row>
    <row r="4644" spans="1:12" x14ac:dyDescent="0.25">
      <c r="A4644"/>
      <c r="B4644"/>
      <c r="D4644"/>
      <c r="G4644"/>
      <c r="L4644"/>
    </row>
    <row r="4645" spans="1:12" x14ac:dyDescent="0.25">
      <c r="A4645"/>
      <c r="B4645"/>
      <c r="D4645"/>
      <c r="G4645"/>
      <c r="L4645"/>
    </row>
    <row r="4646" spans="1:12" x14ac:dyDescent="0.25">
      <c r="A4646"/>
      <c r="B4646"/>
      <c r="D4646"/>
      <c r="G4646"/>
      <c r="L4646"/>
    </row>
    <row r="4647" spans="1:12" x14ac:dyDescent="0.25">
      <c r="A4647"/>
      <c r="B4647"/>
      <c r="D4647"/>
      <c r="G4647"/>
      <c r="L4647"/>
    </row>
    <row r="4648" spans="1:12" x14ac:dyDescent="0.25">
      <c r="A4648"/>
      <c r="B4648"/>
      <c r="D4648"/>
      <c r="G4648"/>
      <c r="L4648"/>
    </row>
    <row r="4649" spans="1:12" x14ac:dyDescent="0.25">
      <c r="A4649"/>
      <c r="B4649"/>
      <c r="D4649"/>
      <c r="G4649"/>
      <c r="L4649"/>
    </row>
    <row r="4650" spans="1:12" x14ac:dyDescent="0.25">
      <c r="A4650"/>
      <c r="B4650"/>
      <c r="D4650"/>
      <c r="G4650"/>
      <c r="L4650"/>
    </row>
    <row r="4651" spans="1:12" x14ac:dyDescent="0.25">
      <c r="A4651"/>
      <c r="B4651"/>
      <c r="D4651"/>
      <c r="G4651"/>
      <c r="L4651"/>
    </row>
    <row r="4652" spans="1:12" x14ac:dyDescent="0.25">
      <c r="A4652"/>
      <c r="B4652"/>
      <c r="D4652"/>
      <c r="G4652"/>
      <c r="L4652"/>
    </row>
    <row r="4653" spans="1:12" x14ac:dyDescent="0.25">
      <c r="A4653"/>
      <c r="B4653"/>
      <c r="D4653"/>
      <c r="G4653"/>
      <c r="L4653"/>
    </row>
    <row r="4654" spans="1:12" x14ac:dyDescent="0.25">
      <c r="A4654"/>
      <c r="B4654"/>
      <c r="D4654"/>
      <c r="G4654"/>
      <c r="L4654"/>
    </row>
    <row r="4655" spans="1:12" x14ac:dyDescent="0.25">
      <c r="A4655"/>
      <c r="B4655"/>
      <c r="D4655"/>
      <c r="G4655"/>
      <c r="L4655"/>
    </row>
    <row r="4656" spans="1:12" x14ac:dyDescent="0.25">
      <c r="A4656"/>
      <c r="B4656"/>
      <c r="D4656"/>
      <c r="G4656"/>
      <c r="L4656"/>
    </row>
    <row r="4657" spans="1:12" x14ac:dyDescent="0.25">
      <c r="A4657"/>
      <c r="B4657"/>
      <c r="D4657"/>
      <c r="G4657"/>
      <c r="L4657"/>
    </row>
    <row r="4658" spans="1:12" x14ac:dyDescent="0.25">
      <c r="A4658"/>
      <c r="B4658"/>
      <c r="D4658"/>
      <c r="G4658"/>
      <c r="L4658"/>
    </row>
    <row r="4659" spans="1:12" x14ac:dyDescent="0.25">
      <c r="A4659"/>
      <c r="B4659"/>
      <c r="D4659"/>
      <c r="G4659"/>
      <c r="L4659"/>
    </row>
    <row r="4660" spans="1:12" x14ac:dyDescent="0.25">
      <c r="A4660"/>
      <c r="B4660"/>
      <c r="D4660"/>
      <c r="G4660"/>
      <c r="L4660"/>
    </row>
    <row r="4661" spans="1:12" x14ac:dyDescent="0.25">
      <c r="A4661"/>
      <c r="B4661"/>
      <c r="D4661"/>
      <c r="G4661"/>
      <c r="L4661"/>
    </row>
    <row r="4662" spans="1:12" x14ac:dyDescent="0.25">
      <c r="A4662"/>
      <c r="B4662"/>
      <c r="D4662"/>
      <c r="G4662"/>
      <c r="L4662"/>
    </row>
    <row r="4663" spans="1:12" x14ac:dyDescent="0.25">
      <c r="A4663"/>
      <c r="B4663"/>
      <c r="D4663"/>
      <c r="G4663"/>
      <c r="L4663"/>
    </row>
    <row r="4664" spans="1:12" x14ac:dyDescent="0.25">
      <c r="A4664"/>
      <c r="B4664"/>
      <c r="D4664"/>
      <c r="G4664"/>
      <c r="L4664"/>
    </row>
    <row r="4665" spans="1:12" x14ac:dyDescent="0.25">
      <c r="A4665"/>
      <c r="B4665"/>
      <c r="D4665"/>
      <c r="G4665"/>
      <c r="L4665"/>
    </row>
    <row r="4666" spans="1:12" x14ac:dyDescent="0.25">
      <c r="A4666"/>
      <c r="B4666"/>
      <c r="D4666"/>
      <c r="G4666"/>
      <c r="L4666"/>
    </row>
    <row r="4667" spans="1:12" x14ac:dyDescent="0.25">
      <c r="A4667"/>
      <c r="B4667"/>
      <c r="D4667"/>
      <c r="G4667"/>
      <c r="L4667"/>
    </row>
    <row r="4668" spans="1:12" x14ac:dyDescent="0.25">
      <c r="A4668"/>
      <c r="B4668"/>
      <c r="D4668"/>
      <c r="G4668"/>
      <c r="L4668"/>
    </row>
    <row r="4669" spans="1:12" x14ac:dyDescent="0.25">
      <c r="A4669"/>
      <c r="B4669"/>
      <c r="D4669"/>
      <c r="G4669"/>
      <c r="L4669"/>
    </row>
    <row r="4670" spans="1:12" x14ac:dyDescent="0.25">
      <c r="A4670"/>
      <c r="B4670"/>
      <c r="D4670"/>
      <c r="G4670"/>
      <c r="L4670"/>
    </row>
    <row r="4671" spans="1:12" x14ac:dyDescent="0.25">
      <c r="A4671"/>
      <c r="B4671"/>
      <c r="D4671"/>
      <c r="G4671"/>
      <c r="L4671"/>
    </row>
    <row r="4672" spans="1:12" x14ac:dyDescent="0.25">
      <c r="A4672"/>
      <c r="B4672"/>
      <c r="D4672"/>
      <c r="G4672"/>
      <c r="L4672"/>
    </row>
    <row r="4673" spans="1:12" x14ac:dyDescent="0.25">
      <c r="A4673"/>
      <c r="B4673"/>
      <c r="D4673"/>
      <c r="G4673"/>
      <c r="L4673"/>
    </row>
    <row r="4674" spans="1:12" x14ac:dyDescent="0.25">
      <c r="A4674"/>
      <c r="B4674"/>
      <c r="D4674"/>
      <c r="G4674"/>
      <c r="L4674"/>
    </row>
    <row r="4675" spans="1:12" x14ac:dyDescent="0.25">
      <c r="A4675"/>
      <c r="B4675"/>
      <c r="D4675"/>
      <c r="G4675"/>
      <c r="L4675"/>
    </row>
    <row r="4676" spans="1:12" x14ac:dyDescent="0.25">
      <c r="A4676"/>
      <c r="B4676"/>
      <c r="D4676"/>
      <c r="G4676"/>
      <c r="L4676"/>
    </row>
    <row r="4677" spans="1:12" x14ac:dyDescent="0.25">
      <c r="A4677"/>
      <c r="B4677"/>
      <c r="D4677"/>
      <c r="G4677"/>
      <c r="L4677"/>
    </row>
    <row r="4678" spans="1:12" x14ac:dyDescent="0.25">
      <c r="A4678"/>
      <c r="B4678"/>
      <c r="D4678"/>
      <c r="G4678"/>
      <c r="L4678"/>
    </row>
    <row r="4679" spans="1:12" x14ac:dyDescent="0.25">
      <c r="A4679"/>
      <c r="B4679"/>
      <c r="D4679"/>
      <c r="G4679"/>
      <c r="L4679"/>
    </row>
    <row r="4680" spans="1:12" x14ac:dyDescent="0.25">
      <c r="A4680"/>
      <c r="B4680"/>
      <c r="D4680"/>
      <c r="G4680"/>
      <c r="L4680"/>
    </row>
    <row r="4681" spans="1:12" x14ac:dyDescent="0.25">
      <c r="A4681"/>
      <c r="B4681"/>
      <c r="D4681"/>
      <c r="G4681"/>
      <c r="L4681"/>
    </row>
    <row r="4682" spans="1:12" x14ac:dyDescent="0.25">
      <c r="A4682"/>
      <c r="B4682"/>
      <c r="D4682"/>
      <c r="G4682"/>
      <c r="L4682"/>
    </row>
    <row r="4683" spans="1:12" x14ac:dyDescent="0.25">
      <c r="A4683"/>
      <c r="B4683"/>
      <c r="D4683"/>
      <c r="G4683"/>
      <c r="L4683"/>
    </row>
    <row r="4684" spans="1:12" x14ac:dyDescent="0.25">
      <c r="A4684"/>
      <c r="B4684"/>
      <c r="D4684"/>
      <c r="G4684"/>
      <c r="L4684"/>
    </row>
    <row r="4685" spans="1:12" x14ac:dyDescent="0.25">
      <c r="A4685"/>
      <c r="B4685"/>
      <c r="D4685"/>
      <c r="G4685"/>
      <c r="L4685"/>
    </row>
    <row r="4686" spans="1:12" x14ac:dyDescent="0.25">
      <c r="A4686"/>
      <c r="B4686"/>
      <c r="D4686"/>
      <c r="G4686"/>
      <c r="L4686"/>
    </row>
    <row r="4687" spans="1:12" x14ac:dyDescent="0.25">
      <c r="A4687"/>
      <c r="B4687"/>
      <c r="D4687"/>
      <c r="G4687"/>
      <c r="L4687"/>
    </row>
    <row r="4688" spans="1:12" x14ac:dyDescent="0.25">
      <c r="A4688"/>
      <c r="B4688"/>
      <c r="D4688"/>
      <c r="G4688"/>
      <c r="L4688"/>
    </row>
    <row r="4689" spans="1:12" x14ac:dyDescent="0.25">
      <c r="A4689"/>
      <c r="B4689"/>
      <c r="D4689"/>
      <c r="G4689"/>
      <c r="L4689"/>
    </row>
    <row r="4690" spans="1:12" x14ac:dyDescent="0.25">
      <c r="A4690"/>
      <c r="B4690"/>
      <c r="D4690"/>
      <c r="G4690"/>
      <c r="L4690"/>
    </row>
    <row r="4691" spans="1:12" x14ac:dyDescent="0.25">
      <c r="A4691"/>
      <c r="B4691"/>
      <c r="D4691"/>
      <c r="G4691"/>
      <c r="L4691"/>
    </row>
    <row r="4692" spans="1:12" x14ac:dyDescent="0.25">
      <c r="A4692"/>
      <c r="B4692"/>
      <c r="D4692"/>
      <c r="G4692"/>
      <c r="L4692"/>
    </row>
    <row r="4693" spans="1:12" x14ac:dyDescent="0.25">
      <c r="A4693"/>
      <c r="B4693"/>
      <c r="D4693"/>
      <c r="G4693"/>
      <c r="L4693"/>
    </row>
    <row r="4694" spans="1:12" x14ac:dyDescent="0.25">
      <c r="A4694"/>
      <c r="B4694"/>
      <c r="D4694"/>
      <c r="G4694"/>
      <c r="L4694"/>
    </row>
    <row r="4695" spans="1:12" x14ac:dyDescent="0.25">
      <c r="A4695"/>
      <c r="B4695"/>
      <c r="D4695"/>
      <c r="G4695"/>
      <c r="L4695"/>
    </row>
    <row r="4696" spans="1:12" x14ac:dyDescent="0.25">
      <c r="A4696"/>
      <c r="B4696"/>
      <c r="D4696"/>
      <c r="G4696"/>
      <c r="L4696"/>
    </row>
    <row r="4697" spans="1:12" x14ac:dyDescent="0.25">
      <c r="A4697"/>
      <c r="B4697"/>
      <c r="D4697"/>
      <c r="G4697"/>
      <c r="L4697"/>
    </row>
    <row r="4698" spans="1:12" x14ac:dyDescent="0.25">
      <c r="A4698"/>
      <c r="B4698"/>
      <c r="D4698"/>
      <c r="G4698"/>
      <c r="L4698"/>
    </row>
    <row r="4699" spans="1:12" x14ac:dyDescent="0.25">
      <c r="A4699"/>
      <c r="B4699"/>
      <c r="D4699"/>
      <c r="G4699"/>
      <c r="L4699"/>
    </row>
    <row r="4700" spans="1:12" x14ac:dyDescent="0.25">
      <c r="A4700"/>
      <c r="B4700"/>
      <c r="D4700"/>
      <c r="G4700"/>
      <c r="L4700"/>
    </row>
    <row r="4701" spans="1:12" x14ac:dyDescent="0.25">
      <c r="A4701"/>
      <c r="B4701"/>
      <c r="D4701"/>
      <c r="G4701"/>
      <c r="L4701"/>
    </row>
    <row r="4702" spans="1:12" x14ac:dyDescent="0.25">
      <c r="A4702"/>
      <c r="B4702"/>
      <c r="D4702"/>
      <c r="G4702"/>
      <c r="L4702"/>
    </row>
    <row r="4703" spans="1:12" x14ac:dyDescent="0.25">
      <c r="A4703"/>
      <c r="B4703"/>
      <c r="D4703"/>
      <c r="G4703"/>
      <c r="L4703"/>
    </row>
    <row r="4704" spans="1:12" x14ac:dyDescent="0.25">
      <c r="A4704"/>
      <c r="B4704"/>
      <c r="D4704"/>
      <c r="G4704"/>
      <c r="L4704"/>
    </row>
    <row r="4705" spans="1:12" x14ac:dyDescent="0.25">
      <c r="A4705"/>
      <c r="B4705"/>
      <c r="D4705"/>
      <c r="G4705"/>
      <c r="L4705"/>
    </row>
    <row r="4706" spans="1:12" x14ac:dyDescent="0.25">
      <c r="A4706"/>
      <c r="B4706"/>
      <c r="D4706"/>
      <c r="G4706"/>
      <c r="L4706"/>
    </row>
    <row r="4707" spans="1:12" x14ac:dyDescent="0.25">
      <c r="A4707"/>
      <c r="B4707"/>
      <c r="D4707"/>
      <c r="G4707"/>
      <c r="L4707"/>
    </row>
    <row r="4708" spans="1:12" x14ac:dyDescent="0.25">
      <c r="A4708"/>
      <c r="B4708"/>
      <c r="D4708"/>
      <c r="G4708"/>
      <c r="L4708"/>
    </row>
    <row r="4709" spans="1:12" x14ac:dyDescent="0.25">
      <c r="A4709"/>
      <c r="B4709"/>
      <c r="D4709"/>
      <c r="G4709"/>
      <c r="L4709"/>
    </row>
    <row r="4710" spans="1:12" x14ac:dyDescent="0.25">
      <c r="A4710"/>
      <c r="B4710"/>
      <c r="D4710"/>
      <c r="G4710"/>
      <c r="L4710"/>
    </row>
    <row r="4711" spans="1:12" x14ac:dyDescent="0.25">
      <c r="A4711"/>
      <c r="B4711"/>
      <c r="D4711"/>
      <c r="G4711"/>
      <c r="L4711"/>
    </row>
    <row r="4712" spans="1:12" x14ac:dyDescent="0.25">
      <c r="A4712"/>
      <c r="B4712"/>
      <c r="D4712"/>
      <c r="G4712"/>
      <c r="L4712"/>
    </row>
    <row r="4713" spans="1:12" x14ac:dyDescent="0.25">
      <c r="A4713"/>
      <c r="B4713"/>
      <c r="D4713"/>
      <c r="G4713"/>
      <c r="L4713"/>
    </row>
    <row r="4714" spans="1:12" x14ac:dyDescent="0.25">
      <c r="A4714"/>
      <c r="B4714"/>
      <c r="D4714"/>
      <c r="G4714"/>
      <c r="L4714"/>
    </row>
    <row r="4715" spans="1:12" x14ac:dyDescent="0.25">
      <c r="A4715"/>
      <c r="B4715"/>
      <c r="D4715"/>
      <c r="G4715"/>
      <c r="L4715"/>
    </row>
    <row r="4716" spans="1:12" x14ac:dyDescent="0.25">
      <c r="A4716"/>
      <c r="B4716"/>
      <c r="D4716"/>
      <c r="G4716"/>
      <c r="L4716"/>
    </row>
    <row r="4717" spans="1:12" x14ac:dyDescent="0.25">
      <c r="A4717"/>
      <c r="B4717"/>
      <c r="D4717"/>
      <c r="G4717"/>
      <c r="L4717"/>
    </row>
    <row r="4718" spans="1:12" x14ac:dyDescent="0.25">
      <c r="A4718"/>
      <c r="B4718"/>
      <c r="D4718"/>
      <c r="G4718"/>
      <c r="L4718"/>
    </row>
    <row r="4719" spans="1:12" x14ac:dyDescent="0.25">
      <c r="A4719"/>
      <c r="B4719"/>
      <c r="D4719"/>
      <c r="G4719"/>
      <c r="L4719"/>
    </row>
    <row r="4720" spans="1:12" x14ac:dyDescent="0.25">
      <c r="A4720"/>
      <c r="B4720"/>
      <c r="D4720"/>
      <c r="G4720"/>
      <c r="L4720"/>
    </row>
    <row r="4721" spans="1:12" x14ac:dyDescent="0.25">
      <c r="A4721"/>
      <c r="B4721"/>
      <c r="D4721"/>
      <c r="G4721"/>
      <c r="L4721"/>
    </row>
    <row r="4722" spans="1:12" x14ac:dyDescent="0.25">
      <c r="A4722"/>
      <c r="B4722"/>
      <c r="D4722"/>
      <c r="G4722"/>
      <c r="L4722"/>
    </row>
    <row r="4723" spans="1:12" x14ac:dyDescent="0.25">
      <c r="A4723"/>
      <c r="B4723"/>
      <c r="D4723"/>
      <c r="G4723"/>
      <c r="L4723"/>
    </row>
    <row r="4724" spans="1:12" x14ac:dyDescent="0.25">
      <c r="A4724"/>
      <c r="B4724"/>
      <c r="D4724"/>
      <c r="G4724"/>
      <c r="L4724"/>
    </row>
    <row r="4725" spans="1:12" x14ac:dyDescent="0.25">
      <c r="A4725"/>
      <c r="B4725"/>
      <c r="D4725"/>
      <c r="G4725"/>
      <c r="L4725"/>
    </row>
    <row r="4726" spans="1:12" x14ac:dyDescent="0.25">
      <c r="A4726"/>
      <c r="B4726"/>
      <c r="D4726"/>
      <c r="G4726"/>
      <c r="L4726"/>
    </row>
    <row r="4727" spans="1:12" x14ac:dyDescent="0.25">
      <c r="A4727"/>
      <c r="B4727"/>
      <c r="D4727"/>
      <c r="G4727"/>
      <c r="L4727"/>
    </row>
    <row r="4728" spans="1:12" x14ac:dyDescent="0.25">
      <c r="A4728"/>
      <c r="B4728"/>
      <c r="D4728"/>
      <c r="G4728"/>
      <c r="L4728"/>
    </row>
    <row r="4729" spans="1:12" x14ac:dyDescent="0.25">
      <c r="A4729"/>
      <c r="B4729"/>
      <c r="D4729"/>
      <c r="G4729"/>
      <c r="L4729"/>
    </row>
    <row r="4730" spans="1:12" x14ac:dyDescent="0.25">
      <c r="A4730"/>
      <c r="B4730"/>
      <c r="D4730"/>
      <c r="G4730"/>
      <c r="L4730"/>
    </row>
    <row r="4731" spans="1:12" x14ac:dyDescent="0.25">
      <c r="A4731"/>
      <c r="B4731"/>
      <c r="D4731"/>
      <c r="G4731"/>
      <c r="L4731"/>
    </row>
    <row r="4732" spans="1:12" x14ac:dyDescent="0.25">
      <c r="A4732"/>
      <c r="B4732"/>
      <c r="D4732"/>
      <c r="G4732"/>
      <c r="L4732"/>
    </row>
    <row r="4733" spans="1:12" x14ac:dyDescent="0.25">
      <c r="A4733"/>
      <c r="B4733"/>
      <c r="D4733"/>
      <c r="G4733"/>
      <c r="L4733"/>
    </row>
    <row r="4734" spans="1:12" x14ac:dyDescent="0.25">
      <c r="A4734"/>
      <c r="B4734"/>
      <c r="D4734"/>
      <c r="G4734"/>
      <c r="L4734"/>
    </row>
    <row r="4735" spans="1:12" x14ac:dyDescent="0.25">
      <c r="A4735"/>
      <c r="B4735"/>
      <c r="D4735"/>
      <c r="G4735"/>
      <c r="L4735"/>
    </row>
    <row r="4736" spans="1:12" x14ac:dyDescent="0.25">
      <c r="A4736"/>
      <c r="B4736"/>
      <c r="D4736"/>
      <c r="G4736"/>
      <c r="L4736"/>
    </row>
    <row r="4737" spans="1:12" x14ac:dyDescent="0.25">
      <c r="A4737"/>
      <c r="B4737"/>
      <c r="D4737"/>
      <c r="G4737"/>
      <c r="L4737"/>
    </row>
    <row r="4738" spans="1:12" x14ac:dyDescent="0.25">
      <c r="A4738"/>
      <c r="B4738"/>
      <c r="D4738"/>
      <c r="G4738"/>
      <c r="L4738"/>
    </row>
    <row r="4739" spans="1:12" x14ac:dyDescent="0.25">
      <c r="A4739"/>
      <c r="B4739"/>
      <c r="D4739"/>
      <c r="G4739"/>
      <c r="L4739"/>
    </row>
    <row r="4740" spans="1:12" x14ac:dyDescent="0.25">
      <c r="A4740"/>
      <c r="B4740"/>
      <c r="D4740"/>
      <c r="G4740"/>
      <c r="L4740"/>
    </row>
    <row r="4741" spans="1:12" x14ac:dyDescent="0.25">
      <c r="A4741"/>
      <c r="B4741"/>
      <c r="D4741"/>
      <c r="G4741"/>
      <c r="L4741"/>
    </row>
    <row r="4742" spans="1:12" x14ac:dyDescent="0.25">
      <c r="A4742"/>
      <c r="B4742"/>
      <c r="D4742"/>
      <c r="G4742"/>
      <c r="L4742"/>
    </row>
    <row r="4743" spans="1:12" x14ac:dyDescent="0.25">
      <c r="A4743"/>
      <c r="B4743"/>
      <c r="D4743"/>
      <c r="G4743"/>
      <c r="L4743"/>
    </row>
    <row r="4744" spans="1:12" x14ac:dyDescent="0.25">
      <c r="A4744"/>
      <c r="B4744"/>
      <c r="D4744"/>
      <c r="G4744"/>
      <c r="L4744"/>
    </row>
    <row r="4745" spans="1:12" x14ac:dyDescent="0.25">
      <c r="A4745"/>
      <c r="B4745"/>
      <c r="D4745"/>
      <c r="G4745"/>
      <c r="L4745"/>
    </row>
    <row r="4746" spans="1:12" x14ac:dyDescent="0.25">
      <c r="A4746"/>
      <c r="B4746"/>
      <c r="D4746"/>
      <c r="G4746"/>
      <c r="L4746"/>
    </row>
    <row r="4747" spans="1:12" x14ac:dyDescent="0.25">
      <c r="A4747"/>
      <c r="B4747"/>
      <c r="D4747"/>
      <c r="G4747"/>
      <c r="L4747"/>
    </row>
    <row r="4748" spans="1:12" x14ac:dyDescent="0.25">
      <c r="A4748"/>
      <c r="B4748"/>
      <c r="D4748"/>
      <c r="G4748"/>
      <c r="L4748"/>
    </row>
    <row r="4749" spans="1:12" x14ac:dyDescent="0.25">
      <c r="A4749"/>
      <c r="B4749"/>
      <c r="D4749"/>
      <c r="G4749"/>
      <c r="L4749"/>
    </row>
    <row r="4750" spans="1:12" x14ac:dyDescent="0.25">
      <c r="A4750"/>
      <c r="B4750"/>
      <c r="D4750"/>
      <c r="G4750"/>
      <c r="L4750"/>
    </row>
    <row r="4751" spans="1:12" x14ac:dyDescent="0.25">
      <c r="A4751"/>
      <c r="B4751"/>
      <c r="D4751"/>
      <c r="G4751"/>
      <c r="L4751"/>
    </row>
    <row r="4752" spans="1:12" x14ac:dyDescent="0.25">
      <c r="A4752"/>
      <c r="B4752"/>
      <c r="D4752"/>
      <c r="G4752"/>
      <c r="L4752"/>
    </row>
    <row r="4753" spans="1:12" x14ac:dyDescent="0.25">
      <c r="A4753"/>
      <c r="B4753"/>
      <c r="D4753"/>
      <c r="G4753"/>
      <c r="L4753"/>
    </row>
    <row r="4754" spans="1:12" x14ac:dyDescent="0.25">
      <c r="A4754"/>
      <c r="B4754"/>
      <c r="D4754"/>
      <c r="G4754"/>
      <c r="L4754"/>
    </row>
    <row r="4755" spans="1:12" x14ac:dyDescent="0.25">
      <c r="A4755"/>
      <c r="B4755"/>
      <c r="D4755"/>
      <c r="G4755"/>
      <c r="L4755"/>
    </row>
    <row r="4756" spans="1:12" x14ac:dyDescent="0.25">
      <c r="A4756"/>
      <c r="B4756"/>
      <c r="D4756"/>
      <c r="G4756"/>
      <c r="L4756"/>
    </row>
    <row r="4757" spans="1:12" x14ac:dyDescent="0.25">
      <c r="A4757"/>
      <c r="B4757"/>
      <c r="D4757"/>
      <c r="G4757"/>
      <c r="L4757"/>
    </row>
    <row r="4758" spans="1:12" x14ac:dyDescent="0.25">
      <c r="A4758"/>
      <c r="B4758"/>
      <c r="D4758"/>
      <c r="G4758"/>
      <c r="L4758"/>
    </row>
    <row r="4759" spans="1:12" x14ac:dyDescent="0.25">
      <c r="A4759"/>
      <c r="B4759"/>
      <c r="D4759"/>
      <c r="G4759"/>
      <c r="L4759"/>
    </row>
    <row r="4760" spans="1:12" x14ac:dyDescent="0.25">
      <c r="A4760"/>
      <c r="B4760"/>
      <c r="D4760"/>
      <c r="G4760"/>
      <c r="L4760"/>
    </row>
    <row r="4761" spans="1:12" x14ac:dyDescent="0.25">
      <c r="A4761"/>
      <c r="B4761"/>
      <c r="D4761"/>
      <c r="G4761"/>
      <c r="L4761"/>
    </row>
    <row r="4762" spans="1:12" x14ac:dyDescent="0.25">
      <c r="A4762"/>
      <c r="B4762"/>
      <c r="D4762"/>
      <c r="G4762"/>
      <c r="L4762"/>
    </row>
    <row r="4763" spans="1:12" x14ac:dyDescent="0.25">
      <c r="A4763"/>
      <c r="B4763"/>
      <c r="D4763"/>
      <c r="G4763"/>
      <c r="L4763"/>
    </row>
    <row r="4764" spans="1:12" x14ac:dyDescent="0.25">
      <c r="A4764"/>
      <c r="B4764"/>
      <c r="D4764"/>
      <c r="G4764"/>
      <c r="L4764"/>
    </row>
    <row r="4765" spans="1:12" x14ac:dyDescent="0.25">
      <c r="A4765"/>
      <c r="B4765"/>
      <c r="D4765"/>
      <c r="G4765"/>
      <c r="L4765"/>
    </row>
    <row r="4766" spans="1:12" x14ac:dyDescent="0.25">
      <c r="A4766"/>
      <c r="B4766"/>
      <c r="D4766"/>
      <c r="G4766"/>
      <c r="L4766"/>
    </row>
    <row r="4767" spans="1:12" x14ac:dyDescent="0.25">
      <c r="A4767"/>
      <c r="B4767"/>
      <c r="D4767"/>
      <c r="G4767"/>
      <c r="L4767"/>
    </row>
    <row r="4768" spans="1:12" x14ac:dyDescent="0.25">
      <c r="A4768"/>
      <c r="B4768"/>
      <c r="D4768"/>
      <c r="G4768"/>
      <c r="L4768"/>
    </row>
    <row r="4769" spans="1:12" x14ac:dyDescent="0.25">
      <c r="A4769"/>
      <c r="B4769"/>
      <c r="D4769"/>
      <c r="G4769"/>
      <c r="L4769"/>
    </row>
    <row r="4770" spans="1:12" x14ac:dyDescent="0.25">
      <c r="A4770"/>
      <c r="B4770"/>
      <c r="D4770"/>
      <c r="G4770"/>
      <c r="L4770"/>
    </row>
    <row r="4771" spans="1:12" x14ac:dyDescent="0.25">
      <c r="A4771"/>
      <c r="B4771"/>
      <c r="D4771"/>
      <c r="G4771"/>
      <c r="L4771"/>
    </row>
    <row r="4772" spans="1:12" x14ac:dyDescent="0.25">
      <c r="A4772"/>
      <c r="B4772"/>
      <c r="D4772"/>
      <c r="G4772"/>
      <c r="L4772"/>
    </row>
    <row r="4773" spans="1:12" x14ac:dyDescent="0.25">
      <c r="A4773"/>
      <c r="B4773"/>
      <c r="D4773"/>
      <c r="G4773"/>
      <c r="L4773"/>
    </row>
    <row r="4774" spans="1:12" x14ac:dyDescent="0.25">
      <c r="A4774"/>
      <c r="B4774"/>
      <c r="D4774"/>
      <c r="G4774"/>
      <c r="L4774"/>
    </row>
    <row r="4775" spans="1:12" x14ac:dyDescent="0.25">
      <c r="A4775"/>
      <c r="B4775"/>
      <c r="D4775"/>
      <c r="G4775"/>
      <c r="L4775"/>
    </row>
    <row r="4776" spans="1:12" x14ac:dyDescent="0.25">
      <c r="A4776"/>
      <c r="B4776"/>
      <c r="D4776"/>
      <c r="G4776"/>
      <c r="L4776"/>
    </row>
    <row r="4777" spans="1:12" x14ac:dyDescent="0.25">
      <c r="A4777"/>
      <c r="B4777"/>
      <c r="D4777"/>
      <c r="G4777"/>
      <c r="L4777"/>
    </row>
    <row r="4778" spans="1:12" x14ac:dyDescent="0.25">
      <c r="A4778"/>
      <c r="B4778"/>
      <c r="D4778"/>
      <c r="G4778"/>
      <c r="L4778"/>
    </row>
    <row r="4779" spans="1:12" x14ac:dyDescent="0.25">
      <c r="A4779"/>
      <c r="B4779"/>
      <c r="D4779"/>
      <c r="G4779"/>
      <c r="L4779"/>
    </row>
    <row r="4780" spans="1:12" x14ac:dyDescent="0.25">
      <c r="A4780"/>
      <c r="B4780"/>
      <c r="D4780"/>
      <c r="G4780"/>
      <c r="L4780"/>
    </row>
    <row r="4781" spans="1:12" x14ac:dyDescent="0.25">
      <c r="A4781"/>
      <c r="B4781"/>
      <c r="D4781"/>
      <c r="G4781"/>
      <c r="L4781"/>
    </row>
    <row r="4782" spans="1:12" x14ac:dyDescent="0.25">
      <c r="A4782"/>
      <c r="B4782"/>
      <c r="D4782"/>
      <c r="G4782"/>
      <c r="L4782"/>
    </row>
    <row r="4783" spans="1:12" x14ac:dyDescent="0.25">
      <c r="A4783"/>
      <c r="B4783"/>
      <c r="D4783"/>
      <c r="G4783"/>
      <c r="L4783"/>
    </row>
    <row r="4784" spans="1:12" x14ac:dyDescent="0.25">
      <c r="A4784"/>
      <c r="B4784"/>
      <c r="D4784"/>
      <c r="G4784"/>
      <c r="L4784"/>
    </row>
    <row r="4785" spans="1:12" x14ac:dyDescent="0.25">
      <c r="A4785"/>
      <c r="B4785"/>
      <c r="D4785"/>
      <c r="G4785"/>
      <c r="L4785"/>
    </row>
    <row r="4786" spans="1:12" x14ac:dyDescent="0.25">
      <c r="A4786"/>
      <c r="B4786"/>
      <c r="D4786"/>
      <c r="G4786"/>
      <c r="L4786"/>
    </row>
    <row r="4787" spans="1:12" x14ac:dyDescent="0.25">
      <c r="A4787"/>
      <c r="B4787"/>
      <c r="D4787"/>
      <c r="G4787"/>
      <c r="L4787"/>
    </row>
    <row r="4788" spans="1:12" x14ac:dyDescent="0.25">
      <c r="A4788"/>
      <c r="B4788"/>
      <c r="D4788"/>
      <c r="G4788"/>
      <c r="L4788"/>
    </row>
    <row r="4789" spans="1:12" x14ac:dyDescent="0.25">
      <c r="A4789"/>
      <c r="B4789"/>
      <c r="D4789"/>
      <c r="G4789"/>
      <c r="L4789"/>
    </row>
    <row r="4790" spans="1:12" x14ac:dyDescent="0.25">
      <c r="A4790"/>
      <c r="B4790"/>
      <c r="D4790"/>
      <c r="G4790"/>
      <c r="L4790"/>
    </row>
    <row r="4791" spans="1:12" x14ac:dyDescent="0.25">
      <c r="A4791"/>
      <c r="B4791"/>
      <c r="D4791"/>
      <c r="G4791"/>
      <c r="L4791"/>
    </row>
    <row r="4792" spans="1:12" x14ac:dyDescent="0.25">
      <c r="A4792"/>
      <c r="B4792"/>
      <c r="D4792"/>
      <c r="G4792"/>
      <c r="L4792"/>
    </row>
    <row r="4793" spans="1:12" x14ac:dyDescent="0.25">
      <c r="A4793"/>
      <c r="B4793"/>
      <c r="D4793"/>
      <c r="G4793"/>
      <c r="L4793"/>
    </row>
    <row r="4794" spans="1:12" x14ac:dyDescent="0.25">
      <c r="A4794"/>
      <c r="B4794"/>
      <c r="D4794"/>
      <c r="G4794"/>
      <c r="L4794"/>
    </row>
    <row r="4795" spans="1:12" x14ac:dyDescent="0.25">
      <c r="A4795"/>
      <c r="B4795"/>
      <c r="D4795"/>
      <c r="G4795"/>
      <c r="L4795"/>
    </row>
    <row r="4796" spans="1:12" x14ac:dyDescent="0.25">
      <c r="A4796"/>
      <c r="B4796"/>
      <c r="D4796"/>
      <c r="G4796"/>
      <c r="L4796"/>
    </row>
    <row r="4797" spans="1:12" x14ac:dyDescent="0.25">
      <c r="A4797"/>
      <c r="B4797"/>
      <c r="D4797"/>
      <c r="G4797"/>
      <c r="L4797"/>
    </row>
    <row r="4798" spans="1:12" x14ac:dyDescent="0.25">
      <c r="A4798"/>
      <c r="B4798"/>
      <c r="D4798"/>
      <c r="G4798"/>
      <c r="L4798"/>
    </row>
    <row r="4799" spans="1:12" x14ac:dyDescent="0.25">
      <c r="A4799"/>
      <c r="B4799"/>
      <c r="D4799"/>
      <c r="G4799"/>
      <c r="L4799"/>
    </row>
    <row r="4800" spans="1:12" x14ac:dyDescent="0.25">
      <c r="A4800"/>
      <c r="B4800"/>
      <c r="D4800"/>
      <c r="G4800"/>
      <c r="L4800"/>
    </row>
    <row r="4801" spans="1:12" x14ac:dyDescent="0.25">
      <c r="A4801"/>
      <c r="B4801"/>
      <c r="D4801"/>
      <c r="G4801"/>
      <c r="L4801"/>
    </row>
    <row r="4802" spans="1:12" x14ac:dyDescent="0.25">
      <c r="A4802"/>
      <c r="B4802"/>
      <c r="D4802"/>
      <c r="G4802"/>
      <c r="L4802"/>
    </row>
    <row r="4803" spans="1:12" x14ac:dyDescent="0.25">
      <c r="A4803"/>
      <c r="B4803"/>
      <c r="D4803"/>
      <c r="G4803"/>
      <c r="L4803"/>
    </row>
    <row r="4804" spans="1:12" x14ac:dyDescent="0.25">
      <c r="A4804"/>
      <c r="B4804"/>
      <c r="D4804"/>
      <c r="G4804"/>
      <c r="L4804"/>
    </row>
    <row r="4805" spans="1:12" x14ac:dyDescent="0.25">
      <c r="A4805"/>
      <c r="B4805"/>
      <c r="D4805"/>
      <c r="G4805"/>
      <c r="L4805"/>
    </row>
    <row r="4806" spans="1:12" x14ac:dyDescent="0.25">
      <c r="A4806"/>
      <c r="B4806"/>
      <c r="D4806"/>
      <c r="G4806"/>
      <c r="L4806"/>
    </row>
    <row r="4807" spans="1:12" x14ac:dyDescent="0.25">
      <c r="A4807"/>
      <c r="B4807"/>
      <c r="D4807"/>
      <c r="G4807"/>
      <c r="L4807"/>
    </row>
    <row r="4808" spans="1:12" x14ac:dyDescent="0.25">
      <c r="A4808"/>
      <c r="B4808"/>
      <c r="D4808"/>
      <c r="G4808"/>
      <c r="L4808"/>
    </row>
    <row r="4809" spans="1:12" x14ac:dyDescent="0.25">
      <c r="A4809"/>
      <c r="B4809"/>
      <c r="D4809"/>
      <c r="G4809"/>
      <c r="L4809"/>
    </row>
    <row r="4810" spans="1:12" x14ac:dyDescent="0.25">
      <c r="A4810"/>
      <c r="B4810"/>
      <c r="D4810"/>
      <c r="G4810"/>
      <c r="L4810"/>
    </row>
    <row r="4811" spans="1:12" x14ac:dyDescent="0.25">
      <c r="A4811"/>
      <c r="B4811"/>
      <c r="D4811"/>
      <c r="G4811"/>
      <c r="L4811"/>
    </row>
    <row r="4812" spans="1:12" x14ac:dyDescent="0.25">
      <c r="A4812"/>
      <c r="B4812"/>
      <c r="D4812"/>
      <c r="G4812"/>
      <c r="L4812"/>
    </row>
    <row r="4813" spans="1:12" x14ac:dyDescent="0.25">
      <c r="A4813"/>
      <c r="B4813"/>
      <c r="D4813"/>
      <c r="G4813"/>
      <c r="L4813"/>
    </row>
    <row r="4814" spans="1:12" x14ac:dyDescent="0.25">
      <c r="A4814"/>
      <c r="B4814"/>
      <c r="D4814"/>
      <c r="G4814"/>
      <c r="L4814"/>
    </row>
    <row r="4815" spans="1:12" x14ac:dyDescent="0.25">
      <c r="A4815"/>
      <c r="B4815"/>
      <c r="D4815"/>
      <c r="G4815"/>
      <c r="L4815"/>
    </row>
    <row r="4816" spans="1:12" x14ac:dyDescent="0.25">
      <c r="A4816"/>
      <c r="B4816"/>
      <c r="D4816"/>
      <c r="G4816"/>
      <c r="L4816"/>
    </row>
    <row r="4817" spans="1:12" x14ac:dyDescent="0.25">
      <c r="A4817"/>
      <c r="B4817"/>
      <c r="D4817"/>
      <c r="G4817"/>
      <c r="L4817"/>
    </row>
    <row r="4818" spans="1:12" x14ac:dyDescent="0.25">
      <c r="A4818"/>
      <c r="B4818"/>
      <c r="D4818"/>
      <c r="G4818"/>
      <c r="L4818"/>
    </row>
    <row r="4819" spans="1:12" x14ac:dyDescent="0.25">
      <c r="A4819"/>
      <c r="B4819"/>
      <c r="D4819"/>
      <c r="G4819"/>
      <c r="L4819"/>
    </row>
    <row r="4820" spans="1:12" x14ac:dyDescent="0.25">
      <c r="A4820"/>
      <c r="B4820"/>
      <c r="D4820"/>
      <c r="G4820"/>
      <c r="L4820"/>
    </row>
    <row r="4821" spans="1:12" x14ac:dyDescent="0.25">
      <c r="A4821"/>
      <c r="B4821"/>
      <c r="D4821"/>
      <c r="G4821"/>
      <c r="L4821"/>
    </row>
    <row r="4822" spans="1:12" x14ac:dyDescent="0.25">
      <c r="A4822"/>
      <c r="B4822"/>
      <c r="D4822"/>
      <c r="G4822"/>
      <c r="L4822"/>
    </row>
    <row r="4823" spans="1:12" x14ac:dyDescent="0.25">
      <c r="A4823"/>
      <c r="B4823"/>
      <c r="D4823"/>
      <c r="G4823"/>
      <c r="L4823"/>
    </row>
    <row r="4824" spans="1:12" x14ac:dyDescent="0.25">
      <c r="A4824"/>
      <c r="B4824"/>
      <c r="D4824"/>
      <c r="G4824"/>
      <c r="L4824"/>
    </row>
    <row r="4825" spans="1:12" x14ac:dyDescent="0.25">
      <c r="A4825"/>
      <c r="B4825"/>
      <c r="D4825"/>
      <c r="G4825"/>
      <c r="L4825"/>
    </row>
    <row r="4826" spans="1:12" x14ac:dyDescent="0.25">
      <c r="A4826"/>
      <c r="B4826"/>
      <c r="D4826"/>
      <c r="G4826"/>
      <c r="L4826"/>
    </row>
    <row r="4827" spans="1:12" x14ac:dyDescent="0.25">
      <c r="A4827"/>
      <c r="B4827"/>
      <c r="D4827"/>
      <c r="G4827"/>
      <c r="L4827"/>
    </row>
    <row r="4828" spans="1:12" x14ac:dyDescent="0.25">
      <c r="A4828"/>
      <c r="B4828"/>
      <c r="D4828"/>
      <c r="G4828"/>
      <c r="L4828"/>
    </row>
    <row r="4829" spans="1:12" x14ac:dyDescent="0.25">
      <c r="A4829"/>
      <c r="B4829"/>
      <c r="D4829"/>
      <c r="G4829"/>
      <c r="L4829"/>
    </row>
    <row r="4830" spans="1:12" x14ac:dyDescent="0.25">
      <c r="A4830"/>
      <c r="B4830"/>
      <c r="D4830"/>
      <c r="G4830"/>
      <c r="L4830"/>
    </row>
    <row r="4831" spans="1:12" x14ac:dyDescent="0.25">
      <c r="A4831"/>
      <c r="B4831"/>
      <c r="D4831"/>
      <c r="G4831"/>
      <c r="L4831"/>
    </row>
    <row r="4832" spans="1:12" x14ac:dyDescent="0.25">
      <c r="A4832"/>
      <c r="B4832"/>
      <c r="D4832"/>
      <c r="G4832"/>
      <c r="L4832"/>
    </row>
    <row r="4833" spans="1:12" x14ac:dyDescent="0.25">
      <c r="A4833"/>
      <c r="B4833"/>
      <c r="D4833"/>
      <c r="G4833"/>
      <c r="L4833"/>
    </row>
    <row r="4834" spans="1:12" x14ac:dyDescent="0.25">
      <c r="A4834"/>
      <c r="B4834"/>
      <c r="D4834"/>
      <c r="G4834"/>
      <c r="L4834"/>
    </row>
    <row r="4835" spans="1:12" x14ac:dyDescent="0.25">
      <c r="A4835"/>
      <c r="B4835"/>
      <c r="D4835"/>
      <c r="G4835"/>
      <c r="L4835"/>
    </row>
    <row r="4836" spans="1:12" x14ac:dyDescent="0.25">
      <c r="A4836"/>
      <c r="B4836"/>
      <c r="D4836"/>
      <c r="G4836"/>
      <c r="L4836"/>
    </row>
    <row r="4837" spans="1:12" x14ac:dyDescent="0.25">
      <c r="A4837"/>
      <c r="B4837"/>
      <c r="D4837"/>
      <c r="G4837"/>
      <c r="L4837"/>
    </row>
    <row r="4838" spans="1:12" x14ac:dyDescent="0.25">
      <c r="A4838"/>
      <c r="B4838"/>
      <c r="D4838"/>
      <c r="G4838"/>
      <c r="L4838"/>
    </row>
    <row r="4839" spans="1:12" x14ac:dyDescent="0.25">
      <c r="A4839"/>
      <c r="B4839"/>
      <c r="D4839"/>
      <c r="G4839"/>
      <c r="L4839"/>
    </row>
    <row r="4840" spans="1:12" x14ac:dyDescent="0.25">
      <c r="A4840"/>
      <c r="B4840"/>
      <c r="D4840"/>
      <c r="G4840"/>
      <c r="L4840"/>
    </row>
    <row r="4841" spans="1:12" x14ac:dyDescent="0.25">
      <c r="A4841"/>
      <c r="B4841"/>
      <c r="D4841"/>
      <c r="G4841"/>
      <c r="L4841"/>
    </row>
    <row r="4842" spans="1:12" x14ac:dyDescent="0.25">
      <c r="A4842"/>
      <c r="B4842"/>
      <c r="D4842"/>
      <c r="G4842"/>
      <c r="L4842"/>
    </row>
    <row r="4843" spans="1:12" x14ac:dyDescent="0.25">
      <c r="A4843"/>
      <c r="B4843"/>
      <c r="D4843"/>
      <c r="G4843"/>
      <c r="L4843"/>
    </row>
    <row r="4844" spans="1:12" x14ac:dyDescent="0.25">
      <c r="A4844"/>
      <c r="B4844"/>
      <c r="D4844"/>
      <c r="G4844"/>
      <c r="L4844"/>
    </row>
    <row r="4845" spans="1:12" x14ac:dyDescent="0.25">
      <c r="A4845"/>
      <c r="B4845"/>
      <c r="D4845"/>
      <c r="G4845"/>
      <c r="L4845"/>
    </row>
    <row r="4846" spans="1:12" x14ac:dyDescent="0.25">
      <c r="A4846"/>
      <c r="B4846"/>
      <c r="D4846"/>
      <c r="G4846"/>
      <c r="L4846"/>
    </row>
    <row r="4847" spans="1:12" x14ac:dyDescent="0.25">
      <c r="A4847"/>
      <c r="B4847"/>
      <c r="D4847"/>
      <c r="G4847"/>
      <c r="L4847"/>
    </row>
    <row r="4848" spans="1:12" x14ac:dyDescent="0.25">
      <c r="A4848"/>
      <c r="B4848"/>
      <c r="D4848"/>
      <c r="G4848"/>
      <c r="L4848"/>
    </row>
    <row r="4849" spans="1:12" x14ac:dyDescent="0.25">
      <c r="A4849"/>
      <c r="B4849"/>
      <c r="D4849"/>
      <c r="G4849"/>
      <c r="L4849"/>
    </row>
    <row r="4850" spans="1:12" x14ac:dyDescent="0.25">
      <c r="A4850"/>
      <c r="B4850"/>
      <c r="D4850"/>
      <c r="G4850"/>
      <c r="L4850"/>
    </row>
    <row r="4851" spans="1:12" x14ac:dyDescent="0.25">
      <c r="A4851"/>
      <c r="B4851"/>
      <c r="D4851"/>
      <c r="G4851"/>
      <c r="L4851"/>
    </row>
    <row r="4852" spans="1:12" x14ac:dyDescent="0.25">
      <c r="A4852"/>
      <c r="B4852"/>
      <c r="D4852"/>
      <c r="G4852"/>
      <c r="L4852"/>
    </row>
    <row r="4853" spans="1:12" x14ac:dyDescent="0.25">
      <c r="A4853"/>
      <c r="B4853"/>
      <c r="D4853"/>
      <c r="G4853"/>
      <c r="L4853"/>
    </row>
    <row r="4854" spans="1:12" x14ac:dyDescent="0.25">
      <c r="A4854"/>
      <c r="B4854"/>
      <c r="D4854"/>
      <c r="G4854"/>
      <c r="L4854"/>
    </row>
    <row r="4855" spans="1:12" x14ac:dyDescent="0.25">
      <c r="A4855"/>
      <c r="B4855"/>
      <c r="D4855"/>
      <c r="G4855"/>
      <c r="L4855"/>
    </row>
    <row r="4856" spans="1:12" x14ac:dyDescent="0.25">
      <c r="A4856"/>
      <c r="B4856"/>
      <c r="D4856"/>
      <c r="G4856"/>
      <c r="L4856"/>
    </row>
    <row r="4857" spans="1:12" x14ac:dyDescent="0.25">
      <c r="A4857"/>
      <c r="B4857"/>
      <c r="D4857"/>
      <c r="G4857"/>
      <c r="L4857"/>
    </row>
    <row r="4858" spans="1:12" x14ac:dyDescent="0.25">
      <c r="A4858"/>
      <c r="B4858"/>
      <c r="D4858"/>
      <c r="G4858"/>
      <c r="L4858"/>
    </row>
    <row r="4859" spans="1:12" x14ac:dyDescent="0.25">
      <c r="A4859"/>
      <c r="B4859"/>
      <c r="D4859"/>
      <c r="G4859"/>
      <c r="L4859"/>
    </row>
    <row r="4860" spans="1:12" x14ac:dyDescent="0.25">
      <c r="A4860"/>
      <c r="B4860"/>
      <c r="D4860"/>
      <c r="G4860"/>
      <c r="L4860"/>
    </row>
    <row r="4861" spans="1:12" x14ac:dyDescent="0.25">
      <c r="A4861"/>
      <c r="B4861"/>
      <c r="D4861"/>
      <c r="G4861"/>
      <c r="L4861"/>
    </row>
    <row r="4862" spans="1:12" x14ac:dyDescent="0.25">
      <c r="A4862"/>
      <c r="B4862"/>
      <c r="D4862"/>
      <c r="G4862"/>
      <c r="L4862"/>
    </row>
    <row r="4863" spans="1:12" x14ac:dyDescent="0.25">
      <c r="A4863"/>
      <c r="B4863"/>
      <c r="D4863"/>
      <c r="G4863"/>
      <c r="L4863"/>
    </row>
    <row r="4864" spans="1:12" x14ac:dyDescent="0.25">
      <c r="A4864"/>
      <c r="B4864"/>
      <c r="D4864"/>
      <c r="G4864"/>
      <c r="L4864"/>
    </row>
    <row r="4865" spans="1:12" x14ac:dyDescent="0.25">
      <c r="A4865"/>
      <c r="B4865"/>
      <c r="D4865"/>
      <c r="G4865"/>
      <c r="L4865"/>
    </row>
    <row r="4866" spans="1:12" x14ac:dyDescent="0.25">
      <c r="A4866"/>
      <c r="B4866"/>
      <c r="D4866"/>
      <c r="G4866"/>
      <c r="L4866"/>
    </row>
    <row r="4867" spans="1:12" x14ac:dyDescent="0.25">
      <c r="A4867"/>
      <c r="B4867"/>
      <c r="D4867"/>
      <c r="G4867"/>
      <c r="L4867"/>
    </row>
    <row r="4868" spans="1:12" x14ac:dyDescent="0.25">
      <c r="A4868"/>
      <c r="B4868"/>
      <c r="D4868"/>
      <c r="G4868"/>
      <c r="L4868"/>
    </row>
    <row r="4869" spans="1:12" x14ac:dyDescent="0.25">
      <c r="A4869"/>
      <c r="B4869"/>
      <c r="D4869"/>
      <c r="G4869"/>
      <c r="L4869"/>
    </row>
    <row r="4870" spans="1:12" x14ac:dyDescent="0.25">
      <c r="A4870"/>
      <c r="B4870"/>
      <c r="D4870"/>
      <c r="G4870"/>
      <c r="L4870"/>
    </row>
    <row r="4871" spans="1:12" x14ac:dyDescent="0.25">
      <c r="A4871"/>
      <c r="B4871"/>
      <c r="D4871"/>
      <c r="G4871"/>
      <c r="L4871"/>
    </row>
    <row r="4872" spans="1:12" x14ac:dyDescent="0.25">
      <c r="A4872"/>
      <c r="B4872"/>
      <c r="D4872"/>
      <c r="G4872"/>
      <c r="L4872"/>
    </row>
    <row r="4873" spans="1:12" x14ac:dyDescent="0.25">
      <c r="A4873"/>
      <c r="B4873"/>
      <c r="D4873"/>
      <c r="G4873"/>
      <c r="L4873"/>
    </row>
    <row r="4874" spans="1:12" x14ac:dyDescent="0.25">
      <c r="A4874"/>
      <c r="B4874"/>
      <c r="D4874"/>
      <c r="G4874"/>
      <c r="L4874"/>
    </row>
    <row r="4875" spans="1:12" x14ac:dyDescent="0.25">
      <c r="A4875"/>
      <c r="B4875"/>
      <c r="D4875"/>
      <c r="G4875"/>
      <c r="L4875"/>
    </row>
    <row r="4876" spans="1:12" x14ac:dyDescent="0.25">
      <c r="A4876"/>
      <c r="B4876"/>
      <c r="D4876"/>
      <c r="G4876"/>
      <c r="L4876"/>
    </row>
    <row r="4877" spans="1:12" x14ac:dyDescent="0.25">
      <c r="A4877"/>
      <c r="B4877"/>
      <c r="D4877"/>
      <c r="G4877"/>
      <c r="L4877"/>
    </row>
    <row r="4878" spans="1:12" x14ac:dyDescent="0.25">
      <c r="A4878"/>
      <c r="B4878"/>
      <c r="D4878"/>
      <c r="G4878"/>
      <c r="L4878"/>
    </row>
    <row r="4879" spans="1:12" x14ac:dyDescent="0.25">
      <c r="A4879"/>
      <c r="B4879"/>
      <c r="D4879"/>
      <c r="G4879"/>
      <c r="L4879"/>
    </row>
    <row r="4880" spans="1:12" x14ac:dyDescent="0.25">
      <c r="A4880"/>
      <c r="B4880"/>
      <c r="D4880"/>
      <c r="G4880"/>
      <c r="L4880"/>
    </row>
    <row r="4881" spans="1:12" x14ac:dyDescent="0.25">
      <c r="A4881"/>
      <c r="B4881"/>
      <c r="D4881"/>
      <c r="G4881"/>
      <c r="L4881"/>
    </row>
    <row r="4882" spans="1:12" x14ac:dyDescent="0.25">
      <c r="A4882"/>
      <c r="B4882"/>
      <c r="D4882"/>
      <c r="G4882"/>
      <c r="L4882"/>
    </row>
    <row r="4883" spans="1:12" x14ac:dyDescent="0.25">
      <c r="A4883"/>
      <c r="B4883"/>
      <c r="D4883"/>
      <c r="G4883"/>
      <c r="L4883"/>
    </row>
    <row r="4884" spans="1:12" x14ac:dyDescent="0.25">
      <c r="A4884"/>
      <c r="B4884"/>
      <c r="D4884"/>
      <c r="G4884"/>
      <c r="L4884"/>
    </row>
    <row r="4885" spans="1:12" x14ac:dyDescent="0.25">
      <c r="A4885"/>
      <c r="B4885"/>
      <c r="D4885"/>
      <c r="G4885"/>
      <c r="L4885"/>
    </row>
    <row r="4886" spans="1:12" x14ac:dyDescent="0.25">
      <c r="A4886"/>
      <c r="B4886"/>
      <c r="D4886"/>
      <c r="G4886"/>
      <c r="L4886"/>
    </row>
    <row r="4887" spans="1:12" x14ac:dyDescent="0.25">
      <c r="A4887"/>
      <c r="B4887"/>
      <c r="D4887"/>
      <c r="G4887"/>
      <c r="L4887"/>
    </row>
    <row r="4888" spans="1:12" x14ac:dyDescent="0.25">
      <c r="A4888"/>
      <c r="B4888"/>
      <c r="D4888"/>
      <c r="G4888"/>
      <c r="L4888"/>
    </row>
    <row r="4889" spans="1:12" x14ac:dyDescent="0.25">
      <c r="A4889"/>
      <c r="B4889"/>
      <c r="D4889"/>
      <c r="G4889"/>
      <c r="L4889"/>
    </row>
    <row r="4890" spans="1:12" x14ac:dyDescent="0.25">
      <c r="A4890"/>
      <c r="B4890"/>
      <c r="D4890"/>
      <c r="G4890"/>
      <c r="L4890"/>
    </row>
    <row r="4891" spans="1:12" x14ac:dyDescent="0.25">
      <c r="A4891"/>
      <c r="B4891"/>
      <c r="D4891"/>
      <c r="G4891"/>
      <c r="L4891"/>
    </row>
    <row r="4892" spans="1:12" x14ac:dyDescent="0.25">
      <c r="A4892"/>
      <c r="B4892"/>
      <c r="D4892"/>
      <c r="G4892"/>
      <c r="L4892"/>
    </row>
    <row r="4893" spans="1:12" x14ac:dyDescent="0.25">
      <c r="A4893"/>
      <c r="B4893"/>
      <c r="D4893"/>
      <c r="G4893"/>
      <c r="L4893"/>
    </row>
    <row r="4894" spans="1:12" x14ac:dyDescent="0.25">
      <c r="A4894"/>
      <c r="B4894"/>
      <c r="D4894"/>
      <c r="G4894"/>
      <c r="L4894"/>
    </row>
    <row r="4895" spans="1:12" x14ac:dyDescent="0.25">
      <c r="A4895"/>
      <c r="B4895"/>
      <c r="D4895"/>
      <c r="G4895"/>
      <c r="L4895"/>
    </row>
    <row r="4896" spans="1:12" x14ac:dyDescent="0.25">
      <c r="A4896"/>
      <c r="B4896"/>
      <c r="D4896"/>
      <c r="G4896"/>
      <c r="L4896"/>
    </row>
    <row r="4897" spans="1:12" x14ac:dyDescent="0.25">
      <c r="A4897"/>
      <c r="B4897"/>
      <c r="D4897"/>
      <c r="G4897"/>
      <c r="L4897"/>
    </row>
    <row r="4898" spans="1:12" x14ac:dyDescent="0.25">
      <c r="A4898"/>
      <c r="B4898"/>
      <c r="D4898"/>
      <c r="G4898"/>
      <c r="L4898"/>
    </row>
    <row r="4899" spans="1:12" x14ac:dyDescent="0.25">
      <c r="A4899"/>
      <c r="B4899"/>
      <c r="D4899"/>
      <c r="G4899"/>
      <c r="L4899"/>
    </row>
    <row r="4900" spans="1:12" x14ac:dyDescent="0.25">
      <c r="A4900"/>
      <c r="B4900"/>
      <c r="D4900"/>
      <c r="G4900"/>
      <c r="L4900"/>
    </row>
    <row r="4901" spans="1:12" x14ac:dyDescent="0.25">
      <c r="A4901"/>
      <c r="B4901"/>
      <c r="D4901"/>
      <c r="G4901"/>
      <c r="L4901"/>
    </row>
    <row r="4902" spans="1:12" x14ac:dyDescent="0.25">
      <c r="A4902"/>
      <c r="B4902"/>
      <c r="D4902"/>
      <c r="G4902"/>
      <c r="L4902"/>
    </row>
    <row r="4903" spans="1:12" x14ac:dyDescent="0.25">
      <c r="A4903"/>
      <c r="B4903"/>
      <c r="D4903"/>
      <c r="G4903"/>
      <c r="L4903"/>
    </row>
    <row r="4904" spans="1:12" x14ac:dyDescent="0.25">
      <c r="A4904"/>
      <c r="B4904"/>
      <c r="D4904"/>
      <c r="G4904"/>
      <c r="L4904"/>
    </row>
    <row r="4905" spans="1:12" x14ac:dyDescent="0.25">
      <c r="A4905"/>
      <c r="B4905"/>
      <c r="D4905"/>
      <c r="G4905"/>
      <c r="L4905"/>
    </row>
    <row r="4906" spans="1:12" x14ac:dyDescent="0.25">
      <c r="A4906"/>
      <c r="B4906"/>
      <c r="D4906"/>
      <c r="G4906"/>
      <c r="L4906"/>
    </row>
    <row r="4907" spans="1:12" x14ac:dyDescent="0.25">
      <c r="A4907"/>
      <c r="B4907"/>
      <c r="D4907"/>
      <c r="G4907"/>
      <c r="L4907"/>
    </row>
    <row r="4908" spans="1:12" x14ac:dyDescent="0.25">
      <c r="A4908"/>
      <c r="B4908"/>
      <c r="D4908"/>
      <c r="G4908"/>
      <c r="L4908"/>
    </row>
    <row r="4909" spans="1:12" x14ac:dyDescent="0.25">
      <c r="A4909"/>
      <c r="B4909"/>
      <c r="D4909"/>
      <c r="G4909"/>
      <c r="L4909"/>
    </row>
    <row r="4910" spans="1:12" x14ac:dyDescent="0.25">
      <c r="A4910"/>
      <c r="B4910"/>
      <c r="D4910"/>
      <c r="G4910"/>
      <c r="L4910"/>
    </row>
    <row r="4911" spans="1:12" x14ac:dyDescent="0.25">
      <c r="A4911"/>
      <c r="B4911"/>
      <c r="D4911"/>
      <c r="G4911"/>
      <c r="L4911"/>
    </row>
    <row r="4912" spans="1:12" x14ac:dyDescent="0.25">
      <c r="A4912"/>
      <c r="B4912"/>
      <c r="D4912"/>
      <c r="G4912"/>
      <c r="L4912"/>
    </row>
    <row r="4913" spans="1:12" x14ac:dyDescent="0.25">
      <c r="A4913"/>
      <c r="B4913"/>
      <c r="D4913"/>
      <c r="G4913"/>
      <c r="L4913"/>
    </row>
    <row r="4914" spans="1:12" x14ac:dyDescent="0.25">
      <c r="A4914"/>
      <c r="B4914"/>
      <c r="D4914"/>
      <c r="G4914"/>
      <c r="L4914"/>
    </row>
    <row r="4915" spans="1:12" x14ac:dyDescent="0.25">
      <c r="A4915"/>
      <c r="B4915"/>
      <c r="D4915"/>
      <c r="G4915"/>
      <c r="L4915"/>
    </row>
    <row r="4916" spans="1:12" x14ac:dyDescent="0.25">
      <c r="A4916"/>
      <c r="B4916"/>
      <c r="D4916"/>
      <c r="G4916"/>
      <c r="L4916"/>
    </row>
    <row r="4917" spans="1:12" x14ac:dyDescent="0.25">
      <c r="A4917"/>
      <c r="B4917"/>
      <c r="D4917"/>
      <c r="G4917"/>
      <c r="L4917"/>
    </row>
    <row r="4918" spans="1:12" x14ac:dyDescent="0.25">
      <c r="A4918"/>
      <c r="B4918"/>
      <c r="D4918"/>
      <c r="G4918"/>
      <c r="L4918"/>
    </row>
    <row r="4919" spans="1:12" x14ac:dyDescent="0.25">
      <c r="A4919"/>
      <c r="B4919"/>
      <c r="D4919"/>
      <c r="G4919"/>
      <c r="L4919"/>
    </row>
    <row r="4920" spans="1:12" x14ac:dyDescent="0.25">
      <c r="A4920"/>
      <c r="B4920"/>
      <c r="D4920"/>
      <c r="G4920"/>
      <c r="L4920"/>
    </row>
    <row r="4921" spans="1:12" x14ac:dyDescent="0.25">
      <c r="A4921"/>
      <c r="B4921"/>
      <c r="D4921"/>
      <c r="G4921"/>
      <c r="L4921"/>
    </row>
    <row r="4922" spans="1:12" x14ac:dyDescent="0.25">
      <c r="A4922"/>
      <c r="B4922"/>
      <c r="D4922"/>
      <c r="G4922"/>
      <c r="L4922"/>
    </row>
    <row r="4923" spans="1:12" x14ac:dyDescent="0.25">
      <c r="A4923"/>
      <c r="B4923"/>
      <c r="D4923"/>
      <c r="G4923"/>
      <c r="L4923"/>
    </row>
    <row r="4924" spans="1:12" x14ac:dyDescent="0.25">
      <c r="A4924"/>
      <c r="B4924"/>
      <c r="D4924"/>
      <c r="G4924"/>
      <c r="L4924"/>
    </row>
    <row r="4925" spans="1:12" x14ac:dyDescent="0.25">
      <c r="A4925"/>
      <c r="B4925"/>
      <c r="D4925"/>
      <c r="G4925"/>
      <c r="L4925"/>
    </row>
    <row r="4926" spans="1:12" x14ac:dyDescent="0.25">
      <c r="A4926"/>
      <c r="B4926"/>
      <c r="D4926"/>
      <c r="G4926"/>
      <c r="L4926"/>
    </row>
    <row r="4927" spans="1:12" x14ac:dyDescent="0.25">
      <c r="A4927"/>
      <c r="B4927"/>
      <c r="D4927"/>
      <c r="G4927"/>
      <c r="L4927"/>
    </row>
    <row r="4928" spans="1:12" x14ac:dyDescent="0.25">
      <c r="A4928"/>
      <c r="B4928"/>
      <c r="D4928"/>
      <c r="G4928"/>
      <c r="L4928"/>
    </row>
    <row r="4929" spans="1:12" x14ac:dyDescent="0.25">
      <c r="A4929"/>
      <c r="B4929"/>
      <c r="D4929"/>
      <c r="G4929"/>
      <c r="L4929"/>
    </row>
    <row r="4930" spans="1:12" x14ac:dyDescent="0.25">
      <c r="A4930"/>
      <c r="B4930"/>
      <c r="D4930"/>
      <c r="G4930"/>
      <c r="L4930"/>
    </row>
    <row r="4931" spans="1:12" x14ac:dyDescent="0.25">
      <c r="A4931"/>
      <c r="B4931"/>
      <c r="D4931"/>
      <c r="G4931"/>
      <c r="L4931"/>
    </row>
    <row r="4932" spans="1:12" x14ac:dyDescent="0.25">
      <c r="A4932"/>
      <c r="B4932"/>
      <c r="D4932"/>
      <c r="G4932"/>
      <c r="L4932"/>
    </row>
    <row r="4933" spans="1:12" x14ac:dyDescent="0.25">
      <c r="A4933"/>
      <c r="B4933"/>
      <c r="D4933"/>
      <c r="G4933"/>
      <c r="L4933"/>
    </row>
    <row r="4934" spans="1:12" x14ac:dyDescent="0.25">
      <c r="A4934"/>
      <c r="B4934"/>
      <c r="D4934"/>
      <c r="G4934"/>
      <c r="L4934"/>
    </row>
    <row r="4935" spans="1:12" x14ac:dyDescent="0.25">
      <c r="A4935"/>
      <c r="B4935"/>
      <c r="D4935"/>
      <c r="G4935"/>
      <c r="L4935"/>
    </row>
    <row r="4936" spans="1:12" x14ac:dyDescent="0.25">
      <c r="A4936"/>
      <c r="B4936"/>
      <c r="D4936"/>
      <c r="G4936"/>
      <c r="L4936"/>
    </row>
    <row r="4937" spans="1:12" x14ac:dyDescent="0.25">
      <c r="A4937"/>
      <c r="B4937"/>
      <c r="D4937"/>
      <c r="G4937"/>
      <c r="L4937"/>
    </row>
    <row r="4938" spans="1:12" x14ac:dyDescent="0.25">
      <c r="A4938"/>
      <c r="B4938"/>
      <c r="D4938"/>
      <c r="G4938"/>
      <c r="L4938"/>
    </row>
    <row r="4939" spans="1:12" x14ac:dyDescent="0.25">
      <c r="A4939"/>
      <c r="B4939"/>
      <c r="D4939"/>
      <c r="G4939"/>
      <c r="L4939"/>
    </row>
    <row r="4940" spans="1:12" x14ac:dyDescent="0.25">
      <c r="A4940"/>
      <c r="B4940"/>
      <c r="D4940"/>
      <c r="G4940"/>
      <c r="L4940"/>
    </row>
    <row r="4941" spans="1:12" x14ac:dyDescent="0.25">
      <c r="A4941"/>
      <c r="B4941"/>
      <c r="D4941"/>
      <c r="G4941"/>
      <c r="L4941"/>
    </row>
    <row r="4942" spans="1:12" x14ac:dyDescent="0.25">
      <c r="A4942"/>
      <c r="B4942"/>
      <c r="D4942"/>
      <c r="G4942"/>
      <c r="L4942"/>
    </row>
    <row r="4943" spans="1:12" x14ac:dyDescent="0.25">
      <c r="A4943"/>
      <c r="B4943"/>
      <c r="D4943"/>
      <c r="G4943"/>
      <c r="L4943"/>
    </row>
    <row r="4944" spans="1:12" x14ac:dyDescent="0.25">
      <c r="A4944"/>
      <c r="B4944"/>
      <c r="D4944"/>
      <c r="G4944"/>
      <c r="L4944"/>
    </row>
    <row r="4945" spans="1:12" x14ac:dyDescent="0.25">
      <c r="A4945"/>
      <c r="B4945"/>
      <c r="D4945"/>
      <c r="G4945"/>
      <c r="L4945"/>
    </row>
    <row r="4946" spans="1:12" x14ac:dyDescent="0.25">
      <c r="A4946"/>
      <c r="B4946"/>
      <c r="D4946"/>
      <c r="G4946"/>
      <c r="L4946"/>
    </row>
    <row r="4947" spans="1:12" x14ac:dyDescent="0.25">
      <c r="A4947"/>
      <c r="B4947"/>
      <c r="D4947"/>
      <c r="G4947"/>
      <c r="L4947"/>
    </row>
    <row r="4948" spans="1:12" x14ac:dyDescent="0.25">
      <c r="A4948"/>
      <c r="B4948"/>
      <c r="D4948"/>
      <c r="G4948"/>
      <c r="L4948"/>
    </row>
    <row r="4949" spans="1:12" x14ac:dyDescent="0.25">
      <c r="A4949"/>
      <c r="B4949"/>
      <c r="D4949"/>
      <c r="G4949"/>
      <c r="L4949"/>
    </row>
    <row r="4950" spans="1:12" x14ac:dyDescent="0.25">
      <c r="A4950"/>
      <c r="B4950"/>
      <c r="D4950"/>
      <c r="G4950"/>
      <c r="L4950"/>
    </row>
    <row r="4951" spans="1:12" x14ac:dyDescent="0.25">
      <c r="A4951"/>
      <c r="B4951"/>
      <c r="D4951"/>
      <c r="G4951"/>
      <c r="L4951"/>
    </row>
    <row r="4952" spans="1:12" x14ac:dyDescent="0.25">
      <c r="A4952"/>
      <c r="B4952"/>
      <c r="D4952"/>
      <c r="G4952"/>
      <c r="L4952"/>
    </row>
    <row r="4953" spans="1:12" x14ac:dyDescent="0.25">
      <c r="A4953"/>
      <c r="B4953"/>
      <c r="D4953"/>
      <c r="G4953"/>
      <c r="L4953"/>
    </row>
    <row r="4954" spans="1:12" x14ac:dyDescent="0.25">
      <c r="A4954"/>
      <c r="B4954"/>
      <c r="D4954"/>
      <c r="G4954"/>
      <c r="L4954"/>
    </row>
    <row r="4955" spans="1:12" x14ac:dyDescent="0.25">
      <c r="A4955"/>
      <c r="B4955"/>
      <c r="D4955"/>
      <c r="G4955"/>
      <c r="L4955"/>
    </row>
    <row r="4956" spans="1:12" x14ac:dyDescent="0.25">
      <c r="A4956"/>
      <c r="B4956"/>
      <c r="D4956"/>
      <c r="G4956"/>
      <c r="L4956"/>
    </row>
    <row r="4957" spans="1:12" x14ac:dyDescent="0.25">
      <c r="A4957"/>
      <c r="B4957"/>
      <c r="D4957"/>
      <c r="G4957"/>
      <c r="L4957"/>
    </row>
    <row r="4958" spans="1:12" x14ac:dyDescent="0.25">
      <c r="A4958"/>
      <c r="B4958"/>
      <c r="D4958"/>
      <c r="G4958"/>
      <c r="L4958"/>
    </row>
    <row r="4959" spans="1:12" x14ac:dyDescent="0.25">
      <c r="A4959"/>
      <c r="B4959"/>
      <c r="D4959"/>
      <c r="G4959"/>
      <c r="L4959"/>
    </row>
    <row r="4960" spans="1:12" x14ac:dyDescent="0.25">
      <c r="A4960"/>
      <c r="B4960"/>
      <c r="D4960"/>
      <c r="G4960"/>
      <c r="L4960"/>
    </row>
    <row r="4961" spans="1:12" x14ac:dyDescent="0.25">
      <c r="A4961"/>
      <c r="B4961"/>
      <c r="D4961"/>
      <c r="G4961"/>
      <c r="L4961"/>
    </row>
    <row r="4962" spans="1:12" x14ac:dyDescent="0.25">
      <c r="A4962"/>
      <c r="B4962"/>
      <c r="D4962"/>
      <c r="G4962"/>
      <c r="L4962"/>
    </row>
    <row r="4963" spans="1:12" x14ac:dyDescent="0.25">
      <c r="A4963"/>
      <c r="B4963"/>
      <c r="D4963"/>
      <c r="G4963"/>
      <c r="L4963"/>
    </row>
    <row r="4964" spans="1:12" x14ac:dyDescent="0.25">
      <c r="A4964"/>
      <c r="B4964"/>
      <c r="D4964"/>
      <c r="G4964"/>
      <c r="L4964"/>
    </row>
    <row r="4965" spans="1:12" x14ac:dyDescent="0.25">
      <c r="A4965"/>
      <c r="B4965"/>
      <c r="D4965"/>
      <c r="G4965"/>
      <c r="L4965"/>
    </row>
    <row r="4966" spans="1:12" x14ac:dyDescent="0.25">
      <c r="A4966"/>
      <c r="B4966"/>
      <c r="D4966"/>
      <c r="G4966"/>
      <c r="L4966"/>
    </row>
    <row r="4967" spans="1:12" x14ac:dyDescent="0.25">
      <c r="A4967"/>
      <c r="B4967"/>
      <c r="D4967"/>
      <c r="G4967"/>
      <c r="L4967"/>
    </row>
    <row r="4968" spans="1:12" x14ac:dyDescent="0.25">
      <c r="A4968"/>
      <c r="B4968"/>
      <c r="D4968"/>
      <c r="G4968"/>
      <c r="L4968"/>
    </row>
    <row r="4969" spans="1:12" x14ac:dyDescent="0.25">
      <c r="A4969"/>
      <c r="B4969"/>
      <c r="D4969"/>
      <c r="G4969"/>
      <c r="L4969"/>
    </row>
    <row r="4970" spans="1:12" x14ac:dyDescent="0.25">
      <c r="A4970"/>
      <c r="B4970"/>
      <c r="D4970"/>
      <c r="G4970"/>
      <c r="L4970"/>
    </row>
    <row r="4971" spans="1:12" x14ac:dyDescent="0.25">
      <c r="A4971"/>
      <c r="B4971"/>
      <c r="D4971"/>
      <c r="G4971"/>
      <c r="L4971"/>
    </row>
    <row r="4972" spans="1:12" x14ac:dyDescent="0.25">
      <c r="A4972"/>
      <c r="B4972"/>
      <c r="D4972"/>
      <c r="G4972"/>
      <c r="L4972"/>
    </row>
    <row r="4973" spans="1:12" x14ac:dyDescent="0.25">
      <c r="A4973"/>
      <c r="B4973"/>
      <c r="D4973"/>
      <c r="G4973"/>
      <c r="L4973"/>
    </row>
    <row r="4974" spans="1:12" x14ac:dyDescent="0.25">
      <c r="A4974"/>
      <c r="B4974"/>
      <c r="D4974"/>
      <c r="G4974"/>
      <c r="L4974"/>
    </row>
    <row r="4975" spans="1:12" x14ac:dyDescent="0.25">
      <c r="A4975"/>
      <c r="B4975"/>
      <c r="D4975"/>
      <c r="G4975"/>
      <c r="L4975"/>
    </row>
    <row r="4976" spans="1:12" x14ac:dyDescent="0.25">
      <c r="A4976"/>
      <c r="B4976"/>
      <c r="D4976"/>
      <c r="G4976"/>
      <c r="L4976"/>
    </row>
    <row r="4977" spans="1:12" x14ac:dyDescent="0.25">
      <c r="A4977"/>
      <c r="B4977"/>
      <c r="D4977"/>
      <c r="G4977"/>
      <c r="L4977"/>
    </row>
    <row r="4978" spans="1:12" x14ac:dyDescent="0.25">
      <c r="A4978"/>
      <c r="B4978"/>
      <c r="D4978"/>
      <c r="G4978"/>
      <c r="L4978"/>
    </row>
    <row r="4979" spans="1:12" x14ac:dyDescent="0.25">
      <c r="A4979"/>
      <c r="B4979"/>
      <c r="D4979"/>
      <c r="G4979"/>
      <c r="L4979"/>
    </row>
    <row r="4980" spans="1:12" x14ac:dyDescent="0.25">
      <c r="A4980"/>
      <c r="B4980"/>
      <c r="D4980"/>
      <c r="G4980"/>
      <c r="L4980"/>
    </row>
    <row r="4981" spans="1:12" x14ac:dyDescent="0.25">
      <c r="A4981"/>
      <c r="B4981"/>
      <c r="D4981"/>
      <c r="G4981"/>
      <c r="L4981"/>
    </row>
    <row r="4982" spans="1:12" x14ac:dyDescent="0.25">
      <c r="A4982"/>
      <c r="B4982"/>
      <c r="D4982"/>
      <c r="G4982"/>
      <c r="L4982"/>
    </row>
    <row r="4983" spans="1:12" x14ac:dyDescent="0.25">
      <c r="A4983"/>
      <c r="B4983"/>
      <c r="D4983"/>
      <c r="G4983"/>
      <c r="L4983"/>
    </row>
    <row r="4984" spans="1:12" x14ac:dyDescent="0.25">
      <c r="A4984"/>
      <c r="B4984"/>
      <c r="D4984"/>
      <c r="G4984"/>
      <c r="L4984"/>
    </row>
    <row r="4985" spans="1:12" x14ac:dyDescent="0.25">
      <c r="A4985"/>
      <c r="B4985"/>
      <c r="D4985"/>
      <c r="G4985"/>
      <c r="L4985"/>
    </row>
    <row r="4986" spans="1:12" x14ac:dyDescent="0.25">
      <c r="A4986"/>
      <c r="B4986"/>
      <c r="D4986"/>
      <c r="G4986"/>
      <c r="L4986"/>
    </row>
    <row r="4987" spans="1:12" x14ac:dyDescent="0.25">
      <c r="A4987"/>
      <c r="B4987"/>
      <c r="D4987"/>
      <c r="G4987"/>
      <c r="L4987"/>
    </row>
    <row r="4988" spans="1:12" x14ac:dyDescent="0.25">
      <c r="A4988"/>
      <c r="B4988"/>
      <c r="D4988"/>
      <c r="G4988"/>
      <c r="L4988"/>
    </row>
    <row r="4989" spans="1:12" x14ac:dyDescent="0.25">
      <c r="A4989"/>
      <c r="B4989"/>
      <c r="D4989"/>
      <c r="G4989"/>
      <c r="L4989"/>
    </row>
    <row r="4990" spans="1:12" x14ac:dyDescent="0.25">
      <c r="A4990"/>
      <c r="B4990"/>
      <c r="D4990"/>
      <c r="G4990"/>
      <c r="L4990"/>
    </row>
    <row r="4991" spans="1:12" x14ac:dyDescent="0.25">
      <c r="A4991"/>
      <c r="B4991"/>
      <c r="D4991"/>
      <c r="G4991"/>
      <c r="L4991"/>
    </row>
    <row r="4992" spans="1:12" x14ac:dyDescent="0.25">
      <c r="A4992"/>
      <c r="B4992"/>
      <c r="D4992"/>
      <c r="G4992"/>
      <c r="L4992"/>
    </row>
    <row r="4993" spans="1:12" x14ac:dyDescent="0.25">
      <c r="A4993"/>
      <c r="B4993"/>
      <c r="D4993"/>
      <c r="G4993"/>
      <c r="L4993"/>
    </row>
    <row r="4994" spans="1:12" x14ac:dyDescent="0.25">
      <c r="A4994"/>
      <c r="B4994"/>
      <c r="D4994"/>
      <c r="G4994"/>
      <c r="L4994"/>
    </row>
    <row r="4995" spans="1:12" x14ac:dyDescent="0.25">
      <c r="A4995"/>
      <c r="B4995"/>
      <c r="D4995"/>
      <c r="G4995"/>
      <c r="L4995"/>
    </row>
    <row r="4996" spans="1:12" x14ac:dyDescent="0.25">
      <c r="A4996"/>
      <c r="B4996"/>
      <c r="D4996"/>
      <c r="G4996"/>
      <c r="L4996"/>
    </row>
    <row r="4997" spans="1:12" x14ac:dyDescent="0.25">
      <c r="A4997"/>
      <c r="B4997"/>
      <c r="D4997"/>
      <c r="G4997"/>
      <c r="L4997"/>
    </row>
    <row r="4998" spans="1:12" x14ac:dyDescent="0.25">
      <c r="A4998"/>
      <c r="B4998"/>
      <c r="D4998"/>
      <c r="G4998"/>
      <c r="L4998"/>
    </row>
    <row r="4999" spans="1:12" x14ac:dyDescent="0.25">
      <c r="A4999"/>
      <c r="B4999"/>
      <c r="D4999"/>
      <c r="G4999"/>
      <c r="L4999"/>
    </row>
    <row r="5000" spans="1:12" x14ac:dyDescent="0.25">
      <c r="A5000"/>
      <c r="B5000"/>
      <c r="D5000"/>
      <c r="G5000"/>
      <c r="L5000"/>
    </row>
    <row r="5001" spans="1:12" x14ac:dyDescent="0.25">
      <c r="A5001"/>
      <c r="B5001"/>
      <c r="D5001"/>
      <c r="G5001"/>
      <c r="L5001"/>
    </row>
    <row r="5002" spans="1:12" x14ac:dyDescent="0.25">
      <c r="A5002"/>
      <c r="B5002"/>
      <c r="D5002"/>
      <c r="G5002"/>
      <c r="L5002"/>
    </row>
    <row r="5003" spans="1:12" x14ac:dyDescent="0.25">
      <c r="A5003"/>
      <c r="B5003"/>
      <c r="D5003"/>
      <c r="G5003"/>
      <c r="L5003"/>
    </row>
    <row r="5004" spans="1:12" x14ac:dyDescent="0.25">
      <c r="A5004"/>
      <c r="B5004"/>
      <c r="D5004"/>
      <c r="G5004"/>
      <c r="L5004"/>
    </row>
    <row r="5005" spans="1:12" x14ac:dyDescent="0.25">
      <c r="A5005"/>
      <c r="B5005"/>
      <c r="D5005"/>
      <c r="G5005"/>
      <c r="L5005"/>
    </row>
    <row r="5006" spans="1:12" x14ac:dyDescent="0.25">
      <c r="A5006"/>
      <c r="B5006"/>
      <c r="D5006"/>
      <c r="G5006"/>
      <c r="L5006"/>
    </row>
    <row r="5007" spans="1:12" x14ac:dyDescent="0.25">
      <c r="A5007"/>
      <c r="B5007"/>
      <c r="D5007"/>
      <c r="G5007"/>
      <c r="L5007"/>
    </row>
    <row r="5008" spans="1:12" x14ac:dyDescent="0.25">
      <c r="A5008"/>
      <c r="B5008"/>
      <c r="D5008"/>
      <c r="G5008"/>
      <c r="L5008"/>
    </row>
    <row r="5009" spans="1:12" x14ac:dyDescent="0.25">
      <c r="A5009"/>
      <c r="B5009"/>
      <c r="D5009"/>
      <c r="G5009"/>
      <c r="L5009"/>
    </row>
    <row r="5010" spans="1:12" x14ac:dyDescent="0.25">
      <c r="A5010"/>
      <c r="B5010"/>
      <c r="D5010"/>
      <c r="G5010"/>
      <c r="L5010"/>
    </row>
    <row r="5011" spans="1:12" x14ac:dyDescent="0.25">
      <c r="A5011"/>
      <c r="B5011"/>
      <c r="D5011"/>
      <c r="G5011"/>
      <c r="L5011"/>
    </row>
    <row r="5012" spans="1:12" x14ac:dyDescent="0.25">
      <c r="A5012"/>
      <c r="B5012"/>
      <c r="D5012"/>
      <c r="G5012"/>
      <c r="L5012"/>
    </row>
    <row r="5013" spans="1:12" x14ac:dyDescent="0.25">
      <c r="A5013"/>
      <c r="B5013"/>
      <c r="D5013"/>
      <c r="G5013"/>
      <c r="L5013"/>
    </row>
    <row r="5014" spans="1:12" x14ac:dyDescent="0.25">
      <c r="A5014"/>
      <c r="B5014"/>
      <c r="D5014"/>
      <c r="G5014"/>
      <c r="L5014"/>
    </row>
    <row r="5015" spans="1:12" x14ac:dyDescent="0.25">
      <c r="A5015"/>
      <c r="B5015"/>
      <c r="D5015"/>
      <c r="G5015"/>
      <c r="L5015"/>
    </row>
    <row r="5016" spans="1:12" x14ac:dyDescent="0.25">
      <c r="A5016"/>
      <c r="B5016"/>
      <c r="D5016"/>
      <c r="G5016"/>
      <c r="L5016"/>
    </row>
    <row r="5017" spans="1:12" x14ac:dyDescent="0.25">
      <c r="A5017"/>
      <c r="B5017"/>
      <c r="D5017"/>
      <c r="G5017"/>
      <c r="L5017"/>
    </row>
    <row r="5018" spans="1:12" x14ac:dyDescent="0.25">
      <c r="A5018"/>
      <c r="B5018"/>
      <c r="D5018"/>
      <c r="G5018"/>
      <c r="L5018"/>
    </row>
    <row r="5019" spans="1:12" x14ac:dyDescent="0.25">
      <c r="A5019"/>
      <c r="B5019"/>
      <c r="D5019"/>
      <c r="G5019"/>
      <c r="L5019"/>
    </row>
    <row r="5020" spans="1:12" x14ac:dyDescent="0.25">
      <c r="A5020"/>
      <c r="B5020"/>
      <c r="D5020"/>
      <c r="G5020"/>
      <c r="L5020"/>
    </row>
    <row r="5021" spans="1:12" x14ac:dyDescent="0.25">
      <c r="A5021"/>
      <c r="B5021"/>
      <c r="D5021"/>
      <c r="G5021"/>
      <c r="L5021"/>
    </row>
    <row r="5022" spans="1:12" x14ac:dyDescent="0.25">
      <c r="A5022"/>
      <c r="B5022"/>
      <c r="D5022"/>
      <c r="G5022"/>
      <c r="L5022"/>
    </row>
    <row r="5023" spans="1:12" x14ac:dyDescent="0.25">
      <c r="A5023"/>
      <c r="B5023"/>
      <c r="D5023"/>
      <c r="G5023"/>
      <c r="L5023"/>
    </row>
    <row r="5024" spans="1:12" x14ac:dyDescent="0.25">
      <c r="A5024"/>
      <c r="B5024"/>
      <c r="D5024"/>
      <c r="G5024"/>
      <c r="L5024"/>
    </row>
    <row r="5025" spans="1:12" x14ac:dyDescent="0.25">
      <c r="A5025"/>
      <c r="B5025"/>
      <c r="D5025"/>
      <c r="G5025"/>
      <c r="L5025"/>
    </row>
    <row r="5026" spans="1:12" x14ac:dyDescent="0.25">
      <c r="A5026"/>
      <c r="B5026"/>
      <c r="D5026"/>
      <c r="G5026"/>
      <c r="L5026"/>
    </row>
    <row r="5027" spans="1:12" x14ac:dyDescent="0.25">
      <c r="A5027"/>
      <c r="B5027"/>
      <c r="D5027"/>
      <c r="G5027"/>
      <c r="L5027"/>
    </row>
    <row r="5028" spans="1:12" x14ac:dyDescent="0.25">
      <c r="A5028"/>
      <c r="B5028"/>
      <c r="D5028"/>
      <c r="G5028"/>
      <c r="L5028"/>
    </row>
    <row r="5029" spans="1:12" x14ac:dyDescent="0.25">
      <c r="A5029"/>
      <c r="B5029"/>
      <c r="D5029"/>
      <c r="G5029"/>
      <c r="L5029"/>
    </row>
    <row r="5030" spans="1:12" x14ac:dyDescent="0.25">
      <c r="A5030"/>
      <c r="B5030"/>
      <c r="D5030"/>
      <c r="G5030"/>
      <c r="L5030"/>
    </row>
    <row r="5031" spans="1:12" x14ac:dyDescent="0.25">
      <c r="A5031"/>
      <c r="B5031"/>
      <c r="D5031"/>
      <c r="G5031"/>
      <c r="L5031"/>
    </row>
    <row r="5032" spans="1:12" x14ac:dyDescent="0.25">
      <c r="A5032"/>
      <c r="B5032"/>
      <c r="D5032"/>
      <c r="G5032"/>
      <c r="L5032"/>
    </row>
    <row r="5033" spans="1:12" x14ac:dyDescent="0.25">
      <c r="A5033"/>
      <c r="B5033"/>
      <c r="D5033"/>
      <c r="G5033"/>
      <c r="L5033"/>
    </row>
    <row r="5034" spans="1:12" x14ac:dyDescent="0.25">
      <c r="A5034"/>
      <c r="B5034"/>
      <c r="D5034"/>
      <c r="G5034"/>
      <c r="L5034"/>
    </row>
    <row r="5035" spans="1:12" x14ac:dyDescent="0.25">
      <c r="A5035"/>
      <c r="B5035"/>
      <c r="D5035"/>
      <c r="G5035"/>
      <c r="L5035"/>
    </row>
    <row r="5036" spans="1:12" x14ac:dyDescent="0.25">
      <c r="A5036"/>
      <c r="B5036"/>
      <c r="D5036"/>
      <c r="G5036"/>
      <c r="L5036"/>
    </row>
    <row r="5037" spans="1:12" x14ac:dyDescent="0.25">
      <c r="A5037"/>
      <c r="B5037"/>
      <c r="D5037"/>
      <c r="G5037"/>
      <c r="L5037"/>
    </row>
    <row r="5038" spans="1:12" x14ac:dyDescent="0.25">
      <c r="A5038"/>
      <c r="B5038"/>
      <c r="D5038"/>
      <c r="G5038"/>
      <c r="L5038"/>
    </row>
    <row r="5039" spans="1:12" x14ac:dyDescent="0.25">
      <c r="A5039"/>
      <c r="B5039"/>
      <c r="D5039"/>
      <c r="G5039"/>
      <c r="L5039"/>
    </row>
    <row r="5040" spans="1:12" x14ac:dyDescent="0.25">
      <c r="A5040"/>
      <c r="B5040"/>
      <c r="D5040"/>
      <c r="G5040"/>
      <c r="L5040"/>
    </row>
    <row r="5041" spans="1:12" x14ac:dyDescent="0.25">
      <c r="A5041"/>
      <c r="B5041"/>
      <c r="D5041"/>
      <c r="G5041"/>
      <c r="L5041"/>
    </row>
    <row r="5042" spans="1:12" x14ac:dyDescent="0.25">
      <c r="A5042"/>
      <c r="B5042"/>
      <c r="D5042"/>
      <c r="G5042"/>
      <c r="L5042"/>
    </row>
    <row r="5043" spans="1:12" x14ac:dyDescent="0.25">
      <c r="A5043"/>
      <c r="B5043"/>
      <c r="D5043"/>
      <c r="G5043"/>
      <c r="L5043"/>
    </row>
    <row r="5044" spans="1:12" x14ac:dyDescent="0.25">
      <c r="A5044"/>
      <c r="B5044"/>
      <c r="D5044"/>
      <c r="G5044"/>
      <c r="L5044"/>
    </row>
    <row r="5045" spans="1:12" x14ac:dyDescent="0.25">
      <c r="A5045"/>
      <c r="B5045"/>
      <c r="D5045"/>
      <c r="G5045"/>
      <c r="L5045"/>
    </row>
    <row r="5046" spans="1:12" x14ac:dyDescent="0.25">
      <c r="A5046"/>
      <c r="B5046"/>
      <c r="D5046"/>
      <c r="G5046"/>
      <c r="L5046"/>
    </row>
    <row r="5047" spans="1:12" x14ac:dyDescent="0.25">
      <c r="A5047"/>
      <c r="B5047"/>
      <c r="D5047"/>
      <c r="G5047"/>
      <c r="L5047"/>
    </row>
    <row r="5048" spans="1:12" x14ac:dyDescent="0.25">
      <c r="A5048"/>
      <c r="B5048"/>
      <c r="D5048"/>
      <c r="G5048"/>
      <c r="L5048"/>
    </row>
    <row r="5049" spans="1:12" x14ac:dyDescent="0.25">
      <c r="A5049"/>
      <c r="B5049"/>
      <c r="D5049"/>
      <c r="G5049"/>
      <c r="L5049"/>
    </row>
    <row r="5050" spans="1:12" x14ac:dyDescent="0.25">
      <c r="A5050"/>
      <c r="B5050"/>
      <c r="D5050"/>
      <c r="G5050"/>
      <c r="L5050"/>
    </row>
    <row r="5051" spans="1:12" x14ac:dyDescent="0.25">
      <c r="A5051"/>
      <c r="B5051"/>
      <c r="D5051"/>
      <c r="G5051"/>
      <c r="L5051"/>
    </row>
    <row r="5052" spans="1:12" x14ac:dyDescent="0.25">
      <c r="A5052"/>
      <c r="B5052"/>
      <c r="D5052"/>
      <c r="G5052"/>
      <c r="L5052"/>
    </row>
    <row r="5053" spans="1:12" x14ac:dyDescent="0.25">
      <c r="A5053"/>
      <c r="B5053"/>
      <c r="D5053"/>
      <c r="G5053"/>
      <c r="L5053"/>
    </row>
    <row r="5054" spans="1:12" x14ac:dyDescent="0.25">
      <c r="A5054"/>
      <c r="B5054"/>
      <c r="D5054"/>
      <c r="G5054"/>
      <c r="L5054"/>
    </row>
    <row r="5055" spans="1:12" x14ac:dyDescent="0.25">
      <c r="A5055"/>
      <c r="B5055"/>
      <c r="D5055"/>
      <c r="G5055"/>
      <c r="L5055"/>
    </row>
    <row r="5056" spans="1:12" x14ac:dyDescent="0.25">
      <c r="A5056"/>
      <c r="B5056"/>
      <c r="D5056"/>
      <c r="G5056"/>
      <c r="L5056"/>
    </row>
    <row r="5057" spans="1:12" x14ac:dyDescent="0.25">
      <c r="A5057"/>
      <c r="B5057"/>
      <c r="D5057"/>
      <c r="G5057"/>
      <c r="L5057"/>
    </row>
    <row r="5058" spans="1:12" x14ac:dyDescent="0.25">
      <c r="A5058"/>
      <c r="B5058"/>
      <c r="D5058"/>
      <c r="G5058"/>
      <c r="L5058"/>
    </row>
    <row r="5059" spans="1:12" x14ac:dyDescent="0.25">
      <c r="A5059"/>
      <c r="B5059"/>
      <c r="D5059"/>
      <c r="G5059"/>
      <c r="L5059"/>
    </row>
    <row r="5060" spans="1:12" x14ac:dyDescent="0.25">
      <c r="A5060"/>
      <c r="B5060"/>
      <c r="D5060"/>
      <c r="G5060"/>
      <c r="L5060"/>
    </row>
    <row r="5061" spans="1:12" x14ac:dyDescent="0.25">
      <c r="A5061"/>
      <c r="B5061"/>
      <c r="D5061"/>
      <c r="G5061"/>
      <c r="L5061"/>
    </row>
    <row r="5062" spans="1:12" x14ac:dyDescent="0.25">
      <c r="A5062"/>
      <c r="B5062"/>
      <c r="D5062"/>
      <c r="G5062"/>
      <c r="L5062"/>
    </row>
    <row r="5063" spans="1:12" x14ac:dyDescent="0.25">
      <c r="A5063"/>
      <c r="B5063"/>
      <c r="D5063"/>
      <c r="G5063"/>
      <c r="L5063"/>
    </row>
    <row r="5064" spans="1:12" x14ac:dyDescent="0.25">
      <c r="A5064"/>
      <c r="B5064"/>
      <c r="D5064"/>
      <c r="G5064"/>
      <c r="L5064"/>
    </row>
    <row r="5065" spans="1:12" x14ac:dyDescent="0.25">
      <c r="A5065"/>
      <c r="B5065"/>
      <c r="D5065"/>
      <c r="G5065"/>
      <c r="L5065"/>
    </row>
    <row r="5066" spans="1:12" x14ac:dyDescent="0.25">
      <c r="A5066"/>
      <c r="B5066"/>
      <c r="D5066"/>
      <c r="G5066"/>
      <c r="L5066"/>
    </row>
    <row r="5067" spans="1:12" x14ac:dyDescent="0.25">
      <c r="A5067"/>
      <c r="B5067"/>
      <c r="D5067"/>
      <c r="G5067"/>
      <c r="L5067"/>
    </row>
    <row r="5068" spans="1:12" x14ac:dyDescent="0.25">
      <c r="A5068"/>
      <c r="B5068"/>
      <c r="D5068"/>
      <c r="G5068"/>
      <c r="L5068"/>
    </row>
    <row r="5069" spans="1:12" x14ac:dyDescent="0.25">
      <c r="A5069"/>
      <c r="B5069"/>
      <c r="D5069"/>
      <c r="G5069"/>
      <c r="L5069"/>
    </row>
    <row r="5070" spans="1:12" x14ac:dyDescent="0.25">
      <c r="A5070"/>
      <c r="B5070"/>
      <c r="D5070"/>
      <c r="G5070"/>
      <c r="L5070"/>
    </row>
    <row r="5071" spans="1:12" x14ac:dyDescent="0.25">
      <c r="A5071"/>
      <c r="B5071"/>
      <c r="D5071"/>
      <c r="G5071"/>
      <c r="L5071"/>
    </row>
    <row r="5072" spans="1:12" x14ac:dyDescent="0.25">
      <c r="A5072"/>
      <c r="B5072"/>
      <c r="D5072"/>
      <c r="G5072"/>
      <c r="L5072"/>
    </row>
    <row r="5073" spans="1:12" x14ac:dyDescent="0.25">
      <c r="A5073"/>
      <c r="B5073"/>
      <c r="D5073"/>
      <c r="G5073"/>
      <c r="L5073"/>
    </row>
    <row r="5074" spans="1:12" x14ac:dyDescent="0.25">
      <c r="A5074"/>
      <c r="B5074"/>
      <c r="D5074"/>
      <c r="G5074"/>
      <c r="L5074"/>
    </row>
    <row r="5075" spans="1:12" x14ac:dyDescent="0.25">
      <c r="A5075"/>
      <c r="B5075"/>
      <c r="D5075"/>
      <c r="G5075"/>
      <c r="L5075"/>
    </row>
    <row r="5076" spans="1:12" x14ac:dyDescent="0.25">
      <c r="A5076"/>
      <c r="B5076"/>
      <c r="D5076"/>
      <c r="G5076"/>
      <c r="L5076"/>
    </row>
    <row r="5077" spans="1:12" x14ac:dyDescent="0.25">
      <c r="A5077"/>
      <c r="B5077"/>
      <c r="D5077"/>
      <c r="G5077"/>
      <c r="L5077"/>
    </row>
    <row r="5078" spans="1:12" x14ac:dyDescent="0.25">
      <c r="A5078"/>
      <c r="B5078"/>
      <c r="D5078"/>
      <c r="G5078"/>
      <c r="L5078"/>
    </row>
    <row r="5079" spans="1:12" x14ac:dyDescent="0.25">
      <c r="A5079"/>
      <c r="B5079"/>
      <c r="D5079"/>
      <c r="G5079"/>
      <c r="L5079"/>
    </row>
    <row r="5080" spans="1:12" x14ac:dyDescent="0.25">
      <c r="A5080"/>
      <c r="B5080"/>
      <c r="D5080"/>
      <c r="G5080"/>
      <c r="L5080"/>
    </row>
    <row r="5081" spans="1:12" x14ac:dyDescent="0.25">
      <c r="A5081"/>
      <c r="B5081"/>
      <c r="D5081"/>
      <c r="G5081"/>
      <c r="L5081"/>
    </row>
    <row r="5082" spans="1:12" x14ac:dyDescent="0.25">
      <c r="A5082"/>
      <c r="B5082"/>
      <c r="D5082"/>
      <c r="G5082"/>
      <c r="L5082"/>
    </row>
    <row r="5083" spans="1:12" x14ac:dyDescent="0.25">
      <c r="A5083"/>
      <c r="B5083"/>
      <c r="D5083"/>
      <c r="G5083"/>
      <c r="L5083"/>
    </row>
    <row r="5084" spans="1:12" x14ac:dyDescent="0.25">
      <c r="A5084"/>
      <c r="B5084"/>
      <c r="D5084"/>
      <c r="G5084"/>
      <c r="L5084"/>
    </row>
    <row r="5085" spans="1:12" x14ac:dyDescent="0.25">
      <c r="A5085"/>
      <c r="B5085"/>
      <c r="D5085"/>
      <c r="G5085"/>
      <c r="L5085"/>
    </row>
    <row r="5086" spans="1:12" x14ac:dyDescent="0.25">
      <c r="A5086"/>
      <c r="B5086"/>
      <c r="D5086"/>
      <c r="G5086"/>
      <c r="L5086"/>
    </row>
    <row r="5087" spans="1:12" x14ac:dyDescent="0.25">
      <c r="A5087"/>
      <c r="B5087"/>
      <c r="D5087"/>
      <c r="G5087"/>
      <c r="L5087"/>
    </row>
    <row r="5088" spans="1:12" x14ac:dyDescent="0.25">
      <c r="A5088"/>
      <c r="B5088"/>
      <c r="D5088"/>
      <c r="G5088"/>
      <c r="L5088"/>
    </row>
    <row r="5089" spans="1:12" x14ac:dyDescent="0.25">
      <c r="A5089"/>
      <c r="B5089"/>
      <c r="D5089"/>
      <c r="G5089"/>
      <c r="L5089"/>
    </row>
    <row r="5090" spans="1:12" x14ac:dyDescent="0.25">
      <c r="A5090"/>
      <c r="B5090"/>
      <c r="D5090"/>
      <c r="G5090"/>
      <c r="L5090"/>
    </row>
    <row r="5091" spans="1:12" x14ac:dyDescent="0.25">
      <c r="A5091"/>
      <c r="B5091"/>
      <c r="D5091"/>
      <c r="G5091"/>
      <c r="L5091"/>
    </row>
    <row r="5092" spans="1:12" x14ac:dyDescent="0.25">
      <c r="A5092"/>
      <c r="B5092"/>
      <c r="D5092"/>
      <c r="G5092"/>
      <c r="L5092"/>
    </row>
    <row r="5093" spans="1:12" x14ac:dyDescent="0.25">
      <c r="A5093"/>
      <c r="B5093"/>
      <c r="D5093"/>
      <c r="G5093"/>
      <c r="L5093"/>
    </row>
    <row r="5094" spans="1:12" x14ac:dyDescent="0.25">
      <c r="A5094"/>
      <c r="B5094"/>
      <c r="D5094"/>
      <c r="G5094"/>
      <c r="L5094"/>
    </row>
    <row r="5095" spans="1:12" x14ac:dyDescent="0.25">
      <c r="A5095"/>
      <c r="B5095"/>
      <c r="D5095"/>
      <c r="G5095"/>
      <c r="L5095"/>
    </row>
    <row r="5096" spans="1:12" x14ac:dyDescent="0.25">
      <c r="A5096"/>
      <c r="B5096"/>
      <c r="D5096"/>
      <c r="G5096"/>
      <c r="L5096"/>
    </row>
    <row r="5097" spans="1:12" x14ac:dyDescent="0.25">
      <c r="A5097"/>
      <c r="B5097"/>
      <c r="D5097"/>
      <c r="G5097"/>
      <c r="L5097"/>
    </row>
    <row r="5098" spans="1:12" x14ac:dyDescent="0.25">
      <c r="A5098"/>
      <c r="B5098"/>
      <c r="D5098"/>
      <c r="G5098"/>
      <c r="L5098"/>
    </row>
    <row r="5099" spans="1:12" x14ac:dyDescent="0.25">
      <c r="A5099"/>
      <c r="B5099"/>
      <c r="D5099"/>
      <c r="G5099"/>
      <c r="L5099"/>
    </row>
    <row r="5100" spans="1:12" x14ac:dyDescent="0.25">
      <c r="A5100"/>
      <c r="B5100"/>
      <c r="D5100"/>
      <c r="G5100"/>
      <c r="L5100"/>
    </row>
    <row r="5101" spans="1:12" x14ac:dyDescent="0.25">
      <c r="A5101"/>
      <c r="B5101"/>
      <c r="D5101"/>
      <c r="G5101"/>
      <c r="L5101"/>
    </row>
    <row r="5102" spans="1:12" x14ac:dyDescent="0.25">
      <c r="A5102"/>
      <c r="B5102"/>
      <c r="D5102"/>
      <c r="G5102"/>
      <c r="L5102"/>
    </row>
    <row r="5103" spans="1:12" x14ac:dyDescent="0.25">
      <c r="A5103"/>
      <c r="B5103"/>
      <c r="D5103"/>
      <c r="G5103"/>
      <c r="L5103"/>
    </row>
    <row r="5104" spans="1:12" x14ac:dyDescent="0.25">
      <c r="A5104"/>
      <c r="B5104"/>
      <c r="D5104"/>
      <c r="G5104"/>
      <c r="L5104"/>
    </row>
    <row r="5105" spans="1:12" x14ac:dyDescent="0.25">
      <c r="A5105"/>
      <c r="B5105"/>
      <c r="D5105"/>
      <c r="G5105"/>
      <c r="L5105"/>
    </row>
    <row r="5106" spans="1:12" x14ac:dyDescent="0.25">
      <c r="A5106"/>
      <c r="B5106"/>
      <c r="D5106"/>
      <c r="G5106"/>
      <c r="L5106"/>
    </row>
    <row r="5107" spans="1:12" x14ac:dyDescent="0.25">
      <c r="A5107"/>
      <c r="B5107"/>
      <c r="D5107"/>
      <c r="G5107"/>
      <c r="L5107"/>
    </row>
    <row r="5108" spans="1:12" x14ac:dyDescent="0.25">
      <c r="A5108"/>
      <c r="B5108"/>
      <c r="D5108"/>
      <c r="G5108"/>
      <c r="L5108"/>
    </row>
    <row r="5109" spans="1:12" x14ac:dyDescent="0.25">
      <c r="A5109"/>
      <c r="B5109"/>
      <c r="D5109"/>
      <c r="G5109"/>
      <c r="L5109"/>
    </row>
    <row r="5110" spans="1:12" x14ac:dyDescent="0.25">
      <c r="A5110"/>
      <c r="B5110"/>
      <c r="D5110"/>
      <c r="G5110"/>
      <c r="L5110"/>
    </row>
    <row r="5111" spans="1:12" x14ac:dyDescent="0.25">
      <c r="A5111"/>
      <c r="B5111"/>
      <c r="D5111"/>
      <c r="G5111"/>
      <c r="L5111"/>
    </row>
    <row r="5112" spans="1:12" x14ac:dyDescent="0.25">
      <c r="A5112"/>
      <c r="B5112"/>
      <c r="D5112"/>
      <c r="G5112"/>
      <c r="L5112"/>
    </row>
    <row r="5113" spans="1:12" x14ac:dyDescent="0.25">
      <c r="A5113"/>
      <c r="B5113"/>
      <c r="D5113"/>
      <c r="G5113"/>
      <c r="L5113"/>
    </row>
    <row r="5114" spans="1:12" x14ac:dyDescent="0.25">
      <c r="A5114"/>
      <c r="B5114"/>
      <c r="D5114"/>
      <c r="G5114"/>
      <c r="L5114"/>
    </row>
    <row r="5115" spans="1:12" x14ac:dyDescent="0.25">
      <c r="A5115"/>
      <c r="B5115"/>
      <c r="D5115"/>
      <c r="G5115"/>
      <c r="L5115"/>
    </row>
    <row r="5116" spans="1:12" x14ac:dyDescent="0.25">
      <c r="A5116"/>
      <c r="B5116"/>
      <c r="D5116"/>
      <c r="G5116"/>
      <c r="L5116"/>
    </row>
    <row r="5117" spans="1:12" x14ac:dyDescent="0.25">
      <c r="A5117"/>
      <c r="B5117"/>
      <c r="D5117"/>
      <c r="G5117"/>
      <c r="L5117"/>
    </row>
    <row r="5118" spans="1:12" x14ac:dyDescent="0.25">
      <c r="A5118"/>
      <c r="B5118"/>
      <c r="D5118"/>
      <c r="G5118"/>
      <c r="L5118"/>
    </row>
    <row r="5119" spans="1:12" x14ac:dyDescent="0.25">
      <c r="A5119"/>
      <c r="B5119"/>
      <c r="D5119"/>
      <c r="G5119"/>
      <c r="L5119"/>
    </row>
    <row r="5120" spans="1:12" x14ac:dyDescent="0.25">
      <c r="A5120"/>
      <c r="B5120"/>
      <c r="D5120"/>
      <c r="G5120"/>
      <c r="L5120"/>
    </row>
    <row r="5121" spans="1:12" x14ac:dyDescent="0.25">
      <c r="A5121"/>
      <c r="B5121"/>
      <c r="D5121"/>
      <c r="G5121"/>
      <c r="L5121"/>
    </row>
    <row r="5122" spans="1:12" x14ac:dyDescent="0.25">
      <c r="A5122"/>
      <c r="B5122"/>
      <c r="D5122"/>
      <c r="G5122"/>
      <c r="L5122"/>
    </row>
    <row r="5123" spans="1:12" x14ac:dyDescent="0.25">
      <c r="A5123"/>
      <c r="B5123"/>
      <c r="D5123"/>
      <c r="G5123"/>
      <c r="L5123"/>
    </row>
    <row r="5124" spans="1:12" x14ac:dyDescent="0.25">
      <c r="A5124"/>
      <c r="B5124"/>
      <c r="D5124"/>
      <c r="G5124"/>
      <c r="L5124"/>
    </row>
    <row r="5125" spans="1:12" x14ac:dyDescent="0.25">
      <c r="A5125"/>
      <c r="B5125"/>
      <c r="D5125"/>
      <c r="G5125"/>
      <c r="L5125"/>
    </row>
    <row r="5126" spans="1:12" x14ac:dyDescent="0.25">
      <c r="A5126"/>
      <c r="B5126"/>
      <c r="D5126"/>
      <c r="G5126"/>
      <c r="L5126"/>
    </row>
    <row r="5127" spans="1:12" x14ac:dyDescent="0.25">
      <c r="A5127"/>
      <c r="B5127"/>
      <c r="D5127"/>
      <c r="G5127"/>
      <c r="L5127"/>
    </row>
    <row r="5128" spans="1:12" x14ac:dyDescent="0.25">
      <c r="A5128"/>
      <c r="B5128"/>
      <c r="D5128"/>
      <c r="G5128"/>
      <c r="L5128"/>
    </row>
    <row r="5129" spans="1:12" x14ac:dyDescent="0.25">
      <c r="A5129"/>
      <c r="B5129"/>
      <c r="D5129"/>
      <c r="G5129"/>
      <c r="L5129"/>
    </row>
    <row r="5130" spans="1:12" x14ac:dyDescent="0.25">
      <c r="A5130"/>
      <c r="B5130"/>
      <c r="D5130"/>
      <c r="G5130"/>
      <c r="L5130"/>
    </row>
    <row r="5131" spans="1:12" x14ac:dyDescent="0.25">
      <c r="A5131"/>
      <c r="B5131"/>
      <c r="D5131"/>
      <c r="G5131"/>
      <c r="L5131"/>
    </row>
    <row r="5132" spans="1:12" x14ac:dyDescent="0.25">
      <c r="A5132"/>
      <c r="B5132"/>
      <c r="D5132"/>
      <c r="G5132"/>
      <c r="L5132"/>
    </row>
    <row r="5133" spans="1:12" x14ac:dyDescent="0.25">
      <c r="A5133"/>
      <c r="B5133"/>
      <c r="D5133"/>
      <c r="G5133"/>
      <c r="L5133"/>
    </row>
    <row r="5134" spans="1:12" x14ac:dyDescent="0.25">
      <c r="A5134"/>
      <c r="B5134"/>
      <c r="D5134"/>
      <c r="G5134"/>
      <c r="L5134"/>
    </row>
    <row r="5135" spans="1:12" x14ac:dyDescent="0.25">
      <c r="A5135"/>
      <c r="B5135"/>
      <c r="D5135"/>
      <c r="G5135"/>
      <c r="L5135"/>
    </row>
    <row r="5136" spans="1:12" x14ac:dyDescent="0.25">
      <c r="A5136"/>
      <c r="B5136"/>
      <c r="D5136"/>
      <c r="G5136"/>
      <c r="L5136"/>
    </row>
    <row r="5137" spans="1:12" x14ac:dyDescent="0.25">
      <c r="A5137"/>
      <c r="B5137"/>
      <c r="D5137"/>
      <c r="G5137"/>
      <c r="L5137"/>
    </row>
    <row r="5138" spans="1:12" x14ac:dyDescent="0.25">
      <c r="A5138"/>
      <c r="B5138"/>
      <c r="D5138"/>
      <c r="G5138"/>
      <c r="L5138"/>
    </row>
    <row r="5139" spans="1:12" x14ac:dyDescent="0.25">
      <c r="A5139"/>
      <c r="B5139"/>
      <c r="D5139"/>
      <c r="G5139"/>
      <c r="L5139"/>
    </row>
    <row r="5140" spans="1:12" x14ac:dyDescent="0.25">
      <c r="A5140"/>
      <c r="B5140"/>
      <c r="D5140"/>
      <c r="G5140"/>
      <c r="L5140"/>
    </row>
    <row r="5141" spans="1:12" x14ac:dyDescent="0.25">
      <c r="A5141"/>
      <c r="B5141"/>
      <c r="D5141"/>
      <c r="G5141"/>
      <c r="L5141"/>
    </row>
    <row r="5142" spans="1:12" x14ac:dyDescent="0.25">
      <c r="A5142"/>
      <c r="B5142"/>
      <c r="D5142"/>
      <c r="G5142"/>
      <c r="L5142"/>
    </row>
    <row r="5143" spans="1:12" x14ac:dyDescent="0.25">
      <c r="A5143"/>
      <c r="B5143"/>
      <c r="D5143"/>
      <c r="G5143"/>
      <c r="L5143"/>
    </row>
    <row r="5144" spans="1:12" x14ac:dyDescent="0.25">
      <c r="A5144"/>
      <c r="B5144"/>
      <c r="D5144"/>
      <c r="G5144"/>
      <c r="L5144"/>
    </row>
    <row r="5145" spans="1:12" x14ac:dyDescent="0.25">
      <c r="A5145"/>
      <c r="B5145"/>
      <c r="D5145"/>
      <c r="G5145"/>
      <c r="L5145"/>
    </row>
    <row r="5146" spans="1:12" x14ac:dyDescent="0.25">
      <c r="A5146"/>
      <c r="B5146"/>
      <c r="D5146"/>
      <c r="G5146"/>
      <c r="L5146"/>
    </row>
    <row r="5147" spans="1:12" x14ac:dyDescent="0.25">
      <c r="A5147"/>
      <c r="B5147"/>
      <c r="D5147"/>
      <c r="G5147"/>
      <c r="L5147"/>
    </row>
    <row r="5148" spans="1:12" x14ac:dyDescent="0.25">
      <c r="A5148"/>
      <c r="B5148"/>
      <c r="D5148"/>
      <c r="G5148"/>
      <c r="L5148"/>
    </row>
    <row r="5149" spans="1:12" x14ac:dyDescent="0.25">
      <c r="A5149"/>
      <c r="B5149"/>
      <c r="D5149"/>
      <c r="G5149"/>
      <c r="L5149"/>
    </row>
    <row r="5150" spans="1:12" x14ac:dyDescent="0.25">
      <c r="A5150"/>
      <c r="B5150"/>
      <c r="D5150"/>
      <c r="G5150"/>
      <c r="L5150"/>
    </row>
    <row r="5151" spans="1:12" x14ac:dyDescent="0.25">
      <c r="A5151"/>
      <c r="B5151"/>
      <c r="D5151"/>
      <c r="G5151"/>
      <c r="L5151"/>
    </row>
    <row r="5152" spans="1:12" x14ac:dyDescent="0.25">
      <c r="A5152"/>
      <c r="B5152"/>
      <c r="D5152"/>
      <c r="G5152"/>
      <c r="L5152"/>
    </row>
    <row r="5153" spans="1:12" x14ac:dyDescent="0.25">
      <c r="A5153"/>
      <c r="B5153"/>
      <c r="D5153"/>
      <c r="G5153"/>
      <c r="L5153"/>
    </row>
    <row r="5154" spans="1:12" x14ac:dyDescent="0.25">
      <c r="A5154"/>
      <c r="B5154"/>
      <c r="D5154"/>
      <c r="G5154"/>
      <c r="L5154"/>
    </row>
    <row r="5155" spans="1:12" x14ac:dyDescent="0.25">
      <c r="A5155"/>
      <c r="B5155"/>
      <c r="D5155"/>
      <c r="G5155"/>
      <c r="L5155"/>
    </row>
    <row r="5156" spans="1:12" x14ac:dyDescent="0.25">
      <c r="A5156"/>
      <c r="B5156"/>
      <c r="D5156"/>
      <c r="G5156"/>
      <c r="L5156"/>
    </row>
    <row r="5157" spans="1:12" x14ac:dyDescent="0.25">
      <c r="A5157"/>
      <c r="B5157"/>
      <c r="D5157"/>
      <c r="G5157"/>
      <c r="L5157"/>
    </row>
    <row r="5158" spans="1:12" x14ac:dyDescent="0.25">
      <c r="A5158"/>
      <c r="B5158"/>
      <c r="D5158"/>
      <c r="G5158"/>
      <c r="L5158"/>
    </row>
    <row r="5159" spans="1:12" x14ac:dyDescent="0.25">
      <c r="A5159"/>
      <c r="B5159"/>
      <c r="D5159"/>
      <c r="G5159"/>
      <c r="L5159"/>
    </row>
    <row r="5160" spans="1:12" x14ac:dyDescent="0.25">
      <c r="A5160"/>
      <c r="B5160"/>
      <c r="D5160"/>
      <c r="G5160"/>
      <c r="L5160"/>
    </row>
    <row r="5161" spans="1:12" x14ac:dyDescent="0.25">
      <c r="A5161"/>
      <c r="B5161"/>
      <c r="D5161"/>
      <c r="G5161"/>
      <c r="L5161"/>
    </row>
    <row r="5162" spans="1:12" x14ac:dyDescent="0.25">
      <c r="A5162"/>
      <c r="B5162"/>
      <c r="D5162"/>
      <c r="G5162"/>
      <c r="L5162"/>
    </row>
    <row r="5163" spans="1:12" x14ac:dyDescent="0.25">
      <c r="A5163"/>
      <c r="B5163"/>
      <c r="D5163"/>
      <c r="G5163"/>
      <c r="L5163"/>
    </row>
    <row r="5164" spans="1:12" x14ac:dyDescent="0.25">
      <c r="A5164"/>
      <c r="B5164"/>
      <c r="D5164"/>
      <c r="G5164"/>
      <c r="L5164"/>
    </row>
    <row r="5165" spans="1:12" x14ac:dyDescent="0.25">
      <c r="A5165"/>
      <c r="B5165"/>
      <c r="D5165"/>
      <c r="G5165"/>
      <c r="L5165"/>
    </row>
    <row r="5166" spans="1:12" x14ac:dyDescent="0.25">
      <c r="A5166"/>
      <c r="B5166"/>
      <c r="D5166"/>
      <c r="G5166"/>
      <c r="L5166"/>
    </row>
    <row r="5167" spans="1:12" x14ac:dyDescent="0.25">
      <c r="A5167"/>
      <c r="B5167"/>
      <c r="D5167"/>
      <c r="G5167"/>
      <c r="L5167"/>
    </row>
    <row r="5168" spans="1:12" x14ac:dyDescent="0.25">
      <c r="A5168"/>
      <c r="B5168"/>
      <c r="D5168"/>
      <c r="G5168"/>
      <c r="L5168"/>
    </row>
    <row r="5169" spans="1:12" x14ac:dyDescent="0.25">
      <c r="A5169"/>
      <c r="B5169"/>
      <c r="D5169"/>
      <c r="G5169"/>
      <c r="L5169"/>
    </row>
    <row r="5170" spans="1:12" x14ac:dyDescent="0.25">
      <c r="A5170"/>
      <c r="B5170"/>
      <c r="D5170"/>
      <c r="G5170"/>
      <c r="L5170"/>
    </row>
    <row r="5171" spans="1:12" x14ac:dyDescent="0.25">
      <c r="A5171"/>
      <c r="B5171"/>
      <c r="D5171"/>
      <c r="G5171"/>
      <c r="L5171"/>
    </row>
    <row r="5172" spans="1:12" x14ac:dyDescent="0.25">
      <c r="A5172"/>
      <c r="B5172"/>
      <c r="D5172"/>
      <c r="G5172"/>
      <c r="L5172"/>
    </row>
    <row r="5173" spans="1:12" x14ac:dyDescent="0.25">
      <c r="A5173"/>
      <c r="B5173"/>
      <c r="D5173"/>
      <c r="G5173"/>
      <c r="L5173"/>
    </row>
    <row r="5174" spans="1:12" x14ac:dyDescent="0.25">
      <c r="A5174"/>
      <c r="B5174"/>
      <c r="D5174"/>
      <c r="G5174"/>
      <c r="L5174"/>
    </row>
    <row r="5175" spans="1:12" x14ac:dyDescent="0.25">
      <c r="A5175"/>
      <c r="B5175"/>
      <c r="D5175"/>
      <c r="G5175"/>
      <c r="L5175"/>
    </row>
    <row r="5176" spans="1:12" x14ac:dyDescent="0.25">
      <c r="A5176"/>
      <c r="B5176"/>
      <c r="D5176"/>
      <c r="G5176"/>
      <c r="L5176"/>
    </row>
    <row r="5177" spans="1:12" x14ac:dyDescent="0.25">
      <c r="A5177"/>
      <c r="B5177"/>
      <c r="D5177"/>
      <c r="G5177"/>
      <c r="L5177"/>
    </row>
    <row r="5178" spans="1:12" x14ac:dyDescent="0.25">
      <c r="A5178"/>
      <c r="B5178"/>
      <c r="D5178"/>
      <c r="G5178"/>
      <c r="L5178"/>
    </row>
    <row r="5179" spans="1:12" x14ac:dyDescent="0.25">
      <c r="A5179"/>
      <c r="B5179"/>
      <c r="D5179"/>
      <c r="G5179"/>
      <c r="L5179"/>
    </row>
    <row r="5180" spans="1:12" x14ac:dyDescent="0.25">
      <c r="A5180"/>
      <c r="B5180"/>
      <c r="D5180"/>
      <c r="G5180"/>
      <c r="L5180"/>
    </row>
    <row r="5181" spans="1:12" x14ac:dyDescent="0.25">
      <c r="A5181"/>
      <c r="B5181"/>
      <c r="D5181"/>
      <c r="G5181"/>
      <c r="L5181"/>
    </row>
    <row r="5182" spans="1:12" x14ac:dyDescent="0.25">
      <c r="A5182"/>
      <c r="B5182"/>
      <c r="D5182"/>
      <c r="G5182"/>
      <c r="L5182"/>
    </row>
    <row r="5183" spans="1:12" x14ac:dyDescent="0.25">
      <c r="A5183"/>
      <c r="B5183"/>
      <c r="D5183"/>
      <c r="G5183"/>
      <c r="L5183"/>
    </row>
    <row r="5184" spans="1:12" x14ac:dyDescent="0.25">
      <c r="A5184"/>
      <c r="B5184"/>
      <c r="D5184"/>
      <c r="G5184"/>
      <c r="L5184"/>
    </row>
    <row r="5185" spans="1:12" x14ac:dyDescent="0.25">
      <c r="A5185"/>
      <c r="B5185"/>
      <c r="D5185"/>
      <c r="G5185"/>
      <c r="L5185"/>
    </row>
    <row r="5186" spans="1:12" x14ac:dyDescent="0.25">
      <c r="A5186"/>
      <c r="B5186"/>
      <c r="D5186"/>
      <c r="G5186"/>
      <c r="L5186"/>
    </row>
    <row r="5187" spans="1:12" x14ac:dyDescent="0.25">
      <c r="A5187"/>
      <c r="B5187"/>
      <c r="D5187"/>
      <c r="G5187"/>
      <c r="L5187"/>
    </row>
    <row r="5188" spans="1:12" x14ac:dyDescent="0.25">
      <c r="A5188"/>
      <c r="B5188"/>
      <c r="D5188"/>
      <c r="G5188"/>
      <c r="L5188"/>
    </row>
    <row r="5189" spans="1:12" x14ac:dyDescent="0.25">
      <c r="A5189"/>
      <c r="B5189"/>
      <c r="D5189"/>
      <c r="G5189"/>
      <c r="L5189"/>
    </row>
    <row r="5190" spans="1:12" x14ac:dyDescent="0.25">
      <c r="A5190"/>
      <c r="B5190"/>
      <c r="D5190"/>
      <c r="G5190"/>
      <c r="L5190"/>
    </row>
    <row r="5191" spans="1:12" x14ac:dyDescent="0.25">
      <c r="A5191"/>
      <c r="B5191"/>
      <c r="D5191"/>
      <c r="G5191"/>
      <c r="L5191"/>
    </row>
    <row r="5192" spans="1:12" x14ac:dyDescent="0.25">
      <c r="A5192"/>
      <c r="B5192"/>
      <c r="D5192"/>
      <c r="G5192"/>
      <c r="L5192"/>
    </row>
    <row r="5193" spans="1:12" x14ac:dyDescent="0.25">
      <c r="A5193"/>
      <c r="B5193"/>
      <c r="D5193"/>
      <c r="G5193"/>
      <c r="L5193"/>
    </row>
    <row r="5194" spans="1:12" x14ac:dyDescent="0.25">
      <c r="A5194"/>
      <c r="B5194"/>
      <c r="D5194"/>
      <c r="G5194"/>
      <c r="L5194"/>
    </row>
    <row r="5195" spans="1:12" x14ac:dyDescent="0.25">
      <c r="A5195"/>
      <c r="B5195"/>
      <c r="D5195"/>
      <c r="G5195"/>
      <c r="L5195"/>
    </row>
    <row r="5196" spans="1:12" x14ac:dyDescent="0.25">
      <c r="A5196"/>
      <c r="B5196"/>
      <c r="D5196"/>
      <c r="G5196"/>
      <c r="L5196"/>
    </row>
    <row r="5197" spans="1:12" x14ac:dyDescent="0.25">
      <c r="A5197"/>
      <c r="B5197"/>
      <c r="D5197"/>
      <c r="G5197"/>
      <c r="L5197"/>
    </row>
    <row r="5198" spans="1:12" x14ac:dyDescent="0.25">
      <c r="A5198"/>
      <c r="B5198"/>
      <c r="D5198"/>
      <c r="G5198"/>
      <c r="L5198"/>
    </row>
    <row r="5199" spans="1:12" x14ac:dyDescent="0.25">
      <c r="A5199"/>
      <c r="B5199"/>
      <c r="D5199"/>
      <c r="G5199"/>
      <c r="L5199"/>
    </row>
    <row r="5200" spans="1:12" x14ac:dyDescent="0.25">
      <c r="A5200"/>
      <c r="B5200"/>
      <c r="D5200"/>
      <c r="G5200"/>
      <c r="L5200"/>
    </row>
    <row r="5201" spans="1:12" x14ac:dyDescent="0.25">
      <c r="A5201"/>
      <c r="B5201"/>
      <c r="D5201"/>
      <c r="G5201"/>
      <c r="L5201"/>
    </row>
    <row r="5202" spans="1:12" x14ac:dyDescent="0.25">
      <c r="A5202"/>
      <c r="B5202"/>
      <c r="D5202"/>
      <c r="G5202"/>
      <c r="L5202"/>
    </row>
    <row r="5203" spans="1:12" x14ac:dyDescent="0.25">
      <c r="A5203"/>
      <c r="B5203"/>
      <c r="D5203"/>
      <c r="G5203"/>
      <c r="L5203"/>
    </row>
    <row r="5204" spans="1:12" x14ac:dyDescent="0.25">
      <c r="A5204"/>
      <c r="B5204"/>
      <c r="D5204"/>
      <c r="G5204"/>
      <c r="L5204"/>
    </row>
    <row r="5205" spans="1:12" x14ac:dyDescent="0.25">
      <c r="A5205"/>
      <c r="B5205"/>
      <c r="D5205"/>
      <c r="G5205"/>
      <c r="L5205"/>
    </row>
    <row r="5206" spans="1:12" x14ac:dyDescent="0.25">
      <c r="A5206"/>
      <c r="B5206"/>
      <c r="D5206"/>
      <c r="G5206"/>
      <c r="L5206"/>
    </row>
    <row r="5207" spans="1:12" x14ac:dyDescent="0.25">
      <c r="A5207"/>
      <c r="B5207"/>
      <c r="D5207"/>
      <c r="G5207"/>
      <c r="L5207"/>
    </row>
    <row r="5208" spans="1:12" x14ac:dyDescent="0.25">
      <c r="A5208"/>
      <c r="B5208"/>
      <c r="D5208"/>
      <c r="G5208"/>
      <c r="L5208"/>
    </row>
    <row r="5209" spans="1:12" x14ac:dyDescent="0.25">
      <c r="A5209"/>
      <c r="B5209"/>
      <c r="D5209"/>
      <c r="G5209"/>
      <c r="L5209"/>
    </row>
    <row r="5210" spans="1:12" x14ac:dyDescent="0.25">
      <c r="A5210"/>
      <c r="B5210"/>
      <c r="D5210"/>
      <c r="G5210"/>
      <c r="L5210"/>
    </row>
    <row r="5211" spans="1:12" x14ac:dyDescent="0.25">
      <c r="A5211"/>
      <c r="B5211"/>
      <c r="D5211"/>
      <c r="G5211"/>
      <c r="L5211"/>
    </row>
    <row r="5212" spans="1:12" x14ac:dyDescent="0.25">
      <c r="A5212"/>
      <c r="B5212"/>
      <c r="D5212"/>
      <c r="G5212"/>
      <c r="L5212"/>
    </row>
    <row r="5213" spans="1:12" x14ac:dyDescent="0.25">
      <c r="A5213"/>
      <c r="B5213"/>
      <c r="D5213"/>
      <c r="G5213"/>
      <c r="L5213"/>
    </row>
    <row r="5214" spans="1:12" x14ac:dyDescent="0.25">
      <c r="A5214"/>
      <c r="B5214"/>
      <c r="D5214"/>
      <c r="G5214"/>
      <c r="L5214"/>
    </row>
    <row r="5215" spans="1:12" x14ac:dyDescent="0.25">
      <c r="A5215"/>
      <c r="B5215"/>
      <c r="D5215"/>
      <c r="G5215"/>
      <c r="L5215"/>
    </row>
    <row r="5216" spans="1:12" x14ac:dyDescent="0.25">
      <c r="A5216"/>
      <c r="B5216"/>
      <c r="D5216"/>
      <c r="G5216"/>
      <c r="L5216"/>
    </row>
    <row r="5217" spans="1:12" x14ac:dyDescent="0.25">
      <c r="A5217"/>
      <c r="B5217"/>
      <c r="D5217"/>
      <c r="G5217"/>
      <c r="L5217"/>
    </row>
    <row r="5218" spans="1:12" x14ac:dyDescent="0.25">
      <c r="A5218"/>
      <c r="B5218"/>
      <c r="D5218"/>
      <c r="G5218"/>
      <c r="L5218"/>
    </row>
    <row r="5219" spans="1:12" x14ac:dyDescent="0.25">
      <c r="A5219"/>
      <c r="B5219"/>
      <c r="D5219"/>
      <c r="G5219"/>
      <c r="L5219"/>
    </row>
    <row r="5220" spans="1:12" x14ac:dyDescent="0.25">
      <c r="A5220"/>
      <c r="B5220"/>
      <c r="D5220"/>
      <c r="G5220"/>
      <c r="L5220"/>
    </row>
    <row r="5221" spans="1:12" x14ac:dyDescent="0.25">
      <c r="A5221"/>
      <c r="B5221"/>
      <c r="D5221"/>
      <c r="G5221"/>
      <c r="L5221"/>
    </row>
    <row r="5222" spans="1:12" x14ac:dyDescent="0.25">
      <c r="A5222"/>
      <c r="B5222"/>
      <c r="D5222"/>
      <c r="G5222"/>
      <c r="L5222"/>
    </row>
    <row r="5223" spans="1:12" x14ac:dyDescent="0.25">
      <c r="A5223"/>
      <c r="B5223"/>
      <c r="D5223"/>
      <c r="G5223"/>
      <c r="L5223"/>
    </row>
    <row r="5224" spans="1:12" x14ac:dyDescent="0.25">
      <c r="A5224"/>
      <c r="B5224"/>
      <c r="D5224"/>
      <c r="G5224"/>
      <c r="L5224"/>
    </row>
    <row r="5225" spans="1:12" x14ac:dyDescent="0.25">
      <c r="A5225"/>
      <c r="B5225"/>
      <c r="D5225"/>
      <c r="G5225"/>
      <c r="L5225"/>
    </row>
    <row r="5226" spans="1:12" x14ac:dyDescent="0.25">
      <c r="A5226"/>
      <c r="B5226"/>
      <c r="D5226"/>
      <c r="G5226"/>
      <c r="L5226"/>
    </row>
    <row r="5227" spans="1:12" x14ac:dyDescent="0.25">
      <c r="A5227"/>
      <c r="B5227"/>
      <c r="D5227"/>
      <c r="G5227"/>
      <c r="L5227"/>
    </row>
    <row r="5228" spans="1:12" x14ac:dyDescent="0.25">
      <c r="A5228"/>
      <c r="B5228"/>
      <c r="D5228"/>
      <c r="G5228"/>
      <c r="L5228"/>
    </row>
    <row r="5229" spans="1:12" x14ac:dyDescent="0.25">
      <c r="A5229"/>
      <c r="B5229"/>
      <c r="D5229"/>
      <c r="G5229"/>
      <c r="L5229"/>
    </row>
    <row r="5230" spans="1:12" x14ac:dyDescent="0.25">
      <c r="A5230"/>
      <c r="B5230"/>
      <c r="D5230"/>
      <c r="G5230"/>
      <c r="L5230"/>
    </row>
    <row r="5231" spans="1:12" x14ac:dyDescent="0.25">
      <c r="A5231"/>
      <c r="B5231"/>
      <c r="D5231"/>
      <c r="G5231"/>
      <c r="L5231"/>
    </row>
    <row r="5232" spans="1:12" x14ac:dyDescent="0.25">
      <c r="A5232"/>
      <c r="B5232"/>
      <c r="D5232"/>
      <c r="G5232"/>
      <c r="L5232"/>
    </row>
    <row r="5233" spans="1:12" x14ac:dyDescent="0.25">
      <c r="A5233"/>
      <c r="B5233"/>
      <c r="D5233"/>
      <c r="G5233"/>
      <c r="L5233"/>
    </row>
    <row r="5234" spans="1:12" x14ac:dyDescent="0.25">
      <c r="A5234"/>
      <c r="B5234"/>
      <c r="D5234"/>
      <c r="G5234"/>
      <c r="L5234"/>
    </row>
    <row r="5235" spans="1:12" x14ac:dyDescent="0.25">
      <c r="A5235"/>
      <c r="B5235"/>
      <c r="D5235"/>
      <c r="G5235"/>
      <c r="L5235"/>
    </row>
    <row r="5236" spans="1:12" x14ac:dyDescent="0.25">
      <c r="A5236"/>
      <c r="B5236"/>
      <c r="D5236"/>
      <c r="G5236"/>
      <c r="L5236"/>
    </row>
    <row r="5237" spans="1:12" x14ac:dyDescent="0.25">
      <c r="A5237"/>
      <c r="B5237"/>
      <c r="D5237"/>
      <c r="G5237"/>
      <c r="L5237"/>
    </row>
    <row r="5238" spans="1:12" x14ac:dyDescent="0.25">
      <c r="A5238"/>
      <c r="B5238"/>
      <c r="D5238"/>
      <c r="G5238"/>
      <c r="L5238"/>
    </row>
    <row r="5239" spans="1:12" x14ac:dyDescent="0.25">
      <c r="A5239"/>
      <c r="B5239"/>
      <c r="D5239"/>
      <c r="G5239"/>
      <c r="L5239"/>
    </row>
    <row r="5240" spans="1:12" x14ac:dyDescent="0.25">
      <c r="A5240"/>
      <c r="B5240"/>
      <c r="D5240"/>
      <c r="G5240"/>
      <c r="L5240"/>
    </row>
    <row r="5241" spans="1:12" x14ac:dyDescent="0.25">
      <c r="A5241"/>
      <c r="B5241"/>
      <c r="D5241"/>
      <c r="G5241"/>
      <c r="L5241"/>
    </row>
    <row r="5242" spans="1:12" x14ac:dyDescent="0.25">
      <c r="A5242"/>
      <c r="B5242"/>
      <c r="D5242"/>
      <c r="G5242"/>
      <c r="L5242"/>
    </row>
    <row r="5243" spans="1:12" x14ac:dyDescent="0.25">
      <c r="A5243"/>
      <c r="B5243"/>
      <c r="D5243"/>
      <c r="G5243"/>
      <c r="L5243"/>
    </row>
    <row r="5244" spans="1:12" x14ac:dyDescent="0.25">
      <c r="A5244"/>
      <c r="B5244"/>
      <c r="D5244"/>
      <c r="G5244"/>
      <c r="L5244"/>
    </row>
    <row r="5245" spans="1:12" x14ac:dyDescent="0.25">
      <c r="A5245"/>
      <c r="B5245"/>
      <c r="D5245"/>
      <c r="G5245"/>
      <c r="L5245"/>
    </row>
    <row r="5246" spans="1:12" x14ac:dyDescent="0.25">
      <c r="A5246"/>
      <c r="B5246"/>
      <c r="D5246"/>
      <c r="G5246"/>
      <c r="L5246"/>
    </row>
    <row r="5247" spans="1:12" x14ac:dyDescent="0.25">
      <c r="A5247"/>
      <c r="B5247"/>
      <c r="D5247"/>
      <c r="G5247"/>
      <c r="L5247"/>
    </row>
    <row r="5248" spans="1:12" x14ac:dyDescent="0.25">
      <c r="A5248"/>
      <c r="B5248"/>
      <c r="D5248"/>
      <c r="G5248"/>
      <c r="L5248"/>
    </row>
    <row r="5249" spans="1:12" x14ac:dyDescent="0.25">
      <c r="A5249"/>
      <c r="B5249"/>
      <c r="D5249"/>
      <c r="G5249"/>
      <c r="L5249"/>
    </row>
    <row r="5250" spans="1:12" x14ac:dyDescent="0.25">
      <c r="A5250"/>
      <c r="B5250"/>
      <c r="D5250"/>
      <c r="G5250"/>
      <c r="L5250"/>
    </row>
    <row r="5251" spans="1:12" x14ac:dyDescent="0.25">
      <c r="A5251"/>
      <c r="B5251"/>
      <c r="D5251"/>
      <c r="G5251"/>
      <c r="L5251"/>
    </row>
    <row r="5252" spans="1:12" x14ac:dyDescent="0.25">
      <c r="A5252"/>
      <c r="B5252"/>
      <c r="D5252"/>
      <c r="G5252"/>
      <c r="L5252"/>
    </row>
    <row r="5253" spans="1:12" x14ac:dyDescent="0.25">
      <c r="A5253"/>
      <c r="B5253"/>
      <c r="D5253"/>
      <c r="G5253"/>
      <c r="L5253"/>
    </row>
    <row r="5254" spans="1:12" x14ac:dyDescent="0.25">
      <c r="A5254"/>
      <c r="B5254"/>
      <c r="D5254"/>
      <c r="G5254"/>
      <c r="L5254"/>
    </row>
    <row r="5255" spans="1:12" x14ac:dyDescent="0.25">
      <c r="A5255"/>
      <c r="B5255"/>
      <c r="D5255"/>
      <c r="G5255"/>
      <c r="L5255"/>
    </row>
    <row r="5256" spans="1:12" x14ac:dyDescent="0.25">
      <c r="A5256"/>
      <c r="B5256"/>
      <c r="D5256"/>
      <c r="G5256"/>
      <c r="L5256"/>
    </row>
    <row r="5257" spans="1:12" x14ac:dyDescent="0.25">
      <c r="A5257"/>
      <c r="B5257"/>
      <c r="D5257"/>
      <c r="G5257"/>
      <c r="L5257"/>
    </row>
    <row r="5258" spans="1:12" x14ac:dyDescent="0.25">
      <c r="A5258"/>
      <c r="B5258"/>
      <c r="D5258"/>
      <c r="G5258"/>
      <c r="L5258"/>
    </row>
    <row r="5259" spans="1:12" x14ac:dyDescent="0.25">
      <c r="A5259"/>
      <c r="B5259"/>
      <c r="D5259"/>
      <c r="G5259"/>
      <c r="L5259"/>
    </row>
    <row r="5260" spans="1:12" x14ac:dyDescent="0.25">
      <c r="A5260"/>
      <c r="B5260"/>
      <c r="D5260"/>
      <c r="G5260"/>
      <c r="L5260"/>
    </row>
    <row r="5261" spans="1:12" x14ac:dyDescent="0.25">
      <c r="A5261"/>
      <c r="B5261"/>
      <c r="D5261"/>
      <c r="G5261"/>
      <c r="L5261"/>
    </row>
    <row r="5262" spans="1:12" x14ac:dyDescent="0.25">
      <c r="A5262"/>
      <c r="B5262"/>
      <c r="D5262"/>
      <c r="G5262"/>
      <c r="L5262"/>
    </row>
    <row r="5263" spans="1:12" x14ac:dyDescent="0.25">
      <c r="A5263"/>
      <c r="B5263"/>
      <c r="D5263"/>
      <c r="G5263"/>
      <c r="L5263"/>
    </row>
    <row r="5264" spans="1:12" x14ac:dyDescent="0.25">
      <c r="A5264"/>
      <c r="B5264"/>
      <c r="D5264"/>
      <c r="G5264"/>
      <c r="L5264"/>
    </row>
    <row r="5265" spans="1:12" x14ac:dyDescent="0.25">
      <c r="A5265"/>
      <c r="B5265"/>
      <c r="D5265"/>
      <c r="G5265"/>
      <c r="L5265"/>
    </row>
    <row r="5266" spans="1:12" x14ac:dyDescent="0.25">
      <c r="A5266"/>
      <c r="B5266"/>
      <c r="D5266"/>
      <c r="G5266"/>
      <c r="L5266"/>
    </row>
    <row r="5267" spans="1:12" x14ac:dyDescent="0.25">
      <c r="A5267"/>
      <c r="B5267"/>
      <c r="D5267"/>
      <c r="G5267"/>
      <c r="L5267"/>
    </row>
    <row r="5268" spans="1:12" x14ac:dyDescent="0.25">
      <c r="A5268"/>
      <c r="B5268"/>
      <c r="D5268"/>
      <c r="G5268"/>
      <c r="L5268"/>
    </row>
    <row r="5269" spans="1:12" x14ac:dyDescent="0.25">
      <c r="A5269"/>
      <c r="B5269"/>
      <c r="D5269"/>
      <c r="G5269"/>
      <c r="L5269"/>
    </row>
    <row r="5270" spans="1:12" x14ac:dyDescent="0.25">
      <c r="A5270"/>
      <c r="B5270"/>
      <c r="D5270"/>
      <c r="G5270"/>
      <c r="L5270"/>
    </row>
    <row r="5271" spans="1:12" x14ac:dyDescent="0.25">
      <c r="A5271"/>
      <c r="B5271"/>
      <c r="D5271"/>
      <c r="G5271"/>
      <c r="L5271"/>
    </row>
    <row r="5272" spans="1:12" x14ac:dyDescent="0.25">
      <c r="A5272"/>
      <c r="B5272"/>
      <c r="D5272"/>
      <c r="G5272"/>
      <c r="L5272"/>
    </row>
    <row r="5273" spans="1:12" x14ac:dyDescent="0.25">
      <c r="A5273"/>
      <c r="B5273"/>
      <c r="D5273"/>
      <c r="G5273"/>
      <c r="L5273"/>
    </row>
    <row r="5274" spans="1:12" x14ac:dyDescent="0.25">
      <c r="A5274"/>
      <c r="B5274"/>
      <c r="D5274"/>
      <c r="G5274"/>
      <c r="L5274"/>
    </row>
    <row r="5275" spans="1:12" x14ac:dyDescent="0.25">
      <c r="A5275"/>
      <c r="B5275"/>
      <c r="D5275"/>
      <c r="G5275"/>
      <c r="L5275"/>
    </row>
    <row r="5276" spans="1:12" x14ac:dyDescent="0.25">
      <c r="A5276"/>
      <c r="B5276"/>
      <c r="D5276"/>
      <c r="G5276"/>
      <c r="L5276"/>
    </row>
    <row r="5277" spans="1:12" x14ac:dyDescent="0.25">
      <c r="A5277"/>
      <c r="B5277"/>
      <c r="D5277"/>
      <c r="G5277"/>
      <c r="L5277"/>
    </row>
    <row r="5278" spans="1:12" x14ac:dyDescent="0.25">
      <c r="A5278"/>
      <c r="B5278"/>
      <c r="D5278"/>
      <c r="G5278"/>
      <c r="L5278"/>
    </row>
    <row r="5279" spans="1:12" x14ac:dyDescent="0.25">
      <c r="A5279"/>
      <c r="B5279"/>
      <c r="D5279"/>
      <c r="G5279"/>
      <c r="L5279"/>
    </row>
    <row r="5280" spans="1:12" x14ac:dyDescent="0.25">
      <c r="A5280"/>
      <c r="B5280"/>
      <c r="D5280"/>
      <c r="G5280"/>
      <c r="L5280"/>
    </row>
    <row r="5281" spans="1:12" x14ac:dyDescent="0.25">
      <c r="A5281"/>
      <c r="B5281"/>
      <c r="D5281"/>
      <c r="G5281"/>
      <c r="L5281"/>
    </row>
    <row r="5282" spans="1:12" x14ac:dyDescent="0.25">
      <c r="A5282"/>
      <c r="B5282"/>
      <c r="D5282"/>
      <c r="G5282"/>
      <c r="L5282"/>
    </row>
    <row r="5283" spans="1:12" x14ac:dyDescent="0.25">
      <c r="A5283"/>
      <c r="B5283"/>
      <c r="D5283"/>
      <c r="G5283"/>
      <c r="L5283"/>
    </row>
    <row r="5284" spans="1:12" x14ac:dyDescent="0.25">
      <c r="A5284"/>
      <c r="B5284"/>
      <c r="D5284"/>
      <c r="G5284"/>
      <c r="L5284"/>
    </row>
    <row r="5285" spans="1:12" x14ac:dyDescent="0.25">
      <c r="A5285"/>
      <c r="B5285"/>
      <c r="D5285"/>
      <c r="G5285"/>
      <c r="L5285"/>
    </row>
    <row r="5286" spans="1:12" x14ac:dyDescent="0.25">
      <c r="A5286"/>
      <c r="B5286"/>
      <c r="D5286"/>
      <c r="G5286"/>
      <c r="L5286"/>
    </row>
    <row r="5287" spans="1:12" x14ac:dyDescent="0.25">
      <c r="A5287"/>
      <c r="B5287"/>
      <c r="D5287"/>
      <c r="G5287"/>
      <c r="L5287"/>
    </row>
    <row r="5288" spans="1:12" x14ac:dyDescent="0.25">
      <c r="A5288"/>
      <c r="B5288"/>
      <c r="D5288"/>
      <c r="G5288"/>
      <c r="L5288"/>
    </row>
    <row r="5289" spans="1:12" x14ac:dyDescent="0.25">
      <c r="A5289"/>
      <c r="B5289"/>
      <c r="D5289"/>
      <c r="G5289"/>
      <c r="L5289"/>
    </row>
    <row r="5290" spans="1:12" x14ac:dyDescent="0.25">
      <c r="A5290"/>
      <c r="B5290"/>
      <c r="D5290"/>
      <c r="G5290"/>
      <c r="L5290"/>
    </row>
    <row r="5291" spans="1:12" x14ac:dyDescent="0.25">
      <c r="A5291"/>
      <c r="B5291"/>
      <c r="D5291"/>
      <c r="G5291"/>
      <c r="L5291"/>
    </row>
    <row r="5292" spans="1:12" x14ac:dyDescent="0.25">
      <c r="A5292"/>
      <c r="B5292"/>
      <c r="D5292"/>
      <c r="G5292"/>
      <c r="L5292"/>
    </row>
    <row r="5293" spans="1:12" x14ac:dyDescent="0.25">
      <c r="A5293"/>
      <c r="B5293"/>
      <c r="D5293"/>
      <c r="G5293"/>
      <c r="L5293"/>
    </row>
    <row r="5294" spans="1:12" x14ac:dyDescent="0.25">
      <c r="A5294"/>
      <c r="B5294"/>
      <c r="D5294"/>
      <c r="G5294"/>
      <c r="L5294"/>
    </row>
    <row r="5295" spans="1:12" x14ac:dyDescent="0.25">
      <c r="A5295"/>
      <c r="B5295"/>
      <c r="D5295"/>
      <c r="G5295"/>
      <c r="L5295"/>
    </row>
    <row r="5296" spans="1:12" x14ac:dyDescent="0.25">
      <c r="A5296"/>
      <c r="B5296"/>
      <c r="D5296"/>
      <c r="G5296"/>
      <c r="L5296"/>
    </row>
    <row r="5297" spans="1:12" x14ac:dyDescent="0.25">
      <c r="A5297"/>
      <c r="B5297"/>
      <c r="D5297"/>
      <c r="G5297"/>
      <c r="L5297"/>
    </row>
    <row r="5298" spans="1:12" x14ac:dyDescent="0.25">
      <c r="A5298"/>
      <c r="B5298"/>
      <c r="D5298"/>
      <c r="G5298"/>
      <c r="L5298"/>
    </row>
    <row r="5299" spans="1:12" x14ac:dyDescent="0.25">
      <c r="A5299"/>
      <c r="B5299"/>
      <c r="D5299"/>
      <c r="G5299"/>
      <c r="L5299"/>
    </row>
    <row r="5300" spans="1:12" x14ac:dyDescent="0.25">
      <c r="A5300"/>
      <c r="B5300"/>
      <c r="D5300"/>
      <c r="G5300"/>
      <c r="L5300"/>
    </row>
    <row r="5301" spans="1:12" x14ac:dyDescent="0.25">
      <c r="A5301"/>
      <c r="B5301"/>
      <c r="D5301"/>
      <c r="G5301"/>
      <c r="L5301"/>
    </row>
    <row r="5302" spans="1:12" x14ac:dyDescent="0.25">
      <c r="A5302"/>
      <c r="B5302"/>
      <c r="D5302"/>
      <c r="G5302"/>
      <c r="L5302"/>
    </row>
    <row r="5303" spans="1:12" x14ac:dyDescent="0.25">
      <c r="A5303"/>
      <c r="B5303"/>
      <c r="D5303"/>
      <c r="G5303"/>
      <c r="L5303"/>
    </row>
    <row r="5304" spans="1:12" x14ac:dyDescent="0.25">
      <c r="A5304"/>
      <c r="B5304"/>
      <c r="D5304"/>
      <c r="G5304"/>
      <c r="L5304"/>
    </row>
    <row r="5305" spans="1:12" x14ac:dyDescent="0.25">
      <c r="A5305"/>
      <c r="B5305"/>
      <c r="D5305"/>
      <c r="G5305"/>
      <c r="L5305"/>
    </row>
    <row r="5306" spans="1:12" x14ac:dyDescent="0.25">
      <c r="A5306"/>
      <c r="B5306"/>
      <c r="D5306"/>
      <c r="G5306"/>
      <c r="L5306"/>
    </row>
    <row r="5307" spans="1:12" x14ac:dyDescent="0.25">
      <c r="A5307"/>
      <c r="B5307"/>
      <c r="D5307"/>
      <c r="G5307"/>
      <c r="L5307"/>
    </row>
    <row r="5308" spans="1:12" x14ac:dyDescent="0.25">
      <c r="A5308"/>
      <c r="B5308"/>
      <c r="D5308"/>
      <c r="G5308"/>
      <c r="L5308"/>
    </row>
    <row r="5309" spans="1:12" x14ac:dyDescent="0.25">
      <c r="A5309"/>
      <c r="B5309"/>
      <c r="D5309"/>
      <c r="G5309"/>
      <c r="L5309"/>
    </row>
    <row r="5310" spans="1:12" x14ac:dyDescent="0.25">
      <c r="A5310"/>
      <c r="B5310"/>
      <c r="D5310"/>
      <c r="G5310"/>
      <c r="L5310"/>
    </row>
    <row r="5311" spans="1:12" x14ac:dyDescent="0.25">
      <c r="A5311"/>
      <c r="B5311"/>
      <c r="D5311"/>
      <c r="G5311"/>
      <c r="L5311"/>
    </row>
    <row r="5312" spans="1:12" x14ac:dyDescent="0.25">
      <c r="A5312"/>
      <c r="B5312"/>
      <c r="D5312"/>
      <c r="G5312"/>
      <c r="L5312"/>
    </row>
    <row r="5313" spans="1:12" x14ac:dyDescent="0.25">
      <c r="A5313"/>
      <c r="B5313"/>
      <c r="D5313"/>
      <c r="G5313"/>
      <c r="L5313"/>
    </row>
    <row r="5314" spans="1:12" x14ac:dyDescent="0.25">
      <c r="A5314"/>
      <c r="B5314"/>
      <c r="D5314"/>
      <c r="G5314"/>
      <c r="L5314"/>
    </row>
    <row r="5315" spans="1:12" x14ac:dyDescent="0.25">
      <c r="A5315"/>
      <c r="B5315"/>
      <c r="D5315"/>
      <c r="G5315"/>
      <c r="L5315"/>
    </row>
    <row r="5316" spans="1:12" x14ac:dyDescent="0.25">
      <c r="A5316"/>
      <c r="B5316"/>
      <c r="D5316"/>
      <c r="G5316"/>
      <c r="L5316"/>
    </row>
    <row r="5317" spans="1:12" x14ac:dyDescent="0.25">
      <c r="A5317"/>
      <c r="B5317"/>
      <c r="D5317"/>
      <c r="G5317"/>
      <c r="L5317"/>
    </row>
    <row r="5318" spans="1:12" x14ac:dyDescent="0.25">
      <c r="A5318"/>
      <c r="B5318"/>
      <c r="D5318"/>
      <c r="G5318"/>
      <c r="L5318"/>
    </row>
    <row r="5319" spans="1:12" x14ac:dyDescent="0.25">
      <c r="A5319"/>
      <c r="B5319"/>
      <c r="D5319"/>
      <c r="G5319"/>
      <c r="L5319"/>
    </row>
    <row r="5320" spans="1:12" x14ac:dyDescent="0.25">
      <c r="A5320"/>
      <c r="B5320"/>
      <c r="D5320"/>
      <c r="G5320"/>
      <c r="L5320"/>
    </row>
    <row r="5321" spans="1:12" x14ac:dyDescent="0.25">
      <c r="A5321"/>
      <c r="B5321"/>
      <c r="D5321"/>
      <c r="G5321"/>
      <c r="L5321"/>
    </row>
    <row r="5322" spans="1:12" x14ac:dyDescent="0.25">
      <c r="A5322"/>
      <c r="B5322"/>
      <c r="D5322"/>
      <c r="G5322"/>
      <c r="L5322"/>
    </row>
    <row r="5323" spans="1:12" x14ac:dyDescent="0.25">
      <c r="A5323"/>
      <c r="B5323"/>
      <c r="D5323"/>
      <c r="G5323"/>
      <c r="L5323"/>
    </row>
    <row r="5324" spans="1:12" x14ac:dyDescent="0.25">
      <c r="A5324"/>
      <c r="B5324"/>
      <c r="D5324"/>
      <c r="G5324"/>
      <c r="L5324"/>
    </row>
    <row r="5325" spans="1:12" x14ac:dyDescent="0.25">
      <c r="A5325"/>
      <c r="B5325"/>
      <c r="D5325"/>
      <c r="G5325"/>
      <c r="L5325"/>
    </row>
    <row r="5326" spans="1:12" x14ac:dyDescent="0.25">
      <c r="A5326"/>
      <c r="B5326"/>
      <c r="D5326"/>
      <c r="G5326"/>
      <c r="L5326"/>
    </row>
    <row r="5327" spans="1:12" x14ac:dyDescent="0.25">
      <c r="A5327"/>
      <c r="B5327"/>
      <c r="D5327"/>
      <c r="G5327"/>
      <c r="L5327"/>
    </row>
    <row r="5328" spans="1:12" x14ac:dyDescent="0.25">
      <c r="A5328"/>
      <c r="B5328"/>
      <c r="D5328"/>
      <c r="G5328"/>
      <c r="L5328"/>
    </row>
    <row r="5329" spans="1:12" x14ac:dyDescent="0.25">
      <c r="A5329"/>
      <c r="B5329"/>
      <c r="D5329"/>
      <c r="G5329"/>
      <c r="L5329"/>
    </row>
    <row r="5330" spans="1:12" x14ac:dyDescent="0.25">
      <c r="A5330"/>
      <c r="B5330"/>
      <c r="D5330"/>
      <c r="G5330"/>
      <c r="L5330"/>
    </row>
    <row r="5331" spans="1:12" x14ac:dyDescent="0.25">
      <c r="A5331"/>
      <c r="B5331"/>
      <c r="D5331"/>
      <c r="G5331"/>
      <c r="L5331"/>
    </row>
    <row r="5332" spans="1:12" x14ac:dyDescent="0.25">
      <c r="A5332"/>
      <c r="B5332"/>
      <c r="D5332"/>
      <c r="G5332"/>
      <c r="L5332"/>
    </row>
    <row r="5333" spans="1:12" x14ac:dyDescent="0.25">
      <c r="A5333"/>
      <c r="B5333"/>
      <c r="D5333"/>
      <c r="G5333"/>
      <c r="L5333"/>
    </row>
    <row r="5334" spans="1:12" x14ac:dyDescent="0.25">
      <c r="A5334"/>
      <c r="B5334"/>
      <c r="D5334"/>
      <c r="G5334"/>
      <c r="L5334"/>
    </row>
    <row r="5335" spans="1:12" x14ac:dyDescent="0.25">
      <c r="A5335"/>
      <c r="B5335"/>
      <c r="D5335"/>
      <c r="G5335"/>
      <c r="L5335"/>
    </row>
    <row r="5336" spans="1:12" x14ac:dyDescent="0.25">
      <c r="A5336"/>
      <c r="B5336"/>
      <c r="D5336"/>
      <c r="G5336"/>
      <c r="L5336"/>
    </row>
    <row r="5337" spans="1:12" x14ac:dyDescent="0.25">
      <c r="A5337"/>
      <c r="B5337"/>
      <c r="D5337"/>
      <c r="G5337"/>
      <c r="L5337"/>
    </row>
    <row r="5338" spans="1:12" x14ac:dyDescent="0.25">
      <c r="A5338"/>
      <c r="B5338"/>
      <c r="D5338"/>
      <c r="G5338"/>
      <c r="L5338"/>
    </row>
    <row r="5339" spans="1:12" x14ac:dyDescent="0.25">
      <c r="A5339"/>
      <c r="B5339"/>
      <c r="D5339"/>
      <c r="G5339"/>
      <c r="L5339"/>
    </row>
    <row r="5340" spans="1:12" x14ac:dyDescent="0.25">
      <c r="A5340"/>
      <c r="B5340"/>
      <c r="D5340"/>
      <c r="G5340"/>
      <c r="L5340"/>
    </row>
    <row r="5341" spans="1:12" x14ac:dyDescent="0.25">
      <c r="A5341"/>
      <c r="B5341"/>
      <c r="D5341"/>
      <c r="G5341"/>
      <c r="L5341"/>
    </row>
    <row r="5342" spans="1:12" x14ac:dyDescent="0.25">
      <c r="A5342"/>
      <c r="B5342"/>
      <c r="D5342"/>
      <c r="G5342"/>
      <c r="L5342"/>
    </row>
    <row r="5343" spans="1:12" x14ac:dyDescent="0.25">
      <c r="A5343"/>
      <c r="B5343"/>
      <c r="D5343"/>
      <c r="G5343"/>
      <c r="L5343"/>
    </row>
    <row r="5344" spans="1:12" x14ac:dyDescent="0.25">
      <c r="A5344"/>
      <c r="B5344"/>
      <c r="D5344"/>
      <c r="G5344"/>
      <c r="L5344"/>
    </row>
    <row r="5345" spans="1:12" x14ac:dyDescent="0.25">
      <c r="A5345"/>
      <c r="B5345"/>
      <c r="D5345"/>
      <c r="G5345"/>
      <c r="L5345"/>
    </row>
    <row r="5346" spans="1:12" x14ac:dyDescent="0.25">
      <c r="A5346"/>
      <c r="B5346"/>
      <c r="D5346"/>
      <c r="G5346"/>
      <c r="L5346"/>
    </row>
    <row r="5347" spans="1:12" x14ac:dyDescent="0.25">
      <c r="A5347"/>
      <c r="B5347"/>
      <c r="D5347"/>
      <c r="G5347"/>
      <c r="L5347"/>
    </row>
    <row r="5348" spans="1:12" x14ac:dyDescent="0.25">
      <c r="A5348"/>
      <c r="B5348"/>
      <c r="D5348"/>
      <c r="G5348"/>
      <c r="L5348"/>
    </row>
    <row r="5349" spans="1:12" x14ac:dyDescent="0.25">
      <c r="A5349"/>
      <c r="B5349"/>
      <c r="D5349"/>
      <c r="G5349"/>
      <c r="L5349"/>
    </row>
    <row r="5350" spans="1:12" x14ac:dyDescent="0.25">
      <c r="A5350"/>
      <c r="B5350"/>
      <c r="D5350"/>
      <c r="G5350"/>
      <c r="L5350"/>
    </row>
    <row r="5351" spans="1:12" x14ac:dyDescent="0.25">
      <c r="A5351"/>
      <c r="B5351"/>
      <c r="D5351"/>
      <c r="G5351"/>
      <c r="L5351"/>
    </row>
    <row r="5352" spans="1:12" x14ac:dyDescent="0.25">
      <c r="A5352"/>
      <c r="B5352"/>
      <c r="D5352"/>
      <c r="G5352"/>
      <c r="L5352"/>
    </row>
    <row r="5353" spans="1:12" x14ac:dyDescent="0.25">
      <c r="A5353"/>
      <c r="B5353"/>
      <c r="D5353"/>
      <c r="G5353"/>
      <c r="L5353"/>
    </row>
    <row r="5354" spans="1:12" x14ac:dyDescent="0.25">
      <c r="A5354"/>
      <c r="B5354"/>
      <c r="D5354"/>
      <c r="G5354"/>
      <c r="L5354"/>
    </row>
    <row r="5355" spans="1:12" x14ac:dyDescent="0.25">
      <c r="A5355"/>
      <c r="B5355"/>
      <c r="D5355"/>
      <c r="G5355"/>
      <c r="L5355"/>
    </row>
    <row r="5356" spans="1:12" x14ac:dyDescent="0.25">
      <c r="A5356"/>
      <c r="B5356"/>
      <c r="D5356"/>
      <c r="G5356"/>
      <c r="L5356"/>
    </row>
    <row r="5357" spans="1:12" x14ac:dyDescent="0.25">
      <c r="A5357"/>
      <c r="B5357"/>
      <c r="D5357"/>
      <c r="G5357"/>
      <c r="L5357"/>
    </row>
    <row r="5358" spans="1:12" x14ac:dyDescent="0.25">
      <c r="A5358"/>
      <c r="B5358"/>
      <c r="D5358"/>
      <c r="G5358"/>
      <c r="L5358"/>
    </row>
    <row r="5359" spans="1:12" x14ac:dyDescent="0.25">
      <c r="A5359"/>
      <c r="B5359"/>
      <c r="D5359"/>
      <c r="G5359"/>
      <c r="L5359"/>
    </row>
    <row r="5360" spans="1:12" x14ac:dyDescent="0.25">
      <c r="A5360"/>
      <c r="B5360"/>
      <c r="D5360"/>
      <c r="G5360"/>
      <c r="L5360"/>
    </row>
    <row r="5361" spans="1:12" x14ac:dyDescent="0.25">
      <c r="A5361"/>
      <c r="B5361"/>
      <c r="D5361"/>
      <c r="G5361"/>
      <c r="L5361"/>
    </row>
    <row r="5362" spans="1:12" x14ac:dyDescent="0.25">
      <c r="A5362"/>
      <c r="B5362"/>
      <c r="D5362"/>
      <c r="G5362"/>
      <c r="L5362"/>
    </row>
    <row r="5363" spans="1:12" x14ac:dyDescent="0.25">
      <c r="A5363"/>
      <c r="B5363"/>
      <c r="D5363"/>
      <c r="G5363"/>
      <c r="L5363"/>
    </row>
    <row r="5364" spans="1:12" x14ac:dyDescent="0.25">
      <c r="A5364"/>
      <c r="B5364"/>
      <c r="D5364"/>
      <c r="G5364"/>
      <c r="L5364"/>
    </row>
    <row r="5365" spans="1:12" x14ac:dyDescent="0.25">
      <c r="A5365"/>
      <c r="B5365"/>
      <c r="D5365"/>
      <c r="G5365"/>
      <c r="L5365"/>
    </row>
    <row r="5366" spans="1:12" x14ac:dyDescent="0.25">
      <c r="A5366"/>
      <c r="B5366"/>
      <c r="D5366"/>
      <c r="G5366"/>
      <c r="L5366"/>
    </row>
    <row r="5367" spans="1:12" x14ac:dyDescent="0.25">
      <c r="A5367"/>
      <c r="B5367"/>
      <c r="D5367"/>
      <c r="G5367"/>
      <c r="L5367"/>
    </row>
    <row r="5368" spans="1:12" x14ac:dyDescent="0.25">
      <c r="A5368"/>
      <c r="B5368"/>
      <c r="D5368"/>
      <c r="G5368"/>
      <c r="L5368"/>
    </row>
    <row r="5369" spans="1:12" x14ac:dyDescent="0.25">
      <c r="A5369"/>
      <c r="B5369"/>
      <c r="D5369"/>
      <c r="G5369"/>
      <c r="L5369"/>
    </row>
    <row r="5370" spans="1:12" x14ac:dyDescent="0.25">
      <c r="A5370"/>
      <c r="B5370"/>
      <c r="D5370"/>
      <c r="G5370"/>
      <c r="L5370"/>
    </row>
    <row r="5371" spans="1:12" x14ac:dyDescent="0.25">
      <c r="A5371"/>
      <c r="B5371"/>
      <c r="D5371"/>
      <c r="G5371"/>
      <c r="L5371"/>
    </row>
    <row r="5372" spans="1:12" x14ac:dyDescent="0.25">
      <c r="A5372"/>
      <c r="B5372"/>
      <c r="D5372"/>
      <c r="G5372"/>
      <c r="L5372"/>
    </row>
    <row r="5373" spans="1:12" x14ac:dyDescent="0.25">
      <c r="A5373"/>
      <c r="B5373"/>
      <c r="D5373"/>
      <c r="G5373"/>
      <c r="L5373"/>
    </row>
    <row r="5374" spans="1:12" x14ac:dyDescent="0.25">
      <c r="A5374"/>
      <c r="B5374"/>
      <c r="D5374"/>
      <c r="G5374"/>
      <c r="L5374"/>
    </row>
    <row r="5375" spans="1:12" x14ac:dyDescent="0.25">
      <c r="A5375"/>
      <c r="B5375"/>
      <c r="D5375"/>
      <c r="G5375"/>
      <c r="L5375"/>
    </row>
    <row r="5376" spans="1:12" x14ac:dyDescent="0.25">
      <c r="A5376"/>
      <c r="B5376"/>
      <c r="D5376"/>
      <c r="G5376"/>
      <c r="L5376"/>
    </row>
    <row r="5377" spans="1:12" x14ac:dyDescent="0.25">
      <c r="A5377"/>
      <c r="B5377"/>
      <c r="D5377"/>
      <c r="G5377"/>
      <c r="L5377"/>
    </row>
    <row r="5378" spans="1:12" x14ac:dyDescent="0.25">
      <c r="A5378"/>
      <c r="B5378"/>
      <c r="D5378"/>
      <c r="G5378"/>
      <c r="L5378"/>
    </row>
    <row r="5379" spans="1:12" x14ac:dyDescent="0.25">
      <c r="A5379"/>
      <c r="B5379"/>
      <c r="D5379"/>
      <c r="G5379"/>
      <c r="L5379"/>
    </row>
    <row r="5380" spans="1:12" x14ac:dyDescent="0.25">
      <c r="A5380"/>
      <c r="B5380"/>
      <c r="D5380"/>
      <c r="G5380"/>
      <c r="L5380"/>
    </row>
    <row r="5381" spans="1:12" x14ac:dyDescent="0.25">
      <c r="A5381"/>
      <c r="B5381"/>
      <c r="D5381"/>
      <c r="G5381"/>
      <c r="L5381"/>
    </row>
    <row r="5382" spans="1:12" x14ac:dyDescent="0.25">
      <c r="A5382"/>
      <c r="B5382"/>
      <c r="D5382"/>
      <c r="G5382"/>
      <c r="L5382"/>
    </row>
    <row r="5383" spans="1:12" x14ac:dyDescent="0.25">
      <c r="A5383"/>
      <c r="B5383"/>
      <c r="D5383"/>
      <c r="G5383"/>
      <c r="L5383"/>
    </row>
    <row r="5384" spans="1:12" x14ac:dyDescent="0.25">
      <c r="A5384"/>
      <c r="B5384"/>
      <c r="D5384"/>
      <c r="G5384"/>
      <c r="L5384"/>
    </row>
    <row r="5385" spans="1:12" x14ac:dyDescent="0.25">
      <c r="A5385"/>
      <c r="B5385"/>
      <c r="D5385"/>
      <c r="G5385"/>
      <c r="L5385"/>
    </row>
    <row r="5386" spans="1:12" x14ac:dyDescent="0.25">
      <c r="A5386"/>
      <c r="B5386"/>
      <c r="D5386"/>
      <c r="G5386"/>
      <c r="L5386"/>
    </row>
    <row r="5387" spans="1:12" x14ac:dyDescent="0.25">
      <c r="A5387"/>
      <c r="B5387"/>
      <c r="D5387"/>
      <c r="G5387"/>
      <c r="L5387"/>
    </row>
    <row r="5388" spans="1:12" x14ac:dyDescent="0.25">
      <c r="A5388"/>
      <c r="B5388"/>
      <c r="D5388"/>
      <c r="G5388"/>
      <c r="L5388"/>
    </row>
    <row r="5389" spans="1:12" x14ac:dyDescent="0.25">
      <c r="A5389"/>
      <c r="B5389"/>
      <c r="D5389"/>
      <c r="G5389"/>
      <c r="L5389"/>
    </row>
    <row r="5390" spans="1:12" x14ac:dyDescent="0.25">
      <c r="A5390"/>
      <c r="B5390"/>
      <c r="D5390"/>
      <c r="G5390"/>
      <c r="L5390"/>
    </row>
    <row r="5391" spans="1:12" x14ac:dyDescent="0.25">
      <c r="A5391"/>
      <c r="B5391"/>
      <c r="D5391"/>
      <c r="G5391"/>
      <c r="L5391"/>
    </row>
    <row r="5392" spans="1:12" x14ac:dyDescent="0.25">
      <c r="A5392"/>
      <c r="B5392"/>
      <c r="D5392"/>
      <c r="G5392"/>
      <c r="L5392"/>
    </row>
    <row r="5393" spans="1:12" x14ac:dyDescent="0.25">
      <c r="A5393"/>
      <c r="B5393"/>
      <c r="D5393"/>
      <c r="G5393"/>
      <c r="L5393"/>
    </row>
    <row r="5394" spans="1:12" x14ac:dyDescent="0.25">
      <c r="A5394"/>
      <c r="B5394"/>
      <c r="D5394"/>
      <c r="G5394"/>
      <c r="L5394"/>
    </row>
    <row r="5395" spans="1:12" x14ac:dyDescent="0.25">
      <c r="A5395"/>
      <c r="B5395"/>
      <c r="D5395"/>
      <c r="G5395"/>
      <c r="L5395"/>
    </row>
    <row r="5396" spans="1:12" x14ac:dyDescent="0.25">
      <c r="A5396"/>
      <c r="B5396"/>
      <c r="D5396"/>
      <c r="G5396"/>
      <c r="L5396"/>
    </row>
    <row r="5397" spans="1:12" x14ac:dyDescent="0.25">
      <c r="A5397"/>
      <c r="B5397"/>
      <c r="D5397"/>
      <c r="G5397"/>
      <c r="L5397"/>
    </row>
    <row r="5398" spans="1:12" x14ac:dyDescent="0.25">
      <c r="A5398"/>
      <c r="B5398"/>
      <c r="D5398"/>
      <c r="G5398"/>
      <c r="L5398"/>
    </row>
    <row r="5399" spans="1:12" x14ac:dyDescent="0.25">
      <c r="A5399"/>
      <c r="B5399"/>
      <c r="D5399"/>
      <c r="G5399"/>
      <c r="L5399"/>
    </row>
    <row r="5400" spans="1:12" x14ac:dyDescent="0.25">
      <c r="A5400"/>
      <c r="B5400"/>
      <c r="D5400"/>
      <c r="G5400"/>
      <c r="L5400"/>
    </row>
    <row r="5401" spans="1:12" x14ac:dyDescent="0.25">
      <c r="A5401"/>
      <c r="B5401"/>
      <c r="D5401"/>
      <c r="G5401"/>
      <c r="L5401"/>
    </row>
    <row r="5402" spans="1:12" x14ac:dyDescent="0.25">
      <c r="A5402"/>
      <c r="B5402"/>
      <c r="D5402"/>
      <c r="G5402"/>
      <c r="L5402"/>
    </row>
    <row r="5403" spans="1:12" x14ac:dyDescent="0.25">
      <c r="A5403"/>
      <c r="B5403"/>
      <c r="D5403"/>
      <c r="G5403"/>
      <c r="L5403"/>
    </row>
    <row r="5404" spans="1:12" x14ac:dyDescent="0.25">
      <c r="A5404"/>
      <c r="B5404"/>
      <c r="D5404"/>
      <c r="G5404"/>
      <c r="L5404"/>
    </row>
    <row r="5405" spans="1:12" x14ac:dyDescent="0.25">
      <c r="A5405"/>
      <c r="B5405"/>
      <c r="D5405"/>
      <c r="G5405"/>
      <c r="L5405"/>
    </row>
    <row r="5406" spans="1:12" x14ac:dyDescent="0.25">
      <c r="A5406"/>
      <c r="B5406"/>
      <c r="D5406"/>
      <c r="G5406"/>
      <c r="L5406"/>
    </row>
    <row r="5407" spans="1:12" x14ac:dyDescent="0.25">
      <c r="A5407"/>
      <c r="B5407"/>
      <c r="D5407"/>
      <c r="G5407"/>
      <c r="L5407"/>
    </row>
    <row r="5408" spans="1:12" x14ac:dyDescent="0.25">
      <c r="A5408"/>
      <c r="B5408"/>
      <c r="D5408"/>
      <c r="G5408"/>
      <c r="L5408"/>
    </row>
    <row r="5409" spans="1:12" x14ac:dyDescent="0.25">
      <c r="A5409"/>
      <c r="B5409"/>
      <c r="D5409"/>
      <c r="G5409"/>
      <c r="L5409"/>
    </row>
    <row r="5410" spans="1:12" x14ac:dyDescent="0.25">
      <c r="A5410"/>
      <c r="B5410"/>
      <c r="D5410"/>
      <c r="G5410"/>
      <c r="L5410"/>
    </row>
    <row r="5411" spans="1:12" x14ac:dyDescent="0.25">
      <c r="A5411"/>
      <c r="B5411"/>
      <c r="D5411"/>
      <c r="G5411"/>
      <c r="L5411"/>
    </row>
    <row r="5412" spans="1:12" x14ac:dyDescent="0.25">
      <c r="A5412"/>
      <c r="B5412"/>
      <c r="D5412"/>
      <c r="G5412"/>
      <c r="L5412"/>
    </row>
    <row r="5413" spans="1:12" x14ac:dyDescent="0.25">
      <c r="A5413"/>
      <c r="B5413"/>
      <c r="D5413"/>
      <c r="G5413"/>
      <c r="L5413"/>
    </row>
    <row r="5414" spans="1:12" x14ac:dyDescent="0.25">
      <c r="A5414"/>
      <c r="B5414"/>
      <c r="D5414"/>
      <c r="G5414"/>
      <c r="L5414"/>
    </row>
    <row r="5415" spans="1:12" x14ac:dyDescent="0.25">
      <c r="A5415"/>
      <c r="B5415"/>
      <c r="D5415"/>
      <c r="G5415"/>
      <c r="L5415"/>
    </row>
    <row r="5416" spans="1:12" x14ac:dyDescent="0.25">
      <c r="A5416"/>
      <c r="B5416"/>
      <c r="D5416"/>
      <c r="G5416"/>
      <c r="L5416"/>
    </row>
    <row r="5417" spans="1:12" x14ac:dyDescent="0.25">
      <c r="A5417"/>
      <c r="B5417"/>
      <c r="D5417"/>
      <c r="G5417"/>
      <c r="L5417"/>
    </row>
    <row r="5418" spans="1:12" x14ac:dyDescent="0.25">
      <c r="A5418"/>
      <c r="B5418"/>
      <c r="D5418"/>
      <c r="G5418"/>
      <c r="L5418"/>
    </row>
    <row r="5419" spans="1:12" x14ac:dyDescent="0.25">
      <c r="A5419"/>
      <c r="B5419"/>
      <c r="D5419"/>
      <c r="G5419"/>
      <c r="L5419"/>
    </row>
    <row r="5420" spans="1:12" x14ac:dyDescent="0.25">
      <c r="A5420"/>
      <c r="B5420"/>
      <c r="D5420"/>
      <c r="G5420"/>
      <c r="L5420"/>
    </row>
    <row r="5421" spans="1:12" x14ac:dyDescent="0.25">
      <c r="A5421"/>
      <c r="B5421"/>
      <c r="D5421"/>
      <c r="G5421"/>
      <c r="L5421"/>
    </row>
    <row r="5422" spans="1:12" x14ac:dyDescent="0.25">
      <c r="A5422"/>
      <c r="B5422"/>
      <c r="D5422"/>
      <c r="G5422"/>
      <c r="L5422"/>
    </row>
    <row r="5423" spans="1:12" x14ac:dyDescent="0.25">
      <c r="A5423"/>
      <c r="B5423"/>
      <c r="D5423"/>
      <c r="G5423"/>
      <c r="L5423"/>
    </row>
    <row r="5424" spans="1:12" x14ac:dyDescent="0.25">
      <c r="A5424"/>
      <c r="B5424"/>
      <c r="D5424"/>
      <c r="G5424"/>
      <c r="L5424"/>
    </row>
    <row r="5425" spans="1:12" x14ac:dyDescent="0.25">
      <c r="A5425"/>
      <c r="B5425"/>
      <c r="D5425"/>
      <c r="G5425"/>
      <c r="L5425"/>
    </row>
    <row r="5426" spans="1:12" x14ac:dyDescent="0.25">
      <c r="A5426"/>
      <c r="B5426"/>
      <c r="D5426"/>
      <c r="G5426"/>
      <c r="L5426"/>
    </row>
    <row r="5427" spans="1:12" x14ac:dyDescent="0.25">
      <c r="A5427"/>
      <c r="B5427"/>
      <c r="D5427"/>
      <c r="G5427"/>
      <c r="L5427"/>
    </row>
    <row r="5428" spans="1:12" x14ac:dyDescent="0.25">
      <c r="A5428"/>
      <c r="B5428"/>
      <c r="D5428"/>
      <c r="G5428"/>
      <c r="L5428"/>
    </row>
    <row r="5429" spans="1:12" x14ac:dyDescent="0.25">
      <c r="A5429"/>
      <c r="B5429"/>
      <c r="D5429"/>
      <c r="G5429"/>
      <c r="L5429"/>
    </row>
    <row r="5430" spans="1:12" x14ac:dyDescent="0.25">
      <c r="A5430"/>
      <c r="B5430"/>
      <c r="D5430"/>
      <c r="G5430"/>
      <c r="L5430"/>
    </row>
    <row r="5431" spans="1:12" x14ac:dyDescent="0.25">
      <c r="A5431"/>
      <c r="B5431"/>
      <c r="D5431"/>
      <c r="G5431"/>
      <c r="L5431"/>
    </row>
    <row r="5432" spans="1:12" x14ac:dyDescent="0.25">
      <c r="A5432"/>
      <c r="B5432"/>
      <c r="D5432"/>
      <c r="G5432"/>
      <c r="L5432"/>
    </row>
    <row r="5433" spans="1:12" x14ac:dyDescent="0.25">
      <c r="A5433"/>
      <c r="B5433"/>
      <c r="D5433"/>
      <c r="G5433"/>
      <c r="L5433"/>
    </row>
    <row r="5434" spans="1:12" x14ac:dyDescent="0.25">
      <c r="A5434"/>
      <c r="B5434"/>
      <c r="D5434"/>
      <c r="G5434"/>
      <c r="L5434"/>
    </row>
    <row r="5435" spans="1:12" x14ac:dyDescent="0.25">
      <c r="A5435"/>
      <c r="B5435"/>
      <c r="D5435"/>
      <c r="G5435"/>
      <c r="L5435"/>
    </row>
    <row r="5436" spans="1:12" x14ac:dyDescent="0.25">
      <c r="A5436"/>
      <c r="B5436"/>
      <c r="D5436"/>
      <c r="G5436"/>
      <c r="L5436"/>
    </row>
    <row r="5437" spans="1:12" x14ac:dyDescent="0.25">
      <c r="A5437"/>
      <c r="B5437"/>
      <c r="D5437"/>
      <c r="G5437"/>
      <c r="L5437"/>
    </row>
    <row r="5438" spans="1:12" x14ac:dyDescent="0.25">
      <c r="A5438"/>
      <c r="B5438"/>
      <c r="D5438"/>
      <c r="G5438"/>
      <c r="L5438"/>
    </row>
    <row r="5439" spans="1:12" x14ac:dyDescent="0.25">
      <c r="A5439"/>
      <c r="B5439"/>
      <c r="D5439"/>
      <c r="G5439"/>
      <c r="L5439"/>
    </row>
    <row r="5440" spans="1:12" x14ac:dyDescent="0.25">
      <c r="A5440"/>
      <c r="B5440"/>
      <c r="D5440"/>
      <c r="G5440"/>
      <c r="L5440"/>
    </row>
    <row r="5441" spans="1:12" x14ac:dyDescent="0.25">
      <c r="A5441"/>
      <c r="B5441"/>
      <c r="D5441"/>
      <c r="G5441"/>
      <c r="L5441"/>
    </row>
    <row r="5442" spans="1:12" x14ac:dyDescent="0.25">
      <c r="A5442"/>
      <c r="B5442"/>
      <c r="D5442"/>
      <c r="G5442"/>
      <c r="L5442"/>
    </row>
    <row r="5443" spans="1:12" x14ac:dyDescent="0.25">
      <c r="A5443"/>
      <c r="B5443"/>
      <c r="D5443"/>
      <c r="G5443"/>
      <c r="L5443"/>
    </row>
    <row r="5444" spans="1:12" x14ac:dyDescent="0.25">
      <c r="A5444"/>
      <c r="B5444"/>
      <c r="D5444"/>
      <c r="G5444"/>
      <c r="L5444"/>
    </row>
    <row r="5445" spans="1:12" x14ac:dyDescent="0.25">
      <c r="A5445"/>
      <c r="B5445"/>
      <c r="D5445"/>
      <c r="G5445"/>
      <c r="L5445"/>
    </row>
    <row r="5446" spans="1:12" x14ac:dyDescent="0.25">
      <c r="A5446"/>
      <c r="B5446"/>
      <c r="D5446"/>
      <c r="G5446"/>
      <c r="L5446"/>
    </row>
    <row r="5447" spans="1:12" x14ac:dyDescent="0.25">
      <c r="A5447"/>
      <c r="B5447"/>
      <c r="D5447"/>
      <c r="G5447"/>
      <c r="L5447"/>
    </row>
    <row r="5448" spans="1:12" x14ac:dyDescent="0.25">
      <c r="A5448"/>
      <c r="B5448"/>
      <c r="D5448"/>
      <c r="G5448"/>
      <c r="L5448"/>
    </row>
    <row r="5449" spans="1:12" x14ac:dyDescent="0.25">
      <c r="A5449"/>
      <c r="B5449"/>
      <c r="D5449"/>
      <c r="G5449"/>
      <c r="L5449"/>
    </row>
    <row r="5450" spans="1:12" x14ac:dyDescent="0.25">
      <c r="A5450"/>
      <c r="B5450"/>
      <c r="D5450"/>
      <c r="G5450"/>
      <c r="L5450"/>
    </row>
    <row r="5451" spans="1:12" x14ac:dyDescent="0.25">
      <c r="A5451"/>
      <c r="B5451"/>
      <c r="D5451"/>
      <c r="G5451"/>
      <c r="L5451"/>
    </row>
    <row r="5452" spans="1:12" x14ac:dyDescent="0.25">
      <c r="A5452"/>
      <c r="B5452"/>
      <c r="D5452"/>
      <c r="G5452"/>
      <c r="L5452"/>
    </row>
    <row r="5453" spans="1:12" x14ac:dyDescent="0.25">
      <c r="A5453"/>
      <c r="B5453"/>
      <c r="D5453"/>
      <c r="G5453"/>
      <c r="L5453"/>
    </row>
    <row r="5454" spans="1:12" x14ac:dyDescent="0.25">
      <c r="A5454"/>
      <c r="B5454"/>
      <c r="D5454"/>
      <c r="G5454"/>
      <c r="L5454"/>
    </row>
    <row r="5455" spans="1:12" x14ac:dyDescent="0.25">
      <c r="A5455"/>
      <c r="B5455"/>
      <c r="D5455"/>
      <c r="G5455"/>
      <c r="L5455"/>
    </row>
    <row r="5456" spans="1:12" x14ac:dyDescent="0.25">
      <c r="A5456"/>
      <c r="B5456"/>
      <c r="D5456"/>
      <c r="G5456"/>
      <c r="L5456"/>
    </row>
    <row r="5457" spans="1:12" x14ac:dyDescent="0.25">
      <c r="A5457"/>
      <c r="B5457"/>
      <c r="D5457"/>
      <c r="G5457"/>
      <c r="L5457"/>
    </row>
    <row r="5458" spans="1:12" x14ac:dyDescent="0.25">
      <c r="A5458"/>
      <c r="B5458"/>
      <c r="D5458"/>
      <c r="G5458"/>
      <c r="L5458"/>
    </row>
    <row r="5459" spans="1:12" x14ac:dyDescent="0.25">
      <c r="A5459"/>
      <c r="B5459"/>
      <c r="D5459"/>
      <c r="G5459"/>
      <c r="L5459"/>
    </row>
    <row r="5460" spans="1:12" x14ac:dyDescent="0.25">
      <c r="A5460"/>
      <c r="B5460"/>
      <c r="D5460"/>
      <c r="G5460"/>
      <c r="L5460"/>
    </row>
    <row r="5461" spans="1:12" x14ac:dyDescent="0.25">
      <c r="A5461"/>
      <c r="B5461"/>
      <c r="D5461"/>
      <c r="G5461"/>
      <c r="L5461"/>
    </row>
    <row r="5462" spans="1:12" x14ac:dyDescent="0.25">
      <c r="A5462"/>
      <c r="B5462"/>
      <c r="D5462"/>
      <c r="G5462"/>
      <c r="L5462"/>
    </row>
    <row r="5463" spans="1:12" x14ac:dyDescent="0.25">
      <c r="A5463"/>
      <c r="B5463"/>
      <c r="D5463"/>
      <c r="G5463"/>
      <c r="L5463"/>
    </row>
    <row r="5464" spans="1:12" x14ac:dyDescent="0.25">
      <c r="A5464"/>
      <c r="B5464"/>
      <c r="D5464"/>
      <c r="G5464"/>
      <c r="L5464"/>
    </row>
    <row r="5465" spans="1:12" x14ac:dyDescent="0.25">
      <c r="A5465"/>
      <c r="B5465"/>
      <c r="D5465"/>
      <c r="G5465"/>
      <c r="L5465"/>
    </row>
    <row r="5466" spans="1:12" x14ac:dyDescent="0.25">
      <c r="A5466"/>
      <c r="B5466"/>
      <c r="D5466"/>
      <c r="G5466"/>
      <c r="L5466"/>
    </row>
    <row r="5467" spans="1:12" x14ac:dyDescent="0.25">
      <c r="A5467"/>
      <c r="B5467"/>
      <c r="D5467"/>
      <c r="G5467"/>
      <c r="L5467"/>
    </row>
    <row r="5468" spans="1:12" x14ac:dyDescent="0.25">
      <c r="A5468"/>
      <c r="B5468"/>
      <c r="D5468"/>
      <c r="G5468"/>
      <c r="L5468"/>
    </row>
    <row r="5469" spans="1:12" x14ac:dyDescent="0.25">
      <c r="A5469"/>
      <c r="B5469"/>
      <c r="D5469"/>
      <c r="G5469"/>
      <c r="L5469"/>
    </row>
    <row r="5470" spans="1:12" x14ac:dyDescent="0.25">
      <c r="A5470"/>
      <c r="B5470"/>
      <c r="D5470"/>
      <c r="G5470"/>
      <c r="L5470"/>
    </row>
    <row r="5471" spans="1:12" x14ac:dyDescent="0.25">
      <c r="A5471"/>
      <c r="B5471"/>
      <c r="D5471"/>
      <c r="G5471"/>
      <c r="L5471"/>
    </row>
    <row r="5472" spans="1:12" x14ac:dyDescent="0.25">
      <c r="A5472"/>
      <c r="B5472"/>
      <c r="D5472"/>
      <c r="G5472"/>
      <c r="L5472"/>
    </row>
    <row r="5473" spans="1:12" x14ac:dyDescent="0.25">
      <c r="A5473"/>
      <c r="B5473"/>
      <c r="D5473"/>
      <c r="G5473"/>
      <c r="L5473"/>
    </row>
    <row r="5474" spans="1:12" x14ac:dyDescent="0.25">
      <c r="A5474"/>
      <c r="B5474"/>
      <c r="D5474"/>
      <c r="G5474"/>
      <c r="L5474"/>
    </row>
    <row r="5475" spans="1:12" x14ac:dyDescent="0.25">
      <c r="A5475"/>
      <c r="B5475"/>
      <c r="D5475"/>
      <c r="G5475"/>
      <c r="L5475"/>
    </row>
    <row r="5476" spans="1:12" x14ac:dyDescent="0.25">
      <c r="A5476"/>
      <c r="B5476"/>
      <c r="D5476"/>
      <c r="G5476"/>
      <c r="L5476"/>
    </row>
    <row r="5477" spans="1:12" x14ac:dyDescent="0.25">
      <c r="A5477"/>
      <c r="B5477"/>
      <c r="D5477"/>
      <c r="G5477"/>
      <c r="L5477"/>
    </row>
    <row r="5478" spans="1:12" x14ac:dyDescent="0.25">
      <c r="A5478"/>
      <c r="B5478"/>
      <c r="D5478"/>
      <c r="G5478"/>
      <c r="L5478"/>
    </row>
    <row r="5479" spans="1:12" x14ac:dyDescent="0.25">
      <c r="A5479"/>
      <c r="B5479"/>
      <c r="D5479"/>
      <c r="G5479"/>
      <c r="L5479"/>
    </row>
    <row r="5480" spans="1:12" x14ac:dyDescent="0.25">
      <c r="A5480"/>
      <c r="B5480"/>
      <c r="D5480"/>
      <c r="G5480"/>
      <c r="L5480"/>
    </row>
    <row r="5481" spans="1:12" x14ac:dyDescent="0.25">
      <c r="A5481"/>
      <c r="B5481"/>
      <c r="D5481"/>
      <c r="G5481"/>
      <c r="L5481"/>
    </row>
    <row r="5482" spans="1:12" x14ac:dyDescent="0.25">
      <c r="A5482"/>
      <c r="B5482"/>
      <c r="D5482"/>
      <c r="G5482"/>
      <c r="L5482"/>
    </row>
    <row r="5483" spans="1:12" x14ac:dyDescent="0.25">
      <c r="A5483"/>
      <c r="B5483"/>
      <c r="D5483"/>
      <c r="G5483"/>
      <c r="L5483"/>
    </row>
    <row r="5484" spans="1:12" x14ac:dyDescent="0.25">
      <c r="A5484"/>
      <c r="B5484"/>
      <c r="D5484"/>
      <c r="G5484"/>
      <c r="L5484"/>
    </row>
    <row r="5485" spans="1:12" x14ac:dyDescent="0.25">
      <c r="A5485"/>
      <c r="B5485"/>
      <c r="D5485"/>
      <c r="G5485"/>
      <c r="L5485"/>
    </row>
    <row r="5486" spans="1:12" x14ac:dyDescent="0.25">
      <c r="A5486"/>
      <c r="B5486"/>
      <c r="D5486"/>
      <c r="G5486"/>
      <c r="L5486"/>
    </row>
    <row r="5487" spans="1:12" x14ac:dyDescent="0.25">
      <c r="A5487"/>
      <c r="B5487"/>
      <c r="D5487"/>
      <c r="G5487"/>
      <c r="L5487"/>
    </row>
    <row r="5488" spans="1:12" x14ac:dyDescent="0.25">
      <c r="A5488"/>
      <c r="B5488"/>
      <c r="D5488"/>
      <c r="G5488"/>
      <c r="L5488"/>
    </row>
    <row r="5489" spans="1:12" x14ac:dyDescent="0.25">
      <c r="A5489"/>
      <c r="B5489"/>
      <c r="D5489"/>
      <c r="G5489"/>
      <c r="L5489"/>
    </row>
    <row r="5490" spans="1:12" x14ac:dyDescent="0.25">
      <c r="A5490"/>
      <c r="B5490"/>
      <c r="D5490"/>
      <c r="G5490"/>
      <c r="L5490"/>
    </row>
    <row r="5491" spans="1:12" x14ac:dyDescent="0.25">
      <c r="A5491"/>
      <c r="B5491"/>
      <c r="D5491"/>
      <c r="G5491"/>
      <c r="L5491"/>
    </row>
    <row r="5492" spans="1:12" x14ac:dyDescent="0.25">
      <c r="A5492"/>
      <c r="B5492"/>
      <c r="D5492"/>
      <c r="G5492"/>
      <c r="L5492"/>
    </row>
    <row r="5493" spans="1:12" x14ac:dyDescent="0.25">
      <c r="A5493"/>
      <c r="B5493"/>
      <c r="D5493"/>
      <c r="G5493"/>
      <c r="L5493"/>
    </row>
    <row r="5494" spans="1:12" x14ac:dyDescent="0.25">
      <c r="A5494"/>
      <c r="B5494"/>
      <c r="D5494"/>
      <c r="G5494"/>
      <c r="L5494"/>
    </row>
    <row r="5495" spans="1:12" x14ac:dyDescent="0.25">
      <c r="A5495"/>
      <c r="B5495"/>
      <c r="D5495"/>
      <c r="G5495"/>
      <c r="L5495"/>
    </row>
    <row r="5496" spans="1:12" x14ac:dyDescent="0.25">
      <c r="A5496"/>
      <c r="B5496"/>
      <c r="D5496"/>
      <c r="G5496"/>
      <c r="L5496"/>
    </row>
    <row r="5497" spans="1:12" x14ac:dyDescent="0.25">
      <c r="A5497"/>
      <c r="B5497"/>
      <c r="D5497"/>
      <c r="G5497"/>
      <c r="L5497"/>
    </row>
    <row r="5498" spans="1:12" x14ac:dyDescent="0.25">
      <c r="A5498"/>
      <c r="B5498"/>
      <c r="D5498"/>
      <c r="G5498"/>
      <c r="L5498"/>
    </row>
    <row r="5499" spans="1:12" x14ac:dyDescent="0.25">
      <c r="A5499"/>
      <c r="B5499"/>
      <c r="D5499"/>
      <c r="G5499"/>
      <c r="L5499"/>
    </row>
    <row r="5500" spans="1:12" x14ac:dyDescent="0.25">
      <c r="A5500"/>
      <c r="B5500"/>
      <c r="D5500"/>
      <c r="G5500"/>
      <c r="L5500"/>
    </row>
    <row r="5501" spans="1:12" x14ac:dyDescent="0.25">
      <c r="A5501"/>
      <c r="B5501"/>
      <c r="D5501"/>
      <c r="G5501"/>
      <c r="L5501"/>
    </row>
    <row r="5502" spans="1:12" x14ac:dyDescent="0.25">
      <c r="A5502"/>
      <c r="B5502"/>
      <c r="D5502"/>
      <c r="G5502"/>
      <c r="L5502"/>
    </row>
    <row r="5503" spans="1:12" x14ac:dyDescent="0.25">
      <c r="A5503"/>
      <c r="B5503"/>
      <c r="D5503"/>
      <c r="G5503"/>
      <c r="L5503"/>
    </row>
    <row r="5504" spans="1:12" x14ac:dyDescent="0.25">
      <c r="A5504"/>
      <c r="B5504"/>
      <c r="D5504"/>
      <c r="G5504"/>
      <c r="L5504"/>
    </row>
    <row r="5505" spans="1:12" x14ac:dyDescent="0.25">
      <c r="A5505"/>
      <c r="B5505"/>
      <c r="D5505"/>
      <c r="G5505"/>
      <c r="L5505"/>
    </row>
    <row r="5506" spans="1:12" x14ac:dyDescent="0.25">
      <c r="A5506"/>
      <c r="B5506"/>
      <c r="D5506"/>
      <c r="G5506"/>
      <c r="L5506"/>
    </row>
    <row r="5507" spans="1:12" x14ac:dyDescent="0.25">
      <c r="A5507"/>
      <c r="B5507"/>
      <c r="D5507"/>
      <c r="G5507"/>
      <c r="L5507"/>
    </row>
    <row r="5508" spans="1:12" x14ac:dyDescent="0.25">
      <c r="A5508"/>
      <c r="B5508"/>
      <c r="D5508"/>
      <c r="G5508"/>
      <c r="L5508"/>
    </row>
    <row r="5509" spans="1:12" x14ac:dyDescent="0.25">
      <c r="A5509"/>
      <c r="B5509"/>
      <c r="D5509"/>
      <c r="G5509"/>
      <c r="L5509"/>
    </row>
    <row r="5510" spans="1:12" x14ac:dyDescent="0.25">
      <c r="A5510"/>
      <c r="B5510"/>
      <c r="D5510"/>
      <c r="G5510"/>
      <c r="L5510"/>
    </row>
    <row r="5511" spans="1:12" x14ac:dyDescent="0.25">
      <c r="A5511"/>
      <c r="B5511"/>
      <c r="D5511"/>
      <c r="G5511"/>
      <c r="L5511"/>
    </row>
    <row r="5512" spans="1:12" x14ac:dyDescent="0.25">
      <c r="A5512"/>
      <c r="B5512"/>
      <c r="D5512"/>
      <c r="G5512"/>
      <c r="L5512"/>
    </row>
    <row r="5513" spans="1:12" x14ac:dyDescent="0.25">
      <c r="A5513"/>
      <c r="B5513"/>
      <c r="D5513"/>
      <c r="G5513"/>
      <c r="L5513"/>
    </row>
    <row r="5514" spans="1:12" x14ac:dyDescent="0.25">
      <c r="A5514"/>
      <c r="B5514"/>
      <c r="D5514"/>
      <c r="G5514"/>
      <c r="L5514"/>
    </row>
    <row r="5515" spans="1:12" x14ac:dyDescent="0.25">
      <c r="A5515"/>
      <c r="B5515"/>
      <c r="D5515"/>
      <c r="G5515"/>
      <c r="L5515"/>
    </row>
    <row r="5516" spans="1:12" x14ac:dyDescent="0.25">
      <c r="A5516"/>
      <c r="B5516"/>
      <c r="D5516"/>
      <c r="G5516"/>
      <c r="L5516"/>
    </row>
    <row r="5517" spans="1:12" x14ac:dyDescent="0.25">
      <c r="A5517"/>
      <c r="B5517"/>
      <c r="D5517"/>
      <c r="G5517"/>
      <c r="L5517"/>
    </row>
    <row r="5518" spans="1:12" x14ac:dyDescent="0.25">
      <c r="A5518"/>
      <c r="B5518"/>
      <c r="D5518"/>
      <c r="G5518"/>
      <c r="L5518"/>
    </row>
    <row r="5519" spans="1:12" x14ac:dyDescent="0.25">
      <c r="A5519"/>
      <c r="B5519"/>
      <c r="D5519"/>
      <c r="G5519"/>
      <c r="L5519"/>
    </row>
    <row r="5520" spans="1:12" x14ac:dyDescent="0.25">
      <c r="A5520"/>
      <c r="B5520"/>
      <c r="D5520"/>
      <c r="G5520"/>
      <c r="L5520"/>
    </row>
    <row r="5521" spans="1:12" x14ac:dyDescent="0.25">
      <c r="A5521"/>
      <c r="B5521"/>
      <c r="D5521"/>
      <c r="G5521"/>
      <c r="L5521"/>
    </row>
    <row r="5522" spans="1:12" x14ac:dyDescent="0.25">
      <c r="A5522"/>
      <c r="B5522"/>
      <c r="D5522"/>
      <c r="G5522"/>
      <c r="L5522"/>
    </row>
    <row r="5523" spans="1:12" x14ac:dyDescent="0.25">
      <c r="A5523"/>
      <c r="B5523"/>
      <c r="D5523"/>
      <c r="G5523"/>
      <c r="L5523"/>
    </row>
    <row r="5524" spans="1:12" x14ac:dyDescent="0.25">
      <c r="A5524"/>
      <c r="B5524"/>
      <c r="D5524"/>
      <c r="G5524"/>
      <c r="L5524"/>
    </row>
    <row r="5525" spans="1:12" x14ac:dyDescent="0.25">
      <c r="A5525"/>
      <c r="B5525"/>
      <c r="D5525"/>
      <c r="G5525"/>
      <c r="L5525"/>
    </row>
    <row r="5526" spans="1:12" x14ac:dyDescent="0.25">
      <c r="A5526"/>
      <c r="B5526"/>
      <c r="D5526"/>
      <c r="G5526"/>
      <c r="L5526"/>
    </row>
    <row r="5527" spans="1:12" x14ac:dyDescent="0.25">
      <c r="A5527"/>
      <c r="B5527"/>
      <c r="D5527"/>
      <c r="G5527"/>
      <c r="L5527"/>
    </row>
    <row r="5528" spans="1:12" x14ac:dyDescent="0.25">
      <c r="A5528"/>
      <c r="B5528"/>
      <c r="D5528"/>
      <c r="G5528"/>
      <c r="L5528"/>
    </row>
    <row r="5529" spans="1:12" x14ac:dyDescent="0.25">
      <c r="A5529"/>
      <c r="B5529"/>
      <c r="D5529"/>
      <c r="G5529"/>
      <c r="L5529"/>
    </row>
    <row r="5530" spans="1:12" x14ac:dyDescent="0.25">
      <c r="A5530"/>
      <c r="B5530"/>
      <c r="D5530"/>
      <c r="G5530"/>
      <c r="L5530"/>
    </row>
    <row r="5531" spans="1:12" x14ac:dyDescent="0.25">
      <c r="A5531"/>
      <c r="B5531"/>
      <c r="D5531"/>
      <c r="G5531"/>
      <c r="L5531"/>
    </row>
    <row r="5532" spans="1:12" x14ac:dyDescent="0.25">
      <c r="A5532"/>
      <c r="B5532"/>
      <c r="D5532"/>
      <c r="G5532"/>
      <c r="L5532"/>
    </row>
    <row r="5533" spans="1:12" x14ac:dyDescent="0.25">
      <c r="A5533"/>
      <c r="B5533"/>
      <c r="D5533"/>
      <c r="G5533"/>
      <c r="L5533"/>
    </row>
    <row r="5534" spans="1:12" x14ac:dyDescent="0.25">
      <c r="A5534"/>
      <c r="B5534"/>
      <c r="D5534"/>
      <c r="G5534"/>
      <c r="L5534"/>
    </row>
    <row r="5535" spans="1:12" x14ac:dyDescent="0.25">
      <c r="A5535"/>
      <c r="B5535"/>
      <c r="D5535"/>
      <c r="G5535"/>
      <c r="L5535"/>
    </row>
    <row r="5536" spans="1:12" x14ac:dyDescent="0.25">
      <c r="A5536"/>
      <c r="B5536"/>
      <c r="D5536"/>
      <c r="G5536"/>
      <c r="L5536"/>
    </row>
    <row r="5537" spans="1:12" x14ac:dyDescent="0.25">
      <c r="A5537"/>
      <c r="B5537"/>
      <c r="D5537"/>
      <c r="G5537"/>
      <c r="L5537"/>
    </row>
    <row r="5538" spans="1:12" x14ac:dyDescent="0.25">
      <c r="A5538"/>
      <c r="B5538"/>
      <c r="D5538"/>
      <c r="G5538"/>
      <c r="L5538"/>
    </row>
    <row r="5539" spans="1:12" x14ac:dyDescent="0.25">
      <c r="A5539"/>
      <c r="B5539"/>
      <c r="D5539"/>
      <c r="G5539"/>
      <c r="L5539"/>
    </row>
    <row r="5540" spans="1:12" x14ac:dyDescent="0.25">
      <c r="A5540"/>
      <c r="B5540"/>
      <c r="D5540"/>
      <c r="G5540"/>
      <c r="L5540"/>
    </row>
    <row r="5541" spans="1:12" x14ac:dyDescent="0.25">
      <c r="A5541"/>
      <c r="B5541"/>
      <c r="D5541"/>
      <c r="G5541"/>
      <c r="L5541"/>
    </row>
    <row r="5542" spans="1:12" x14ac:dyDescent="0.25">
      <c r="A5542"/>
      <c r="B5542"/>
      <c r="D5542"/>
      <c r="G5542"/>
      <c r="L5542"/>
    </row>
    <row r="5543" spans="1:12" x14ac:dyDescent="0.25">
      <c r="A5543"/>
      <c r="B5543"/>
      <c r="D5543"/>
      <c r="G5543"/>
      <c r="L5543"/>
    </row>
    <row r="5544" spans="1:12" x14ac:dyDescent="0.25">
      <c r="A5544"/>
      <c r="B5544"/>
      <c r="D5544"/>
      <c r="G5544"/>
      <c r="L5544"/>
    </row>
    <row r="5545" spans="1:12" x14ac:dyDescent="0.25">
      <c r="A5545"/>
      <c r="B5545"/>
      <c r="D5545"/>
      <c r="G5545"/>
      <c r="L5545"/>
    </row>
    <row r="5546" spans="1:12" x14ac:dyDescent="0.25">
      <c r="A5546"/>
      <c r="B5546"/>
      <c r="D5546"/>
      <c r="G5546"/>
      <c r="L5546"/>
    </row>
    <row r="5547" spans="1:12" x14ac:dyDescent="0.25">
      <c r="A5547"/>
      <c r="B5547"/>
      <c r="D5547"/>
      <c r="G5547"/>
      <c r="L5547"/>
    </row>
    <row r="5548" spans="1:12" x14ac:dyDescent="0.25">
      <c r="A5548"/>
      <c r="B5548"/>
      <c r="D5548"/>
      <c r="G5548"/>
      <c r="L5548"/>
    </row>
    <row r="5549" spans="1:12" x14ac:dyDescent="0.25">
      <c r="A5549"/>
      <c r="B5549"/>
      <c r="D5549"/>
      <c r="G5549"/>
      <c r="L5549"/>
    </row>
    <row r="5550" spans="1:12" x14ac:dyDescent="0.25">
      <c r="A5550"/>
      <c r="B5550"/>
      <c r="D5550"/>
      <c r="G5550"/>
      <c r="L5550"/>
    </row>
    <row r="5551" spans="1:12" x14ac:dyDescent="0.25">
      <c r="A5551"/>
      <c r="B5551"/>
      <c r="D5551"/>
      <c r="G5551"/>
      <c r="L5551"/>
    </row>
    <row r="5552" spans="1:12" x14ac:dyDescent="0.25">
      <c r="A5552"/>
      <c r="B5552"/>
      <c r="D5552"/>
      <c r="G5552"/>
      <c r="L5552"/>
    </row>
    <row r="5553" spans="1:12" x14ac:dyDescent="0.25">
      <c r="A5553"/>
      <c r="B5553"/>
      <c r="D5553"/>
      <c r="G5553"/>
      <c r="L5553"/>
    </row>
    <row r="5554" spans="1:12" x14ac:dyDescent="0.25">
      <c r="A5554"/>
      <c r="B5554"/>
      <c r="D5554"/>
      <c r="G5554"/>
      <c r="L5554"/>
    </row>
    <row r="5555" spans="1:12" x14ac:dyDescent="0.25">
      <c r="A5555"/>
      <c r="B5555"/>
      <c r="D5555"/>
      <c r="G5555"/>
      <c r="L5555"/>
    </row>
    <row r="5556" spans="1:12" x14ac:dyDescent="0.25">
      <c r="A5556"/>
      <c r="B5556"/>
      <c r="D5556"/>
      <c r="G5556"/>
      <c r="L5556"/>
    </row>
    <row r="5557" spans="1:12" x14ac:dyDescent="0.25">
      <c r="A5557"/>
      <c r="B5557"/>
      <c r="D5557"/>
      <c r="G5557"/>
      <c r="L5557"/>
    </row>
    <row r="5558" spans="1:12" x14ac:dyDescent="0.25">
      <c r="A5558"/>
      <c r="B5558"/>
      <c r="D5558"/>
      <c r="G5558"/>
      <c r="L5558"/>
    </row>
    <row r="5559" spans="1:12" x14ac:dyDescent="0.25">
      <c r="A5559"/>
      <c r="B5559"/>
      <c r="D5559"/>
      <c r="G5559"/>
      <c r="L5559"/>
    </row>
    <row r="5560" spans="1:12" x14ac:dyDescent="0.25">
      <c r="A5560"/>
      <c r="B5560"/>
      <c r="D5560"/>
      <c r="G5560"/>
      <c r="L5560"/>
    </row>
    <row r="5561" spans="1:12" x14ac:dyDescent="0.25">
      <c r="A5561"/>
      <c r="B5561"/>
      <c r="D5561"/>
      <c r="G5561"/>
      <c r="L5561"/>
    </row>
    <row r="5562" spans="1:12" x14ac:dyDescent="0.25">
      <c r="A5562"/>
      <c r="B5562"/>
      <c r="D5562"/>
      <c r="G5562"/>
      <c r="L5562"/>
    </row>
    <row r="5563" spans="1:12" x14ac:dyDescent="0.25">
      <c r="A5563"/>
      <c r="B5563"/>
      <c r="D5563"/>
      <c r="G5563"/>
      <c r="L5563"/>
    </row>
    <row r="5564" spans="1:12" x14ac:dyDescent="0.25">
      <c r="A5564"/>
      <c r="B5564"/>
      <c r="D5564"/>
      <c r="G5564"/>
      <c r="L5564"/>
    </row>
    <row r="5565" spans="1:12" x14ac:dyDescent="0.25">
      <c r="A5565"/>
      <c r="B5565"/>
      <c r="D5565"/>
      <c r="G5565"/>
      <c r="L5565"/>
    </row>
    <row r="5566" spans="1:12" x14ac:dyDescent="0.25">
      <c r="A5566"/>
      <c r="B5566"/>
      <c r="D5566"/>
      <c r="G5566"/>
      <c r="L5566"/>
    </row>
    <row r="5567" spans="1:12" x14ac:dyDescent="0.25">
      <c r="A5567"/>
      <c r="B5567"/>
      <c r="D5567"/>
      <c r="G5567"/>
      <c r="L5567"/>
    </row>
    <row r="5568" spans="1:12" x14ac:dyDescent="0.25">
      <c r="A5568"/>
      <c r="B5568"/>
      <c r="D5568"/>
      <c r="G5568"/>
      <c r="L5568"/>
    </row>
    <row r="5569" spans="1:12" x14ac:dyDescent="0.25">
      <c r="A5569"/>
      <c r="B5569"/>
      <c r="D5569"/>
      <c r="G5569"/>
      <c r="L5569"/>
    </row>
    <row r="5570" spans="1:12" x14ac:dyDescent="0.25">
      <c r="A5570"/>
      <c r="B5570"/>
      <c r="D5570"/>
      <c r="G5570"/>
      <c r="L5570"/>
    </row>
    <row r="5571" spans="1:12" x14ac:dyDescent="0.25">
      <c r="A5571"/>
      <c r="B5571"/>
      <c r="D5571"/>
      <c r="G5571"/>
      <c r="L5571"/>
    </row>
    <row r="5572" spans="1:12" x14ac:dyDescent="0.25">
      <c r="A5572"/>
      <c r="B5572"/>
      <c r="D5572"/>
      <c r="G5572"/>
      <c r="L5572"/>
    </row>
    <row r="5573" spans="1:12" x14ac:dyDescent="0.25">
      <c r="A5573"/>
      <c r="B5573"/>
      <c r="D5573"/>
      <c r="G5573"/>
      <c r="L5573"/>
    </row>
    <row r="5574" spans="1:12" x14ac:dyDescent="0.25">
      <c r="A5574"/>
      <c r="B5574"/>
      <c r="D5574"/>
      <c r="G5574"/>
      <c r="L5574"/>
    </row>
    <row r="5575" spans="1:12" x14ac:dyDescent="0.25">
      <c r="A5575"/>
      <c r="B5575"/>
      <c r="D5575"/>
      <c r="G5575"/>
      <c r="L5575"/>
    </row>
    <row r="5576" spans="1:12" x14ac:dyDescent="0.25">
      <c r="A5576"/>
      <c r="B5576"/>
      <c r="D5576"/>
      <c r="G5576"/>
      <c r="L5576"/>
    </row>
    <row r="5577" spans="1:12" x14ac:dyDescent="0.25">
      <c r="A5577"/>
      <c r="B5577"/>
      <c r="D5577"/>
      <c r="G5577"/>
      <c r="L5577"/>
    </row>
    <row r="5578" spans="1:12" x14ac:dyDescent="0.25">
      <c r="A5578"/>
      <c r="B5578"/>
      <c r="D5578"/>
      <c r="G5578"/>
      <c r="L5578"/>
    </row>
    <row r="5579" spans="1:12" x14ac:dyDescent="0.25">
      <c r="A5579"/>
      <c r="B5579"/>
      <c r="D5579"/>
      <c r="G5579"/>
      <c r="L5579"/>
    </row>
    <row r="5580" spans="1:12" x14ac:dyDescent="0.25">
      <c r="A5580"/>
      <c r="B5580"/>
      <c r="D5580"/>
      <c r="G5580"/>
      <c r="L5580"/>
    </row>
    <row r="5581" spans="1:12" x14ac:dyDescent="0.25">
      <c r="A5581"/>
      <c r="B5581"/>
      <c r="D5581"/>
      <c r="G5581"/>
      <c r="L5581"/>
    </row>
    <row r="5582" spans="1:12" x14ac:dyDescent="0.25">
      <c r="A5582"/>
      <c r="B5582"/>
      <c r="D5582"/>
      <c r="G5582"/>
      <c r="L5582"/>
    </row>
    <row r="5583" spans="1:12" x14ac:dyDescent="0.25">
      <c r="A5583"/>
      <c r="B5583"/>
      <c r="D5583"/>
      <c r="G5583"/>
      <c r="L5583"/>
    </row>
    <row r="5584" spans="1:12" x14ac:dyDescent="0.25">
      <c r="A5584"/>
      <c r="B5584"/>
      <c r="D5584"/>
      <c r="G5584"/>
      <c r="L5584"/>
    </row>
    <row r="5585" spans="1:12" x14ac:dyDescent="0.25">
      <c r="A5585"/>
      <c r="B5585"/>
      <c r="D5585"/>
      <c r="G5585"/>
      <c r="L5585"/>
    </row>
    <row r="5586" spans="1:12" x14ac:dyDescent="0.25">
      <c r="A5586"/>
      <c r="B5586"/>
      <c r="D5586"/>
      <c r="G5586"/>
      <c r="L5586"/>
    </row>
    <row r="5587" spans="1:12" x14ac:dyDescent="0.25">
      <c r="A5587"/>
      <c r="B5587"/>
      <c r="D5587"/>
      <c r="G5587"/>
      <c r="L5587"/>
    </row>
    <row r="5588" spans="1:12" x14ac:dyDescent="0.25">
      <c r="A5588"/>
      <c r="B5588"/>
      <c r="D5588"/>
      <c r="G5588"/>
      <c r="L5588"/>
    </row>
    <row r="5589" spans="1:12" x14ac:dyDescent="0.25">
      <c r="A5589"/>
      <c r="B5589"/>
      <c r="D5589"/>
      <c r="G5589"/>
      <c r="L5589"/>
    </row>
    <row r="5590" spans="1:12" x14ac:dyDescent="0.25">
      <c r="A5590"/>
      <c r="B5590"/>
      <c r="D5590"/>
      <c r="G5590"/>
      <c r="L5590"/>
    </row>
    <row r="5591" spans="1:12" x14ac:dyDescent="0.25">
      <c r="A5591"/>
      <c r="B5591"/>
      <c r="D5591"/>
      <c r="G5591"/>
      <c r="L5591"/>
    </row>
    <row r="5592" spans="1:12" x14ac:dyDescent="0.25">
      <c r="A5592"/>
      <c r="B5592"/>
      <c r="D5592"/>
      <c r="G5592"/>
      <c r="L5592"/>
    </row>
    <row r="5593" spans="1:12" x14ac:dyDescent="0.25">
      <c r="A5593"/>
      <c r="B5593"/>
      <c r="D5593"/>
      <c r="G5593"/>
      <c r="L5593"/>
    </row>
    <row r="5594" spans="1:12" x14ac:dyDescent="0.25">
      <c r="A5594"/>
      <c r="B5594"/>
      <c r="D5594"/>
      <c r="G5594"/>
      <c r="L5594"/>
    </row>
    <row r="5595" spans="1:12" x14ac:dyDescent="0.25">
      <c r="A5595"/>
      <c r="B5595"/>
      <c r="D5595"/>
      <c r="G5595"/>
      <c r="L5595"/>
    </row>
    <row r="5596" spans="1:12" x14ac:dyDescent="0.25">
      <c r="A5596"/>
      <c r="B5596"/>
      <c r="D5596"/>
      <c r="G5596"/>
      <c r="L5596"/>
    </row>
    <row r="5597" spans="1:12" x14ac:dyDescent="0.25">
      <c r="A5597"/>
      <c r="B5597"/>
      <c r="D5597"/>
      <c r="G5597"/>
      <c r="L5597"/>
    </row>
    <row r="5598" spans="1:12" x14ac:dyDescent="0.25">
      <c r="A5598"/>
      <c r="B5598"/>
      <c r="D5598"/>
      <c r="G5598"/>
      <c r="L5598"/>
    </row>
    <row r="5599" spans="1:12" x14ac:dyDescent="0.25">
      <c r="A5599"/>
      <c r="B5599"/>
      <c r="D5599"/>
      <c r="G5599"/>
      <c r="L5599"/>
    </row>
    <row r="5600" spans="1:12" x14ac:dyDescent="0.25">
      <c r="A5600"/>
      <c r="B5600"/>
      <c r="D5600"/>
      <c r="G5600"/>
      <c r="L5600"/>
    </row>
    <row r="5601" spans="1:12" x14ac:dyDescent="0.25">
      <c r="A5601"/>
      <c r="B5601"/>
      <c r="D5601"/>
      <c r="G5601"/>
      <c r="L5601"/>
    </row>
    <row r="5602" spans="1:12" x14ac:dyDescent="0.25">
      <c r="A5602"/>
      <c r="B5602"/>
      <c r="D5602"/>
      <c r="G5602"/>
      <c r="L5602"/>
    </row>
    <row r="5603" spans="1:12" x14ac:dyDescent="0.25">
      <c r="A5603"/>
      <c r="B5603"/>
      <c r="D5603"/>
      <c r="G5603"/>
      <c r="L5603"/>
    </row>
    <row r="5604" spans="1:12" x14ac:dyDescent="0.25">
      <c r="A5604"/>
      <c r="B5604"/>
      <c r="D5604"/>
      <c r="G5604"/>
      <c r="L5604"/>
    </row>
    <row r="5605" spans="1:12" x14ac:dyDescent="0.25">
      <c r="A5605"/>
      <c r="B5605"/>
      <c r="D5605"/>
      <c r="G5605"/>
      <c r="L5605"/>
    </row>
    <row r="5606" spans="1:12" x14ac:dyDescent="0.25">
      <c r="A5606"/>
      <c r="B5606"/>
      <c r="D5606"/>
      <c r="G5606"/>
      <c r="L5606"/>
    </row>
    <row r="5607" spans="1:12" x14ac:dyDescent="0.25">
      <c r="A5607"/>
      <c r="B5607"/>
      <c r="D5607"/>
      <c r="G5607"/>
      <c r="L5607"/>
    </row>
    <row r="5608" spans="1:12" x14ac:dyDescent="0.25">
      <c r="A5608"/>
      <c r="B5608"/>
      <c r="D5608"/>
      <c r="G5608"/>
      <c r="L5608"/>
    </row>
    <row r="5609" spans="1:12" x14ac:dyDescent="0.25">
      <c r="A5609"/>
      <c r="B5609"/>
      <c r="D5609"/>
      <c r="G5609"/>
      <c r="L5609"/>
    </row>
    <row r="5610" spans="1:12" x14ac:dyDescent="0.25">
      <c r="A5610"/>
      <c r="B5610"/>
      <c r="D5610"/>
      <c r="G5610"/>
      <c r="L5610"/>
    </row>
    <row r="5611" spans="1:12" x14ac:dyDescent="0.25">
      <c r="A5611"/>
      <c r="B5611"/>
      <c r="D5611"/>
      <c r="G5611"/>
      <c r="L5611"/>
    </row>
    <row r="5612" spans="1:12" x14ac:dyDescent="0.25">
      <c r="A5612"/>
      <c r="B5612"/>
      <c r="D5612"/>
      <c r="G5612"/>
      <c r="L5612"/>
    </row>
    <row r="5613" spans="1:12" x14ac:dyDescent="0.25">
      <c r="A5613"/>
      <c r="B5613"/>
      <c r="D5613"/>
      <c r="G5613"/>
      <c r="L5613"/>
    </row>
    <row r="5614" spans="1:12" x14ac:dyDescent="0.25">
      <c r="A5614"/>
      <c r="B5614"/>
      <c r="D5614"/>
      <c r="G5614"/>
      <c r="L5614"/>
    </row>
    <row r="5615" spans="1:12" x14ac:dyDescent="0.25">
      <c r="A5615"/>
      <c r="B5615"/>
      <c r="D5615"/>
      <c r="G5615"/>
      <c r="L5615"/>
    </row>
    <row r="5616" spans="1:12" x14ac:dyDescent="0.25">
      <c r="A5616"/>
      <c r="B5616"/>
      <c r="D5616"/>
      <c r="G5616"/>
      <c r="L5616"/>
    </row>
    <row r="5617" spans="1:12" x14ac:dyDescent="0.25">
      <c r="A5617"/>
      <c r="B5617"/>
      <c r="D5617"/>
      <c r="G5617"/>
      <c r="L5617"/>
    </row>
    <row r="5618" spans="1:12" x14ac:dyDescent="0.25">
      <c r="A5618"/>
      <c r="B5618"/>
      <c r="D5618"/>
      <c r="G5618"/>
      <c r="L5618"/>
    </row>
    <row r="5619" spans="1:12" x14ac:dyDescent="0.25">
      <c r="A5619"/>
      <c r="B5619"/>
      <c r="D5619"/>
      <c r="G5619"/>
      <c r="L5619"/>
    </row>
    <row r="5620" spans="1:12" x14ac:dyDescent="0.25">
      <c r="A5620"/>
      <c r="B5620"/>
      <c r="D5620"/>
      <c r="G5620"/>
      <c r="L5620"/>
    </row>
    <row r="5621" spans="1:12" x14ac:dyDescent="0.25">
      <c r="A5621"/>
      <c r="B5621"/>
      <c r="D5621"/>
      <c r="G5621"/>
      <c r="L5621"/>
    </row>
    <row r="5622" spans="1:12" x14ac:dyDescent="0.25">
      <c r="A5622"/>
      <c r="B5622"/>
      <c r="D5622"/>
      <c r="G5622"/>
      <c r="L5622"/>
    </row>
    <row r="5623" spans="1:12" x14ac:dyDescent="0.25">
      <c r="A5623"/>
      <c r="B5623"/>
      <c r="D5623"/>
      <c r="G5623"/>
      <c r="L5623"/>
    </row>
    <row r="5624" spans="1:12" x14ac:dyDescent="0.25">
      <c r="A5624"/>
      <c r="B5624"/>
      <c r="D5624"/>
      <c r="G5624"/>
      <c r="L5624"/>
    </row>
    <row r="5625" spans="1:12" x14ac:dyDescent="0.25">
      <c r="A5625"/>
      <c r="B5625"/>
      <c r="D5625"/>
      <c r="G5625"/>
      <c r="L5625"/>
    </row>
    <row r="5626" spans="1:12" x14ac:dyDescent="0.25">
      <c r="A5626"/>
      <c r="B5626"/>
      <c r="D5626"/>
      <c r="G5626"/>
      <c r="L5626"/>
    </row>
    <row r="5627" spans="1:12" x14ac:dyDescent="0.25">
      <c r="A5627"/>
      <c r="B5627"/>
      <c r="D5627"/>
      <c r="G5627"/>
      <c r="L5627"/>
    </row>
    <row r="5628" spans="1:12" x14ac:dyDescent="0.25">
      <c r="A5628"/>
      <c r="B5628"/>
      <c r="D5628"/>
      <c r="G5628"/>
      <c r="L5628"/>
    </row>
    <row r="5629" spans="1:12" x14ac:dyDescent="0.25">
      <c r="A5629"/>
      <c r="B5629"/>
      <c r="D5629"/>
      <c r="G5629"/>
      <c r="L5629"/>
    </row>
    <row r="5630" spans="1:12" x14ac:dyDescent="0.25">
      <c r="A5630"/>
      <c r="B5630"/>
      <c r="D5630"/>
      <c r="G5630"/>
      <c r="L5630"/>
    </row>
    <row r="5631" spans="1:12" x14ac:dyDescent="0.25">
      <c r="A5631"/>
      <c r="B5631"/>
      <c r="D5631"/>
      <c r="G5631"/>
      <c r="L5631"/>
    </row>
    <row r="5632" spans="1:12" x14ac:dyDescent="0.25">
      <c r="A5632"/>
      <c r="B5632"/>
      <c r="D5632"/>
      <c r="G5632"/>
      <c r="L5632"/>
    </row>
    <row r="5633" spans="1:12" x14ac:dyDescent="0.25">
      <c r="A5633"/>
      <c r="B5633"/>
      <c r="D5633"/>
      <c r="G5633"/>
      <c r="L5633"/>
    </row>
    <row r="5634" spans="1:12" x14ac:dyDescent="0.25">
      <c r="A5634"/>
      <c r="B5634"/>
      <c r="D5634"/>
      <c r="G5634"/>
      <c r="L5634"/>
    </row>
    <row r="5635" spans="1:12" x14ac:dyDescent="0.25">
      <c r="A5635"/>
      <c r="B5635"/>
      <c r="D5635"/>
      <c r="G5635"/>
      <c r="L5635"/>
    </row>
    <row r="5636" spans="1:12" x14ac:dyDescent="0.25">
      <c r="A5636"/>
      <c r="B5636"/>
      <c r="D5636"/>
      <c r="G5636"/>
      <c r="L5636"/>
    </row>
    <row r="5637" spans="1:12" x14ac:dyDescent="0.25">
      <c r="A5637"/>
      <c r="B5637"/>
      <c r="D5637"/>
      <c r="G5637"/>
      <c r="L5637"/>
    </row>
    <row r="5638" spans="1:12" x14ac:dyDescent="0.25">
      <c r="A5638"/>
      <c r="B5638"/>
      <c r="D5638"/>
      <c r="G5638"/>
      <c r="L5638"/>
    </row>
    <row r="5639" spans="1:12" x14ac:dyDescent="0.25">
      <c r="A5639"/>
      <c r="B5639"/>
      <c r="D5639"/>
      <c r="G5639"/>
      <c r="L5639"/>
    </row>
    <row r="5640" spans="1:12" x14ac:dyDescent="0.25">
      <c r="A5640"/>
      <c r="B5640"/>
      <c r="D5640"/>
      <c r="G5640"/>
      <c r="L5640"/>
    </row>
    <row r="5641" spans="1:12" x14ac:dyDescent="0.25">
      <c r="A5641"/>
      <c r="B5641"/>
      <c r="D5641"/>
      <c r="G5641"/>
      <c r="L5641"/>
    </row>
    <row r="5642" spans="1:12" x14ac:dyDescent="0.25">
      <c r="A5642"/>
      <c r="B5642"/>
      <c r="D5642"/>
      <c r="G5642"/>
      <c r="L5642"/>
    </row>
    <row r="5643" spans="1:12" x14ac:dyDescent="0.25">
      <c r="A5643"/>
      <c r="B5643"/>
      <c r="D5643"/>
      <c r="G5643"/>
      <c r="L5643"/>
    </row>
    <row r="5644" spans="1:12" x14ac:dyDescent="0.25">
      <c r="A5644"/>
      <c r="B5644"/>
      <c r="D5644"/>
      <c r="G5644"/>
      <c r="L5644"/>
    </row>
    <row r="5645" spans="1:12" x14ac:dyDescent="0.25">
      <c r="A5645"/>
      <c r="B5645"/>
      <c r="D5645"/>
      <c r="G5645"/>
      <c r="L5645"/>
    </row>
    <row r="5646" spans="1:12" x14ac:dyDescent="0.25">
      <c r="A5646"/>
      <c r="B5646"/>
      <c r="D5646"/>
      <c r="G5646"/>
      <c r="L5646"/>
    </row>
    <row r="5647" spans="1:12" x14ac:dyDescent="0.25">
      <c r="A5647"/>
      <c r="B5647"/>
      <c r="D5647"/>
      <c r="G5647"/>
      <c r="L5647"/>
    </row>
    <row r="5648" spans="1:12" x14ac:dyDescent="0.25">
      <c r="A5648"/>
      <c r="B5648"/>
      <c r="D5648"/>
      <c r="G5648"/>
      <c r="L5648"/>
    </row>
    <row r="5649" spans="1:12" x14ac:dyDescent="0.25">
      <c r="A5649"/>
      <c r="B5649"/>
      <c r="D5649"/>
      <c r="G5649"/>
      <c r="L5649"/>
    </row>
    <row r="5650" spans="1:12" x14ac:dyDescent="0.25">
      <c r="A5650"/>
      <c r="B5650"/>
      <c r="D5650"/>
      <c r="G5650"/>
      <c r="L5650"/>
    </row>
    <row r="5651" spans="1:12" x14ac:dyDescent="0.25">
      <c r="A5651"/>
      <c r="B5651"/>
      <c r="D5651"/>
      <c r="G5651"/>
      <c r="L5651"/>
    </row>
    <row r="5652" spans="1:12" x14ac:dyDescent="0.25">
      <c r="A5652"/>
      <c r="B5652"/>
      <c r="D5652"/>
      <c r="G5652"/>
      <c r="L5652"/>
    </row>
    <row r="5653" spans="1:12" x14ac:dyDescent="0.25">
      <c r="A5653"/>
      <c r="B5653"/>
      <c r="D5653"/>
      <c r="G5653"/>
      <c r="L5653"/>
    </row>
    <row r="5654" spans="1:12" x14ac:dyDescent="0.25">
      <c r="A5654"/>
      <c r="B5654"/>
      <c r="D5654"/>
      <c r="G5654"/>
      <c r="L5654"/>
    </row>
    <row r="5655" spans="1:12" x14ac:dyDescent="0.25">
      <c r="A5655"/>
      <c r="B5655"/>
      <c r="D5655"/>
      <c r="G5655"/>
      <c r="L5655"/>
    </row>
    <row r="5656" spans="1:12" x14ac:dyDescent="0.25">
      <c r="A5656"/>
      <c r="B5656"/>
      <c r="D5656"/>
      <c r="G5656"/>
      <c r="L5656"/>
    </row>
    <row r="5657" spans="1:12" x14ac:dyDescent="0.25">
      <c r="A5657"/>
      <c r="B5657"/>
      <c r="D5657"/>
      <c r="G5657"/>
      <c r="L5657"/>
    </row>
    <row r="5658" spans="1:12" x14ac:dyDescent="0.25">
      <c r="A5658"/>
      <c r="B5658"/>
      <c r="D5658"/>
      <c r="G5658"/>
      <c r="L5658"/>
    </row>
    <row r="5659" spans="1:12" x14ac:dyDescent="0.25">
      <c r="A5659"/>
      <c r="B5659"/>
      <c r="D5659"/>
      <c r="G5659"/>
      <c r="L5659"/>
    </row>
    <row r="5660" spans="1:12" x14ac:dyDescent="0.25">
      <c r="A5660"/>
      <c r="B5660"/>
      <c r="D5660"/>
      <c r="G5660"/>
      <c r="L5660"/>
    </row>
    <row r="5661" spans="1:12" x14ac:dyDescent="0.25">
      <c r="A5661"/>
      <c r="B5661"/>
      <c r="D5661"/>
      <c r="G5661"/>
      <c r="L5661"/>
    </row>
    <row r="5662" spans="1:12" x14ac:dyDescent="0.25">
      <c r="A5662"/>
      <c r="B5662"/>
      <c r="D5662"/>
      <c r="G5662"/>
      <c r="L5662"/>
    </row>
    <row r="5663" spans="1:12" x14ac:dyDescent="0.25">
      <c r="A5663"/>
      <c r="B5663"/>
      <c r="D5663"/>
      <c r="G5663"/>
      <c r="L5663"/>
    </row>
    <row r="5664" spans="1:12" x14ac:dyDescent="0.25">
      <c r="A5664"/>
      <c r="B5664"/>
      <c r="D5664"/>
      <c r="G5664"/>
      <c r="L5664"/>
    </row>
    <row r="5665" spans="1:12" x14ac:dyDescent="0.25">
      <c r="A5665"/>
      <c r="B5665"/>
      <c r="D5665"/>
      <c r="G5665"/>
      <c r="L5665"/>
    </row>
    <row r="5666" spans="1:12" x14ac:dyDescent="0.25">
      <c r="A5666"/>
      <c r="B5666"/>
      <c r="D5666"/>
      <c r="G5666"/>
      <c r="L5666"/>
    </row>
    <row r="5667" spans="1:12" x14ac:dyDescent="0.25">
      <c r="A5667"/>
      <c r="B5667"/>
      <c r="D5667"/>
      <c r="G5667"/>
      <c r="L5667"/>
    </row>
    <row r="5668" spans="1:12" x14ac:dyDescent="0.25">
      <c r="A5668"/>
      <c r="B5668"/>
      <c r="D5668"/>
      <c r="G5668"/>
      <c r="L5668"/>
    </row>
    <row r="5669" spans="1:12" x14ac:dyDescent="0.25">
      <c r="A5669"/>
      <c r="B5669"/>
      <c r="D5669"/>
      <c r="G5669"/>
      <c r="L5669"/>
    </row>
    <row r="5670" spans="1:12" x14ac:dyDescent="0.25">
      <c r="A5670"/>
      <c r="B5670"/>
      <c r="D5670"/>
      <c r="G5670"/>
      <c r="L5670"/>
    </row>
    <row r="5671" spans="1:12" x14ac:dyDescent="0.25">
      <c r="A5671"/>
      <c r="B5671"/>
      <c r="D5671"/>
      <c r="G5671"/>
      <c r="L5671"/>
    </row>
    <row r="5672" spans="1:12" x14ac:dyDescent="0.25">
      <c r="A5672"/>
      <c r="B5672"/>
      <c r="D5672"/>
      <c r="G5672"/>
      <c r="L5672"/>
    </row>
    <row r="5673" spans="1:12" x14ac:dyDescent="0.25">
      <c r="A5673"/>
      <c r="B5673"/>
      <c r="D5673"/>
      <c r="G5673"/>
      <c r="L5673"/>
    </row>
    <row r="5674" spans="1:12" x14ac:dyDescent="0.25">
      <c r="A5674"/>
      <c r="B5674"/>
      <c r="D5674"/>
      <c r="G5674"/>
      <c r="L5674"/>
    </row>
    <row r="5675" spans="1:12" x14ac:dyDescent="0.25">
      <c r="A5675"/>
      <c r="B5675"/>
      <c r="D5675"/>
      <c r="G5675"/>
      <c r="L5675"/>
    </row>
    <row r="5676" spans="1:12" x14ac:dyDescent="0.25">
      <c r="A5676"/>
      <c r="B5676"/>
      <c r="D5676"/>
      <c r="G5676"/>
      <c r="L5676"/>
    </row>
    <row r="5677" spans="1:12" x14ac:dyDescent="0.25">
      <c r="A5677"/>
      <c r="B5677"/>
      <c r="D5677"/>
      <c r="G5677"/>
      <c r="L5677"/>
    </row>
    <row r="5678" spans="1:12" x14ac:dyDescent="0.25">
      <c r="A5678"/>
      <c r="B5678"/>
      <c r="D5678"/>
      <c r="G5678"/>
      <c r="L5678"/>
    </row>
    <row r="5679" spans="1:12" x14ac:dyDescent="0.25">
      <c r="A5679"/>
      <c r="B5679"/>
      <c r="D5679"/>
      <c r="G5679"/>
      <c r="L5679"/>
    </row>
    <row r="5680" spans="1:12" x14ac:dyDescent="0.25">
      <c r="A5680"/>
      <c r="B5680"/>
      <c r="D5680"/>
      <c r="G5680"/>
      <c r="L5680"/>
    </row>
    <row r="5681" spans="1:12" x14ac:dyDescent="0.25">
      <c r="A5681"/>
      <c r="B5681"/>
      <c r="D5681"/>
      <c r="G5681"/>
      <c r="L5681"/>
    </row>
    <row r="5682" spans="1:12" x14ac:dyDescent="0.25">
      <c r="A5682"/>
      <c r="B5682"/>
      <c r="D5682"/>
      <c r="G5682"/>
      <c r="L5682"/>
    </row>
    <row r="5683" spans="1:12" x14ac:dyDescent="0.25">
      <c r="A5683"/>
      <c r="B5683"/>
      <c r="D5683"/>
      <c r="G5683"/>
      <c r="L5683"/>
    </row>
    <row r="5684" spans="1:12" x14ac:dyDescent="0.25">
      <c r="A5684"/>
      <c r="B5684"/>
      <c r="D5684"/>
      <c r="G5684"/>
      <c r="L5684"/>
    </row>
    <row r="5685" spans="1:12" x14ac:dyDescent="0.25">
      <c r="A5685"/>
      <c r="B5685"/>
      <c r="D5685"/>
      <c r="G5685"/>
      <c r="L5685"/>
    </row>
    <row r="5686" spans="1:12" x14ac:dyDescent="0.25">
      <c r="A5686"/>
      <c r="B5686"/>
      <c r="D5686"/>
      <c r="G5686"/>
      <c r="L5686"/>
    </row>
    <row r="5687" spans="1:12" x14ac:dyDescent="0.25">
      <c r="A5687"/>
      <c r="B5687"/>
      <c r="D5687"/>
      <c r="G5687"/>
      <c r="L5687"/>
    </row>
    <row r="5688" spans="1:12" x14ac:dyDescent="0.25">
      <c r="A5688"/>
      <c r="B5688"/>
      <c r="D5688"/>
      <c r="G5688"/>
      <c r="L5688"/>
    </row>
    <row r="5689" spans="1:12" x14ac:dyDescent="0.25">
      <c r="A5689"/>
      <c r="B5689"/>
      <c r="D5689"/>
      <c r="G5689"/>
      <c r="L5689"/>
    </row>
    <row r="5690" spans="1:12" x14ac:dyDescent="0.25">
      <c r="A5690"/>
      <c r="B5690"/>
      <c r="D5690"/>
      <c r="G5690"/>
      <c r="L5690"/>
    </row>
    <row r="5691" spans="1:12" x14ac:dyDescent="0.25">
      <c r="A5691"/>
      <c r="B5691"/>
      <c r="D5691"/>
      <c r="G5691"/>
      <c r="L5691"/>
    </row>
    <row r="5692" spans="1:12" x14ac:dyDescent="0.25">
      <c r="A5692"/>
      <c r="B5692"/>
      <c r="D5692"/>
      <c r="G5692"/>
      <c r="L5692"/>
    </row>
    <row r="5693" spans="1:12" x14ac:dyDescent="0.25">
      <c r="A5693"/>
      <c r="B5693"/>
      <c r="D5693"/>
      <c r="G5693"/>
      <c r="L5693"/>
    </row>
    <row r="5694" spans="1:12" x14ac:dyDescent="0.25">
      <c r="A5694"/>
      <c r="B5694"/>
      <c r="D5694"/>
      <c r="G5694"/>
      <c r="L5694"/>
    </row>
    <row r="5695" spans="1:12" x14ac:dyDescent="0.25">
      <c r="A5695"/>
      <c r="B5695"/>
      <c r="D5695"/>
      <c r="G5695"/>
      <c r="L5695"/>
    </row>
    <row r="5696" spans="1:12" x14ac:dyDescent="0.25">
      <c r="A5696"/>
      <c r="B5696"/>
      <c r="D5696"/>
      <c r="G5696"/>
      <c r="L5696"/>
    </row>
    <row r="5697" spans="1:12" x14ac:dyDescent="0.25">
      <c r="A5697"/>
      <c r="B5697"/>
      <c r="D5697"/>
      <c r="G5697"/>
      <c r="L5697"/>
    </row>
    <row r="5698" spans="1:12" x14ac:dyDescent="0.25">
      <c r="A5698"/>
      <c r="B5698"/>
      <c r="D5698"/>
      <c r="G5698"/>
      <c r="L5698"/>
    </row>
    <row r="5699" spans="1:12" x14ac:dyDescent="0.25">
      <c r="A5699"/>
      <c r="B5699"/>
      <c r="D5699"/>
      <c r="G5699"/>
      <c r="L5699"/>
    </row>
    <row r="5700" spans="1:12" x14ac:dyDescent="0.25">
      <c r="A5700"/>
      <c r="B5700"/>
      <c r="D5700"/>
      <c r="G5700"/>
      <c r="L5700"/>
    </row>
    <row r="5701" spans="1:12" x14ac:dyDescent="0.25">
      <c r="A5701"/>
      <c r="B5701"/>
      <c r="D5701"/>
      <c r="G5701"/>
      <c r="L5701"/>
    </row>
    <row r="5702" spans="1:12" x14ac:dyDescent="0.25">
      <c r="A5702"/>
      <c r="B5702"/>
      <c r="D5702"/>
      <c r="G5702"/>
      <c r="L5702"/>
    </row>
    <row r="5703" spans="1:12" x14ac:dyDescent="0.25">
      <c r="A5703"/>
      <c r="B5703"/>
      <c r="D5703"/>
      <c r="G5703"/>
      <c r="L5703"/>
    </row>
    <row r="5704" spans="1:12" x14ac:dyDescent="0.25">
      <c r="A5704"/>
      <c r="B5704"/>
      <c r="D5704"/>
      <c r="G5704"/>
      <c r="L5704"/>
    </row>
    <row r="5705" spans="1:12" x14ac:dyDescent="0.25">
      <c r="A5705"/>
      <c r="B5705"/>
      <c r="D5705"/>
      <c r="G5705"/>
      <c r="L5705"/>
    </row>
    <row r="5706" spans="1:12" x14ac:dyDescent="0.25">
      <c r="A5706"/>
      <c r="B5706"/>
      <c r="D5706"/>
      <c r="G5706"/>
      <c r="L5706"/>
    </row>
    <row r="5707" spans="1:12" x14ac:dyDescent="0.25">
      <c r="A5707"/>
      <c r="B5707"/>
      <c r="D5707"/>
      <c r="G5707"/>
      <c r="L5707"/>
    </row>
    <row r="5708" spans="1:12" x14ac:dyDescent="0.25">
      <c r="A5708"/>
      <c r="B5708"/>
      <c r="D5708"/>
      <c r="G5708"/>
      <c r="L5708"/>
    </row>
    <row r="5709" spans="1:12" x14ac:dyDescent="0.25">
      <c r="A5709"/>
      <c r="B5709"/>
      <c r="D5709"/>
      <c r="G5709"/>
      <c r="L5709"/>
    </row>
    <row r="5710" spans="1:12" x14ac:dyDescent="0.25">
      <c r="A5710"/>
      <c r="B5710"/>
      <c r="D5710"/>
      <c r="G5710"/>
      <c r="L5710"/>
    </row>
    <row r="5711" spans="1:12" x14ac:dyDescent="0.25">
      <c r="A5711"/>
      <c r="B5711"/>
      <c r="D5711"/>
      <c r="G5711"/>
      <c r="L5711"/>
    </row>
    <row r="5712" spans="1:12" x14ac:dyDescent="0.25">
      <c r="A5712"/>
      <c r="B5712"/>
      <c r="D5712"/>
      <c r="G5712"/>
      <c r="L5712"/>
    </row>
    <row r="5713" spans="1:12" x14ac:dyDescent="0.25">
      <c r="A5713"/>
      <c r="B5713"/>
      <c r="D5713"/>
      <c r="G5713"/>
      <c r="L5713"/>
    </row>
    <row r="5714" spans="1:12" x14ac:dyDescent="0.25">
      <c r="A5714"/>
      <c r="B5714"/>
      <c r="D5714"/>
      <c r="G5714"/>
      <c r="L5714"/>
    </row>
    <row r="5715" spans="1:12" x14ac:dyDescent="0.25">
      <c r="A5715"/>
      <c r="B5715"/>
      <c r="D5715"/>
      <c r="G5715"/>
      <c r="L5715"/>
    </row>
    <row r="5716" spans="1:12" x14ac:dyDescent="0.25">
      <c r="A5716"/>
      <c r="B5716"/>
      <c r="D5716"/>
      <c r="G5716"/>
      <c r="L5716"/>
    </row>
    <row r="5717" spans="1:12" x14ac:dyDescent="0.25">
      <c r="A5717"/>
      <c r="B5717"/>
      <c r="D5717"/>
      <c r="G5717"/>
      <c r="L5717"/>
    </row>
    <row r="5718" spans="1:12" x14ac:dyDescent="0.25">
      <c r="A5718"/>
      <c r="B5718"/>
      <c r="D5718"/>
      <c r="G5718"/>
      <c r="L5718"/>
    </row>
    <row r="5719" spans="1:12" x14ac:dyDescent="0.25">
      <c r="A5719"/>
      <c r="B5719"/>
      <c r="D5719"/>
      <c r="G5719"/>
      <c r="L5719"/>
    </row>
    <row r="5720" spans="1:12" x14ac:dyDescent="0.25">
      <c r="A5720"/>
      <c r="B5720"/>
      <c r="D5720"/>
      <c r="G5720"/>
      <c r="L5720"/>
    </row>
    <row r="5721" spans="1:12" x14ac:dyDescent="0.25">
      <c r="A5721"/>
      <c r="B5721"/>
      <c r="D5721"/>
      <c r="G5721"/>
      <c r="L5721"/>
    </row>
    <row r="5722" spans="1:12" x14ac:dyDescent="0.25">
      <c r="A5722"/>
      <c r="B5722"/>
      <c r="D5722"/>
      <c r="G5722"/>
      <c r="L5722"/>
    </row>
    <row r="5723" spans="1:12" x14ac:dyDescent="0.25">
      <c r="A5723"/>
      <c r="B5723"/>
      <c r="D5723"/>
      <c r="G5723"/>
      <c r="L5723"/>
    </row>
    <row r="5724" spans="1:12" x14ac:dyDescent="0.25">
      <c r="A5724"/>
      <c r="B5724"/>
      <c r="D5724"/>
      <c r="G5724"/>
      <c r="L5724"/>
    </row>
    <row r="5725" spans="1:12" x14ac:dyDescent="0.25">
      <c r="A5725"/>
      <c r="B5725"/>
      <c r="D5725"/>
      <c r="G5725"/>
      <c r="L5725"/>
    </row>
    <row r="5726" spans="1:12" x14ac:dyDescent="0.25">
      <c r="A5726"/>
      <c r="B5726"/>
      <c r="D5726"/>
      <c r="G5726"/>
      <c r="L5726"/>
    </row>
    <row r="5727" spans="1:12" x14ac:dyDescent="0.25">
      <c r="A5727"/>
      <c r="B5727"/>
      <c r="D5727"/>
      <c r="G5727"/>
      <c r="L5727"/>
    </row>
    <row r="5728" spans="1:12" x14ac:dyDescent="0.25">
      <c r="A5728"/>
      <c r="B5728"/>
      <c r="D5728"/>
      <c r="G5728"/>
      <c r="L5728"/>
    </row>
    <row r="5729" spans="1:12" x14ac:dyDescent="0.25">
      <c r="A5729"/>
      <c r="B5729"/>
      <c r="D5729"/>
      <c r="G5729"/>
      <c r="L5729"/>
    </row>
    <row r="5730" spans="1:12" x14ac:dyDescent="0.25">
      <c r="A5730"/>
      <c r="B5730"/>
      <c r="D5730"/>
      <c r="G5730"/>
      <c r="L5730"/>
    </row>
    <row r="5731" spans="1:12" x14ac:dyDescent="0.25">
      <c r="A5731"/>
      <c r="B5731"/>
      <c r="D5731"/>
      <c r="G5731"/>
      <c r="L5731"/>
    </row>
    <row r="5732" spans="1:12" x14ac:dyDescent="0.25">
      <c r="A5732"/>
      <c r="B5732"/>
      <c r="D5732"/>
      <c r="G5732"/>
      <c r="L5732"/>
    </row>
    <row r="5733" spans="1:12" x14ac:dyDescent="0.25">
      <c r="A5733"/>
      <c r="B5733"/>
      <c r="D5733"/>
      <c r="G5733"/>
      <c r="L5733"/>
    </row>
    <row r="5734" spans="1:12" x14ac:dyDescent="0.25">
      <c r="A5734"/>
      <c r="B5734"/>
      <c r="D5734"/>
      <c r="G5734"/>
      <c r="L5734"/>
    </row>
    <row r="5735" spans="1:12" x14ac:dyDescent="0.25">
      <c r="A5735"/>
      <c r="B5735"/>
      <c r="D5735"/>
      <c r="G5735"/>
      <c r="L5735"/>
    </row>
    <row r="5736" spans="1:12" x14ac:dyDescent="0.25">
      <c r="A5736"/>
      <c r="B5736"/>
      <c r="D5736"/>
      <c r="G5736"/>
      <c r="L5736"/>
    </row>
    <row r="5737" spans="1:12" x14ac:dyDescent="0.25">
      <c r="A5737"/>
      <c r="B5737"/>
      <c r="D5737"/>
      <c r="G5737"/>
      <c r="L5737"/>
    </row>
    <row r="5738" spans="1:12" x14ac:dyDescent="0.25">
      <c r="A5738"/>
      <c r="B5738"/>
      <c r="D5738"/>
      <c r="G5738"/>
      <c r="L5738"/>
    </row>
    <row r="5739" spans="1:12" x14ac:dyDescent="0.25">
      <c r="A5739"/>
      <c r="B5739"/>
      <c r="D5739"/>
      <c r="G5739"/>
      <c r="L5739"/>
    </row>
    <row r="5740" spans="1:12" x14ac:dyDescent="0.25">
      <c r="A5740"/>
      <c r="B5740"/>
      <c r="D5740"/>
      <c r="G5740"/>
      <c r="L5740"/>
    </row>
    <row r="5741" spans="1:12" x14ac:dyDescent="0.25">
      <c r="A5741"/>
      <c r="B5741"/>
      <c r="D5741"/>
      <c r="G5741"/>
      <c r="L5741"/>
    </row>
    <row r="5742" spans="1:12" x14ac:dyDescent="0.25">
      <c r="A5742"/>
      <c r="B5742"/>
      <c r="D5742"/>
      <c r="G5742"/>
      <c r="L5742"/>
    </row>
    <row r="5743" spans="1:12" x14ac:dyDescent="0.25">
      <c r="A5743"/>
      <c r="B5743"/>
      <c r="D5743"/>
      <c r="G5743"/>
      <c r="L5743"/>
    </row>
    <row r="5744" spans="1:12" x14ac:dyDescent="0.25">
      <c r="A5744"/>
      <c r="B5744"/>
      <c r="D5744"/>
      <c r="G5744"/>
      <c r="L5744"/>
    </row>
    <row r="5745" spans="1:12" x14ac:dyDescent="0.25">
      <c r="A5745"/>
      <c r="B5745"/>
      <c r="D5745"/>
      <c r="G5745"/>
      <c r="L5745"/>
    </row>
    <row r="5746" spans="1:12" x14ac:dyDescent="0.25">
      <c r="A5746"/>
      <c r="B5746"/>
      <c r="D5746"/>
      <c r="G5746"/>
      <c r="L5746"/>
    </row>
    <row r="5747" spans="1:12" x14ac:dyDescent="0.25">
      <c r="A5747"/>
      <c r="B5747"/>
      <c r="D5747"/>
      <c r="G5747"/>
      <c r="L5747"/>
    </row>
    <row r="5748" spans="1:12" x14ac:dyDescent="0.25">
      <c r="A5748"/>
      <c r="B5748"/>
      <c r="D5748"/>
      <c r="G5748"/>
      <c r="L5748"/>
    </row>
    <row r="5749" spans="1:12" x14ac:dyDescent="0.25">
      <c r="A5749"/>
      <c r="B5749"/>
      <c r="D5749"/>
      <c r="G5749"/>
      <c r="L5749"/>
    </row>
    <row r="5750" spans="1:12" x14ac:dyDescent="0.25">
      <c r="A5750"/>
      <c r="B5750"/>
      <c r="D5750"/>
      <c r="G5750"/>
      <c r="L5750"/>
    </row>
    <row r="5751" spans="1:12" x14ac:dyDescent="0.25">
      <c r="A5751"/>
      <c r="B5751"/>
      <c r="D5751"/>
      <c r="G5751"/>
      <c r="L5751"/>
    </row>
    <row r="5752" spans="1:12" x14ac:dyDescent="0.25">
      <c r="A5752"/>
      <c r="B5752"/>
      <c r="D5752"/>
      <c r="G5752"/>
      <c r="L5752"/>
    </row>
    <row r="5753" spans="1:12" x14ac:dyDescent="0.25">
      <c r="A5753"/>
      <c r="B5753"/>
      <c r="D5753"/>
      <c r="G5753"/>
      <c r="L5753"/>
    </row>
    <row r="5754" spans="1:12" x14ac:dyDescent="0.25">
      <c r="A5754"/>
      <c r="B5754"/>
      <c r="D5754"/>
      <c r="G5754"/>
      <c r="L5754"/>
    </row>
    <row r="5755" spans="1:12" x14ac:dyDescent="0.25">
      <c r="A5755"/>
      <c r="B5755"/>
      <c r="D5755"/>
      <c r="G5755"/>
      <c r="L5755"/>
    </row>
    <row r="5756" spans="1:12" x14ac:dyDescent="0.25">
      <c r="A5756"/>
      <c r="B5756"/>
      <c r="D5756"/>
      <c r="G5756"/>
      <c r="L5756"/>
    </row>
    <row r="5757" spans="1:12" x14ac:dyDescent="0.25">
      <c r="A5757"/>
      <c r="B5757"/>
      <c r="D5757"/>
      <c r="G5757"/>
      <c r="L5757"/>
    </row>
    <row r="5758" spans="1:12" x14ac:dyDescent="0.25">
      <c r="A5758"/>
      <c r="B5758"/>
      <c r="D5758"/>
      <c r="G5758"/>
      <c r="L5758"/>
    </row>
    <row r="5759" spans="1:12" x14ac:dyDescent="0.25">
      <c r="A5759"/>
      <c r="B5759"/>
      <c r="D5759"/>
      <c r="G5759"/>
      <c r="L5759"/>
    </row>
    <row r="5760" spans="1:12" x14ac:dyDescent="0.25">
      <c r="A5760"/>
      <c r="B5760"/>
      <c r="D5760"/>
      <c r="G5760"/>
      <c r="L5760"/>
    </row>
    <row r="5761" spans="1:12" x14ac:dyDescent="0.25">
      <c r="A5761"/>
      <c r="B5761"/>
      <c r="D5761"/>
      <c r="G5761"/>
      <c r="L5761"/>
    </row>
    <row r="5762" spans="1:12" x14ac:dyDescent="0.25">
      <c r="A5762"/>
      <c r="B5762"/>
      <c r="D5762"/>
      <c r="G5762"/>
      <c r="L5762"/>
    </row>
    <row r="5763" spans="1:12" x14ac:dyDescent="0.25">
      <c r="A5763"/>
      <c r="B5763"/>
      <c r="D5763"/>
      <c r="G5763"/>
      <c r="L5763"/>
    </row>
    <row r="5764" spans="1:12" x14ac:dyDescent="0.25">
      <c r="A5764"/>
      <c r="B5764"/>
      <c r="D5764"/>
      <c r="G5764"/>
      <c r="L5764"/>
    </row>
    <row r="5765" spans="1:12" x14ac:dyDescent="0.25">
      <c r="A5765"/>
      <c r="B5765"/>
      <c r="D5765"/>
      <c r="G5765"/>
      <c r="L5765"/>
    </row>
    <row r="5766" spans="1:12" x14ac:dyDescent="0.25">
      <c r="A5766"/>
      <c r="B5766"/>
      <c r="D5766"/>
      <c r="G5766"/>
      <c r="L5766"/>
    </row>
    <row r="5767" spans="1:12" x14ac:dyDescent="0.25">
      <c r="A5767"/>
      <c r="B5767"/>
      <c r="D5767"/>
      <c r="G5767"/>
      <c r="L5767"/>
    </row>
    <row r="5768" spans="1:12" x14ac:dyDescent="0.25">
      <c r="A5768"/>
      <c r="B5768"/>
      <c r="D5768"/>
      <c r="G5768"/>
      <c r="L5768"/>
    </row>
    <row r="5769" spans="1:12" x14ac:dyDescent="0.25">
      <c r="A5769"/>
      <c r="B5769"/>
      <c r="D5769"/>
      <c r="G5769"/>
      <c r="L5769"/>
    </row>
    <row r="5770" spans="1:12" x14ac:dyDescent="0.25">
      <c r="A5770"/>
      <c r="B5770"/>
      <c r="D5770"/>
      <c r="G5770"/>
      <c r="L5770"/>
    </row>
    <row r="5771" spans="1:12" x14ac:dyDescent="0.25">
      <c r="A5771"/>
      <c r="B5771"/>
      <c r="D5771"/>
      <c r="G5771"/>
      <c r="L5771"/>
    </row>
    <row r="5772" spans="1:12" x14ac:dyDescent="0.25">
      <c r="A5772"/>
      <c r="B5772"/>
      <c r="D5772"/>
      <c r="G5772"/>
      <c r="L5772"/>
    </row>
    <row r="5773" spans="1:12" x14ac:dyDescent="0.25">
      <c r="A5773"/>
      <c r="B5773"/>
      <c r="D5773"/>
      <c r="G5773"/>
      <c r="L5773"/>
    </row>
    <row r="5774" spans="1:12" x14ac:dyDescent="0.25">
      <c r="A5774"/>
      <c r="B5774"/>
      <c r="D5774"/>
      <c r="G5774"/>
      <c r="L5774"/>
    </row>
    <row r="5775" spans="1:12" x14ac:dyDescent="0.25">
      <c r="A5775"/>
      <c r="B5775"/>
      <c r="D5775"/>
      <c r="G5775"/>
      <c r="L5775"/>
    </row>
    <row r="5776" spans="1:12" x14ac:dyDescent="0.25">
      <c r="A5776"/>
      <c r="B5776"/>
      <c r="D5776"/>
      <c r="G5776"/>
      <c r="L5776"/>
    </row>
    <row r="5777" spans="1:12" x14ac:dyDescent="0.25">
      <c r="A5777"/>
      <c r="B5777"/>
      <c r="D5777"/>
      <c r="G5777"/>
      <c r="L5777"/>
    </row>
    <row r="5778" spans="1:12" x14ac:dyDescent="0.25">
      <c r="A5778"/>
      <c r="B5778"/>
      <c r="D5778"/>
      <c r="G5778"/>
      <c r="L5778"/>
    </row>
    <row r="5779" spans="1:12" x14ac:dyDescent="0.25">
      <c r="A5779"/>
      <c r="B5779"/>
      <c r="D5779"/>
      <c r="G5779"/>
      <c r="L5779"/>
    </row>
    <row r="5780" spans="1:12" x14ac:dyDescent="0.25">
      <c r="A5780"/>
      <c r="B5780"/>
      <c r="D5780"/>
      <c r="G5780"/>
      <c r="L5780"/>
    </row>
    <row r="5781" spans="1:12" x14ac:dyDescent="0.25">
      <c r="A5781"/>
      <c r="B5781"/>
      <c r="D5781"/>
      <c r="G5781"/>
      <c r="L5781"/>
    </row>
    <row r="5782" spans="1:12" x14ac:dyDescent="0.25">
      <c r="A5782"/>
      <c r="B5782"/>
      <c r="D5782"/>
      <c r="G5782"/>
      <c r="L5782"/>
    </row>
    <row r="5783" spans="1:12" x14ac:dyDescent="0.25">
      <c r="A5783"/>
      <c r="B5783"/>
      <c r="D5783"/>
      <c r="G5783"/>
      <c r="L5783"/>
    </row>
    <row r="5784" spans="1:12" x14ac:dyDescent="0.25">
      <c r="A5784"/>
      <c r="B5784"/>
      <c r="D5784"/>
      <c r="G5784"/>
      <c r="L5784"/>
    </row>
    <row r="5785" spans="1:12" x14ac:dyDescent="0.25">
      <c r="A5785"/>
      <c r="B5785"/>
      <c r="D5785"/>
      <c r="G5785"/>
      <c r="L5785"/>
    </row>
    <row r="5786" spans="1:12" x14ac:dyDescent="0.25">
      <c r="A5786"/>
      <c r="B5786"/>
      <c r="D5786"/>
      <c r="G5786"/>
      <c r="L5786"/>
    </row>
    <row r="5787" spans="1:12" x14ac:dyDescent="0.25">
      <c r="A5787"/>
      <c r="B5787"/>
      <c r="D5787"/>
      <c r="G5787"/>
      <c r="L5787"/>
    </row>
    <row r="5788" spans="1:12" x14ac:dyDescent="0.25">
      <c r="A5788"/>
      <c r="B5788"/>
      <c r="D5788"/>
      <c r="G5788"/>
      <c r="L5788"/>
    </row>
    <row r="5789" spans="1:12" x14ac:dyDescent="0.25">
      <c r="A5789"/>
      <c r="B5789"/>
      <c r="D5789"/>
      <c r="G5789"/>
      <c r="L5789"/>
    </row>
    <row r="5790" spans="1:12" x14ac:dyDescent="0.25">
      <c r="A5790"/>
      <c r="B5790"/>
      <c r="D5790"/>
      <c r="G5790"/>
      <c r="L5790"/>
    </row>
    <row r="5791" spans="1:12" x14ac:dyDescent="0.25">
      <c r="A5791"/>
      <c r="B5791"/>
      <c r="D5791"/>
      <c r="G5791"/>
      <c r="L5791"/>
    </row>
    <row r="5792" spans="1:12" x14ac:dyDescent="0.25">
      <c r="A5792"/>
      <c r="B5792"/>
      <c r="D5792"/>
      <c r="G5792"/>
      <c r="L5792"/>
    </row>
    <row r="5793" spans="1:12" x14ac:dyDescent="0.25">
      <c r="A5793"/>
      <c r="B5793"/>
      <c r="D5793"/>
      <c r="G5793"/>
      <c r="L5793"/>
    </row>
    <row r="5794" spans="1:12" x14ac:dyDescent="0.25">
      <c r="A5794"/>
      <c r="B5794"/>
      <c r="D5794"/>
      <c r="G5794"/>
      <c r="L5794"/>
    </row>
    <row r="5795" spans="1:12" x14ac:dyDescent="0.25">
      <c r="A5795"/>
      <c r="B5795"/>
      <c r="D5795"/>
      <c r="G5795"/>
      <c r="L5795"/>
    </row>
    <row r="5796" spans="1:12" x14ac:dyDescent="0.25">
      <c r="A5796"/>
      <c r="B5796"/>
      <c r="D5796"/>
      <c r="G5796"/>
      <c r="L5796"/>
    </row>
    <row r="5797" spans="1:12" x14ac:dyDescent="0.25">
      <c r="A5797"/>
      <c r="B5797"/>
      <c r="D5797"/>
      <c r="G5797"/>
      <c r="L5797"/>
    </row>
    <row r="5798" spans="1:12" x14ac:dyDescent="0.25">
      <c r="A5798"/>
      <c r="B5798"/>
      <c r="D5798"/>
      <c r="G5798"/>
      <c r="L5798"/>
    </row>
    <row r="5799" spans="1:12" x14ac:dyDescent="0.25">
      <c r="A5799"/>
      <c r="B5799"/>
      <c r="D5799"/>
      <c r="G5799"/>
      <c r="L5799"/>
    </row>
    <row r="5800" spans="1:12" x14ac:dyDescent="0.25">
      <c r="A5800"/>
      <c r="B5800"/>
      <c r="D5800"/>
      <c r="G5800"/>
      <c r="L5800"/>
    </row>
    <row r="5801" spans="1:12" x14ac:dyDescent="0.25">
      <c r="A5801"/>
      <c r="B5801"/>
      <c r="D5801"/>
      <c r="G5801"/>
      <c r="L5801"/>
    </row>
    <row r="5802" spans="1:12" x14ac:dyDescent="0.25">
      <c r="A5802"/>
      <c r="B5802"/>
      <c r="D5802"/>
      <c r="G5802"/>
      <c r="L5802"/>
    </row>
    <row r="5803" spans="1:12" x14ac:dyDescent="0.25">
      <c r="A5803"/>
      <c r="B5803"/>
      <c r="D5803"/>
      <c r="G5803"/>
      <c r="L5803"/>
    </row>
    <row r="5804" spans="1:12" x14ac:dyDescent="0.25">
      <c r="A5804"/>
      <c r="B5804"/>
      <c r="D5804"/>
      <c r="G5804"/>
      <c r="L5804"/>
    </row>
    <row r="5805" spans="1:12" x14ac:dyDescent="0.25">
      <c r="A5805"/>
      <c r="B5805"/>
      <c r="D5805"/>
      <c r="G5805"/>
      <c r="L5805"/>
    </row>
    <row r="5806" spans="1:12" x14ac:dyDescent="0.25">
      <c r="A5806"/>
      <c r="B5806"/>
      <c r="D5806"/>
      <c r="G5806"/>
      <c r="L5806"/>
    </row>
    <row r="5807" spans="1:12" x14ac:dyDescent="0.25">
      <c r="A5807"/>
      <c r="B5807"/>
      <c r="D5807"/>
      <c r="G5807"/>
      <c r="L5807"/>
    </row>
    <row r="5808" spans="1:12" x14ac:dyDescent="0.25">
      <c r="A5808"/>
      <c r="B5808"/>
      <c r="D5808"/>
      <c r="G5808"/>
      <c r="L5808"/>
    </row>
    <row r="5809" spans="1:12" x14ac:dyDescent="0.25">
      <c r="A5809"/>
      <c r="B5809"/>
      <c r="D5809"/>
      <c r="G5809"/>
      <c r="L5809"/>
    </row>
    <row r="5810" spans="1:12" x14ac:dyDescent="0.25">
      <c r="A5810"/>
      <c r="B5810"/>
      <c r="D5810"/>
      <c r="G5810"/>
      <c r="L5810"/>
    </row>
    <row r="5811" spans="1:12" x14ac:dyDescent="0.25">
      <c r="A5811"/>
      <c r="B5811"/>
      <c r="D5811"/>
      <c r="G5811"/>
      <c r="L5811"/>
    </row>
    <row r="5812" spans="1:12" x14ac:dyDescent="0.25">
      <c r="A5812"/>
      <c r="B5812"/>
      <c r="D5812"/>
      <c r="G5812"/>
      <c r="L5812"/>
    </row>
    <row r="5813" spans="1:12" x14ac:dyDescent="0.25">
      <c r="A5813"/>
      <c r="B5813"/>
      <c r="D5813"/>
      <c r="G5813"/>
      <c r="L5813"/>
    </row>
    <row r="5814" spans="1:12" x14ac:dyDescent="0.25">
      <c r="A5814"/>
      <c r="B5814"/>
      <c r="D5814"/>
      <c r="G5814"/>
      <c r="L5814"/>
    </row>
    <row r="5815" spans="1:12" x14ac:dyDescent="0.25">
      <c r="A5815"/>
      <c r="B5815"/>
      <c r="D5815"/>
      <c r="G5815"/>
      <c r="L5815"/>
    </row>
    <row r="5816" spans="1:12" x14ac:dyDescent="0.25">
      <c r="A5816"/>
      <c r="B5816"/>
      <c r="D5816"/>
      <c r="G5816"/>
      <c r="L5816"/>
    </row>
    <row r="5817" spans="1:12" x14ac:dyDescent="0.25">
      <c r="A5817"/>
      <c r="B5817"/>
      <c r="D5817"/>
      <c r="G5817"/>
      <c r="L5817"/>
    </row>
    <row r="5818" spans="1:12" x14ac:dyDescent="0.25">
      <c r="A5818"/>
      <c r="B5818"/>
      <c r="D5818"/>
      <c r="G5818"/>
      <c r="L5818"/>
    </row>
    <row r="5819" spans="1:12" x14ac:dyDescent="0.25">
      <c r="A5819"/>
      <c r="B5819"/>
      <c r="D5819"/>
      <c r="G5819"/>
      <c r="L5819"/>
    </row>
    <row r="5820" spans="1:12" x14ac:dyDescent="0.25">
      <c r="A5820"/>
      <c r="B5820"/>
      <c r="D5820"/>
      <c r="G5820"/>
      <c r="L5820"/>
    </row>
    <row r="5821" spans="1:12" x14ac:dyDescent="0.25">
      <c r="A5821"/>
      <c r="B5821"/>
      <c r="D5821"/>
      <c r="G5821"/>
      <c r="L5821"/>
    </row>
    <row r="5822" spans="1:12" x14ac:dyDescent="0.25">
      <c r="A5822"/>
      <c r="B5822"/>
      <c r="D5822"/>
      <c r="G5822"/>
      <c r="L5822"/>
    </row>
    <row r="5823" spans="1:12" x14ac:dyDescent="0.25">
      <c r="A5823"/>
      <c r="B5823"/>
      <c r="D5823"/>
      <c r="G5823"/>
      <c r="L5823"/>
    </row>
    <row r="5824" spans="1:12" x14ac:dyDescent="0.25">
      <c r="A5824"/>
      <c r="B5824"/>
      <c r="D5824"/>
      <c r="G5824"/>
      <c r="L5824"/>
    </row>
    <row r="5825" spans="1:12" x14ac:dyDescent="0.25">
      <c r="A5825"/>
      <c r="B5825"/>
      <c r="D5825"/>
      <c r="G5825"/>
      <c r="L5825"/>
    </row>
    <row r="5826" spans="1:12" x14ac:dyDescent="0.25">
      <c r="A5826"/>
      <c r="B5826"/>
      <c r="D5826"/>
      <c r="G5826"/>
      <c r="L5826"/>
    </row>
    <row r="5827" spans="1:12" x14ac:dyDescent="0.25">
      <c r="A5827"/>
      <c r="B5827"/>
      <c r="D5827"/>
      <c r="G5827"/>
      <c r="L5827"/>
    </row>
    <row r="5828" spans="1:12" x14ac:dyDescent="0.25">
      <c r="A5828"/>
      <c r="B5828"/>
      <c r="D5828"/>
      <c r="G5828"/>
      <c r="L5828"/>
    </row>
    <row r="5829" spans="1:12" x14ac:dyDescent="0.25">
      <c r="A5829"/>
      <c r="B5829"/>
      <c r="D5829"/>
      <c r="G5829"/>
      <c r="L5829"/>
    </row>
    <row r="5830" spans="1:12" x14ac:dyDescent="0.25">
      <c r="A5830"/>
      <c r="B5830"/>
      <c r="D5830"/>
      <c r="G5830"/>
      <c r="L5830"/>
    </row>
    <row r="5831" spans="1:12" x14ac:dyDescent="0.25">
      <c r="A5831"/>
      <c r="B5831"/>
      <c r="D5831"/>
      <c r="G5831"/>
      <c r="L5831"/>
    </row>
    <row r="5832" spans="1:12" x14ac:dyDescent="0.25">
      <c r="A5832"/>
      <c r="B5832"/>
      <c r="D5832"/>
      <c r="G5832"/>
      <c r="L5832"/>
    </row>
    <row r="5833" spans="1:12" x14ac:dyDescent="0.25">
      <c r="A5833"/>
      <c r="B5833"/>
      <c r="D5833"/>
      <c r="G5833"/>
      <c r="L5833"/>
    </row>
    <row r="5834" spans="1:12" x14ac:dyDescent="0.25">
      <c r="A5834"/>
      <c r="B5834"/>
      <c r="D5834"/>
      <c r="G5834"/>
      <c r="L5834"/>
    </row>
    <row r="5835" spans="1:12" x14ac:dyDescent="0.25">
      <c r="A5835"/>
      <c r="B5835"/>
      <c r="D5835"/>
      <c r="G5835"/>
      <c r="L5835"/>
    </row>
    <row r="5836" spans="1:12" x14ac:dyDescent="0.25">
      <c r="A5836"/>
      <c r="B5836"/>
      <c r="D5836"/>
      <c r="G5836"/>
      <c r="L5836"/>
    </row>
    <row r="5837" spans="1:12" x14ac:dyDescent="0.25">
      <c r="A5837"/>
      <c r="B5837"/>
      <c r="D5837"/>
      <c r="G5837"/>
      <c r="L5837"/>
    </row>
    <row r="5838" spans="1:12" x14ac:dyDescent="0.25">
      <c r="A5838"/>
      <c r="B5838"/>
      <c r="D5838"/>
      <c r="G5838"/>
      <c r="L5838"/>
    </row>
    <row r="5839" spans="1:12" x14ac:dyDescent="0.25">
      <c r="A5839"/>
      <c r="B5839"/>
      <c r="D5839"/>
      <c r="G5839"/>
      <c r="L5839"/>
    </row>
    <row r="5840" spans="1:12" x14ac:dyDescent="0.25">
      <c r="A5840"/>
      <c r="B5840"/>
      <c r="D5840"/>
      <c r="G5840"/>
      <c r="L5840"/>
    </row>
    <row r="5841" spans="1:12" x14ac:dyDescent="0.25">
      <c r="A5841"/>
      <c r="B5841"/>
      <c r="D5841"/>
      <c r="G5841"/>
      <c r="L5841"/>
    </row>
    <row r="5842" spans="1:12" x14ac:dyDescent="0.25">
      <c r="A5842"/>
      <c r="B5842"/>
      <c r="D5842"/>
      <c r="G5842"/>
      <c r="L5842"/>
    </row>
    <row r="5843" spans="1:12" x14ac:dyDescent="0.25">
      <c r="A5843"/>
      <c r="B5843"/>
      <c r="D5843"/>
      <c r="G5843"/>
      <c r="L5843"/>
    </row>
    <row r="5844" spans="1:12" x14ac:dyDescent="0.25">
      <c r="A5844"/>
      <c r="B5844"/>
      <c r="D5844"/>
      <c r="G5844"/>
      <c r="L5844"/>
    </row>
    <row r="5845" spans="1:12" x14ac:dyDescent="0.25">
      <c r="A5845"/>
      <c r="B5845"/>
      <c r="D5845"/>
      <c r="G5845"/>
      <c r="L5845"/>
    </row>
    <row r="5846" spans="1:12" x14ac:dyDescent="0.25">
      <c r="A5846"/>
      <c r="B5846"/>
      <c r="D5846"/>
      <c r="G5846"/>
      <c r="L5846"/>
    </row>
    <row r="5847" spans="1:12" x14ac:dyDescent="0.25">
      <c r="A5847"/>
      <c r="B5847"/>
      <c r="D5847"/>
      <c r="G5847"/>
      <c r="L5847"/>
    </row>
    <row r="5848" spans="1:12" x14ac:dyDescent="0.25">
      <c r="A5848"/>
      <c r="B5848"/>
      <c r="D5848"/>
      <c r="G5848"/>
      <c r="L5848"/>
    </row>
    <row r="5849" spans="1:12" x14ac:dyDescent="0.25">
      <c r="A5849"/>
      <c r="B5849"/>
      <c r="D5849"/>
      <c r="G5849"/>
      <c r="L5849"/>
    </row>
    <row r="5850" spans="1:12" x14ac:dyDescent="0.25">
      <c r="A5850"/>
      <c r="B5850"/>
      <c r="D5850"/>
      <c r="G5850"/>
      <c r="L5850"/>
    </row>
    <row r="5851" spans="1:12" x14ac:dyDescent="0.25">
      <c r="A5851"/>
      <c r="B5851"/>
      <c r="D5851"/>
      <c r="G5851"/>
      <c r="L5851"/>
    </row>
    <row r="5852" spans="1:12" x14ac:dyDescent="0.25">
      <c r="A5852"/>
      <c r="B5852"/>
      <c r="D5852"/>
      <c r="G5852"/>
      <c r="L5852"/>
    </row>
    <row r="5853" spans="1:12" x14ac:dyDescent="0.25">
      <c r="A5853"/>
      <c r="B5853"/>
      <c r="D5853"/>
      <c r="G5853"/>
      <c r="L5853"/>
    </row>
    <row r="5854" spans="1:12" x14ac:dyDescent="0.25">
      <c r="A5854"/>
      <c r="B5854"/>
      <c r="D5854"/>
      <c r="G5854"/>
      <c r="L5854"/>
    </row>
    <row r="5855" spans="1:12" x14ac:dyDescent="0.25">
      <c r="A5855"/>
      <c r="B5855"/>
      <c r="D5855"/>
      <c r="G5855"/>
      <c r="L5855"/>
    </row>
    <row r="5856" spans="1:12" x14ac:dyDescent="0.25">
      <c r="A5856"/>
      <c r="B5856"/>
      <c r="D5856"/>
      <c r="G5856"/>
      <c r="L5856"/>
    </row>
    <row r="5857" spans="1:12" x14ac:dyDescent="0.25">
      <c r="A5857"/>
      <c r="B5857"/>
      <c r="D5857"/>
      <c r="G5857"/>
      <c r="L5857"/>
    </row>
    <row r="5858" spans="1:12" x14ac:dyDescent="0.25">
      <c r="A5858"/>
      <c r="B5858"/>
      <c r="D5858"/>
      <c r="G5858"/>
      <c r="L5858"/>
    </row>
    <row r="5859" spans="1:12" x14ac:dyDescent="0.25">
      <c r="A5859"/>
      <c r="B5859"/>
      <c r="D5859"/>
      <c r="G5859"/>
      <c r="L5859"/>
    </row>
    <row r="5860" spans="1:12" x14ac:dyDescent="0.25">
      <c r="A5860"/>
      <c r="B5860"/>
      <c r="D5860"/>
      <c r="G5860"/>
      <c r="L5860"/>
    </row>
    <row r="5861" spans="1:12" x14ac:dyDescent="0.25">
      <c r="A5861"/>
      <c r="B5861"/>
      <c r="D5861"/>
      <c r="G5861"/>
      <c r="L5861"/>
    </row>
    <row r="5862" spans="1:12" x14ac:dyDescent="0.25">
      <c r="A5862"/>
      <c r="B5862"/>
      <c r="D5862"/>
      <c r="G5862"/>
      <c r="L5862"/>
    </row>
    <row r="5863" spans="1:12" x14ac:dyDescent="0.25">
      <c r="A5863"/>
      <c r="B5863"/>
      <c r="D5863"/>
      <c r="G5863"/>
      <c r="L5863"/>
    </row>
    <row r="5864" spans="1:12" x14ac:dyDescent="0.25">
      <c r="A5864"/>
      <c r="B5864"/>
      <c r="D5864"/>
      <c r="G5864"/>
      <c r="L5864"/>
    </row>
    <row r="5865" spans="1:12" x14ac:dyDescent="0.25">
      <c r="A5865"/>
      <c r="B5865"/>
      <c r="D5865"/>
      <c r="G5865"/>
      <c r="L5865"/>
    </row>
    <row r="5866" spans="1:12" x14ac:dyDescent="0.25">
      <c r="A5866"/>
      <c r="B5866"/>
      <c r="D5866"/>
      <c r="G5866"/>
      <c r="L5866"/>
    </row>
    <row r="5867" spans="1:12" x14ac:dyDescent="0.25">
      <c r="A5867"/>
      <c r="B5867"/>
      <c r="D5867"/>
      <c r="G5867"/>
      <c r="L5867"/>
    </row>
    <row r="5868" spans="1:12" x14ac:dyDescent="0.25">
      <c r="A5868"/>
      <c r="B5868"/>
      <c r="D5868"/>
      <c r="G5868"/>
      <c r="L5868"/>
    </row>
    <row r="5869" spans="1:12" x14ac:dyDescent="0.25">
      <c r="A5869"/>
      <c r="B5869"/>
      <c r="D5869"/>
      <c r="G5869"/>
      <c r="L5869"/>
    </row>
    <row r="5870" spans="1:12" x14ac:dyDescent="0.25">
      <c r="A5870"/>
      <c r="B5870"/>
      <c r="D5870"/>
      <c r="G5870"/>
      <c r="L5870"/>
    </row>
    <row r="5871" spans="1:12" x14ac:dyDescent="0.25">
      <c r="A5871"/>
      <c r="B5871"/>
      <c r="D5871"/>
      <c r="G5871"/>
      <c r="L5871"/>
    </row>
    <row r="5872" spans="1:12" x14ac:dyDescent="0.25">
      <c r="A5872"/>
      <c r="B5872"/>
      <c r="D5872"/>
      <c r="G5872"/>
      <c r="L5872"/>
    </row>
    <row r="5873" spans="1:12" x14ac:dyDescent="0.25">
      <c r="A5873"/>
      <c r="B5873"/>
      <c r="D5873"/>
      <c r="G5873"/>
      <c r="L5873"/>
    </row>
    <row r="5874" spans="1:12" x14ac:dyDescent="0.25">
      <c r="A5874"/>
      <c r="B5874"/>
      <c r="D5874"/>
      <c r="G5874"/>
      <c r="L5874"/>
    </row>
    <row r="5875" spans="1:12" x14ac:dyDescent="0.25">
      <c r="A5875"/>
      <c r="B5875"/>
      <c r="D5875"/>
      <c r="G5875"/>
      <c r="L5875"/>
    </row>
    <row r="5876" spans="1:12" x14ac:dyDescent="0.25">
      <c r="A5876"/>
      <c r="B5876"/>
      <c r="D5876"/>
      <c r="G5876"/>
      <c r="L5876"/>
    </row>
    <row r="5877" spans="1:12" x14ac:dyDescent="0.25">
      <c r="A5877"/>
      <c r="B5877"/>
      <c r="D5877"/>
      <c r="G5877"/>
      <c r="L5877"/>
    </row>
    <row r="5878" spans="1:12" x14ac:dyDescent="0.25">
      <c r="A5878"/>
      <c r="B5878"/>
      <c r="D5878"/>
      <c r="G5878"/>
      <c r="L5878"/>
    </row>
    <row r="5879" spans="1:12" x14ac:dyDescent="0.25">
      <c r="A5879"/>
      <c r="B5879"/>
      <c r="D5879"/>
      <c r="G5879"/>
      <c r="L5879"/>
    </row>
    <row r="5880" spans="1:12" x14ac:dyDescent="0.25">
      <c r="A5880"/>
      <c r="B5880"/>
      <c r="D5880"/>
      <c r="G5880"/>
      <c r="L5880"/>
    </row>
    <row r="5881" spans="1:12" x14ac:dyDescent="0.25">
      <c r="A5881"/>
      <c r="B5881"/>
      <c r="D5881"/>
      <c r="G5881"/>
      <c r="L5881"/>
    </row>
    <row r="5882" spans="1:12" x14ac:dyDescent="0.25">
      <c r="A5882"/>
      <c r="B5882"/>
      <c r="D5882"/>
      <c r="G5882"/>
      <c r="L5882"/>
    </row>
    <row r="5883" spans="1:12" x14ac:dyDescent="0.25">
      <c r="A5883"/>
      <c r="B5883"/>
      <c r="D5883"/>
      <c r="G5883"/>
      <c r="L5883"/>
    </row>
    <row r="5884" spans="1:12" x14ac:dyDescent="0.25">
      <c r="A5884"/>
      <c r="B5884"/>
      <c r="D5884"/>
      <c r="G5884"/>
      <c r="L5884"/>
    </row>
    <row r="5885" spans="1:12" x14ac:dyDescent="0.25">
      <c r="A5885"/>
      <c r="B5885"/>
      <c r="D5885"/>
      <c r="G5885"/>
      <c r="L5885"/>
    </row>
    <row r="5886" spans="1:12" x14ac:dyDescent="0.25">
      <c r="A5886"/>
      <c r="B5886"/>
      <c r="D5886"/>
      <c r="G5886"/>
      <c r="L5886"/>
    </row>
    <row r="5887" spans="1:12" x14ac:dyDescent="0.25">
      <c r="A5887"/>
      <c r="B5887"/>
      <c r="D5887"/>
      <c r="G5887"/>
      <c r="L5887"/>
    </row>
    <row r="5888" spans="1:12" x14ac:dyDescent="0.25">
      <c r="A5888"/>
      <c r="B5888"/>
      <c r="D5888"/>
      <c r="G5888"/>
      <c r="L5888"/>
    </row>
    <row r="5889" spans="1:12" x14ac:dyDescent="0.25">
      <c r="A5889"/>
      <c r="B5889"/>
      <c r="D5889"/>
      <c r="G5889"/>
      <c r="L5889"/>
    </row>
    <row r="5890" spans="1:12" x14ac:dyDescent="0.25">
      <c r="A5890"/>
      <c r="B5890"/>
      <c r="D5890"/>
      <c r="G5890"/>
      <c r="L5890"/>
    </row>
    <row r="5891" spans="1:12" x14ac:dyDescent="0.25">
      <c r="A5891"/>
      <c r="B5891"/>
      <c r="D5891"/>
      <c r="G5891"/>
      <c r="L5891"/>
    </row>
    <row r="5892" spans="1:12" x14ac:dyDescent="0.25">
      <c r="A5892"/>
      <c r="B5892"/>
      <c r="D5892"/>
      <c r="G5892"/>
      <c r="L5892"/>
    </row>
    <row r="5893" spans="1:12" x14ac:dyDescent="0.25">
      <c r="A5893"/>
      <c r="B5893"/>
      <c r="D5893"/>
      <c r="G5893"/>
      <c r="L5893"/>
    </row>
    <row r="5894" spans="1:12" x14ac:dyDescent="0.25">
      <c r="A5894"/>
      <c r="B5894"/>
      <c r="D5894"/>
      <c r="G5894"/>
      <c r="L5894"/>
    </row>
    <row r="5895" spans="1:12" x14ac:dyDescent="0.25">
      <c r="A5895"/>
      <c r="B5895"/>
      <c r="D5895"/>
      <c r="G5895"/>
      <c r="L5895"/>
    </row>
    <row r="5896" spans="1:12" x14ac:dyDescent="0.25">
      <c r="A5896"/>
      <c r="B5896"/>
      <c r="D5896"/>
      <c r="G5896"/>
      <c r="L5896"/>
    </row>
    <row r="5897" spans="1:12" x14ac:dyDescent="0.25">
      <c r="A5897"/>
      <c r="B5897"/>
      <c r="D5897"/>
      <c r="G5897"/>
      <c r="L5897"/>
    </row>
    <row r="5898" spans="1:12" x14ac:dyDescent="0.25">
      <c r="A5898"/>
      <c r="B5898"/>
      <c r="D5898"/>
      <c r="G5898"/>
      <c r="L5898"/>
    </row>
    <row r="5899" spans="1:12" x14ac:dyDescent="0.25">
      <c r="A5899"/>
      <c r="B5899"/>
      <c r="D5899"/>
      <c r="G5899"/>
      <c r="L5899"/>
    </row>
    <row r="5900" spans="1:12" x14ac:dyDescent="0.25">
      <c r="A5900"/>
      <c r="B5900"/>
      <c r="D5900"/>
      <c r="G5900"/>
      <c r="L5900"/>
    </row>
    <row r="5901" spans="1:12" x14ac:dyDescent="0.25">
      <c r="A5901"/>
      <c r="B5901"/>
      <c r="D5901"/>
      <c r="G5901"/>
      <c r="L5901"/>
    </row>
    <row r="5902" spans="1:12" x14ac:dyDescent="0.25">
      <c r="A5902"/>
      <c r="B5902"/>
      <c r="D5902"/>
      <c r="G5902"/>
      <c r="L5902"/>
    </row>
    <row r="5903" spans="1:12" x14ac:dyDescent="0.25">
      <c r="A5903"/>
      <c r="B5903"/>
      <c r="D5903"/>
      <c r="G5903"/>
      <c r="L5903"/>
    </row>
    <row r="5904" spans="1:12" x14ac:dyDescent="0.25">
      <c r="A5904"/>
      <c r="B5904"/>
      <c r="D5904"/>
      <c r="G5904"/>
      <c r="L5904"/>
    </row>
    <row r="5905" spans="1:12" x14ac:dyDescent="0.25">
      <c r="A5905"/>
      <c r="B5905"/>
      <c r="D5905"/>
      <c r="G5905"/>
      <c r="L5905"/>
    </row>
    <row r="5906" spans="1:12" x14ac:dyDescent="0.25">
      <c r="A5906"/>
      <c r="B5906"/>
      <c r="D5906"/>
      <c r="G5906"/>
      <c r="L5906"/>
    </row>
    <row r="5907" spans="1:12" x14ac:dyDescent="0.25">
      <c r="A5907"/>
      <c r="B5907"/>
      <c r="D5907"/>
      <c r="G5907"/>
      <c r="L5907"/>
    </row>
    <row r="5908" spans="1:12" x14ac:dyDescent="0.25">
      <c r="A5908"/>
      <c r="B5908"/>
      <c r="D5908"/>
      <c r="G5908"/>
      <c r="L5908"/>
    </row>
    <row r="5909" spans="1:12" x14ac:dyDescent="0.25">
      <c r="A5909"/>
      <c r="B5909"/>
      <c r="D5909"/>
      <c r="G5909"/>
      <c r="L5909"/>
    </row>
    <row r="5910" spans="1:12" x14ac:dyDescent="0.25">
      <c r="A5910"/>
      <c r="B5910"/>
      <c r="D5910"/>
      <c r="G5910"/>
      <c r="L5910"/>
    </row>
    <row r="5911" spans="1:12" x14ac:dyDescent="0.25">
      <c r="A5911"/>
      <c r="B5911"/>
      <c r="D5911"/>
      <c r="G5911"/>
      <c r="L5911"/>
    </row>
    <row r="5912" spans="1:12" x14ac:dyDescent="0.25">
      <c r="A5912"/>
      <c r="B5912"/>
      <c r="D5912"/>
      <c r="G5912"/>
      <c r="L5912"/>
    </row>
    <row r="5913" spans="1:12" x14ac:dyDescent="0.25">
      <c r="A5913"/>
      <c r="B5913"/>
      <c r="D5913"/>
      <c r="G5913"/>
      <c r="L5913"/>
    </row>
    <row r="5914" spans="1:12" x14ac:dyDescent="0.25">
      <c r="A5914"/>
      <c r="B5914"/>
      <c r="D5914"/>
      <c r="G5914"/>
      <c r="L5914"/>
    </row>
    <row r="5915" spans="1:12" x14ac:dyDescent="0.25">
      <c r="A5915"/>
      <c r="B5915"/>
      <c r="D5915"/>
      <c r="G5915"/>
      <c r="L5915"/>
    </row>
    <row r="5916" spans="1:12" x14ac:dyDescent="0.25">
      <c r="A5916"/>
      <c r="B5916"/>
      <c r="D5916"/>
      <c r="G5916"/>
      <c r="L5916"/>
    </row>
    <row r="5917" spans="1:12" x14ac:dyDescent="0.25">
      <c r="A5917"/>
      <c r="B5917"/>
      <c r="D5917"/>
      <c r="G5917"/>
      <c r="L5917"/>
    </row>
    <row r="5918" spans="1:12" x14ac:dyDescent="0.25">
      <c r="A5918"/>
      <c r="B5918"/>
      <c r="D5918"/>
      <c r="G5918"/>
      <c r="L5918"/>
    </row>
    <row r="5919" spans="1:12" x14ac:dyDescent="0.25">
      <c r="A5919"/>
      <c r="B5919"/>
      <c r="D5919"/>
      <c r="G5919"/>
      <c r="L5919"/>
    </row>
    <row r="5920" spans="1:12" x14ac:dyDescent="0.25">
      <c r="A5920"/>
      <c r="B5920"/>
      <c r="D5920"/>
      <c r="G5920"/>
      <c r="L5920"/>
    </row>
    <row r="5921" spans="1:12" x14ac:dyDescent="0.25">
      <c r="A5921"/>
      <c r="B5921"/>
      <c r="D5921"/>
      <c r="G5921"/>
      <c r="L5921"/>
    </row>
    <row r="5922" spans="1:12" x14ac:dyDescent="0.25">
      <c r="A5922"/>
      <c r="B5922"/>
      <c r="D5922"/>
      <c r="G5922"/>
      <c r="L5922"/>
    </row>
    <row r="5923" spans="1:12" x14ac:dyDescent="0.25">
      <c r="A5923"/>
      <c r="B5923"/>
      <c r="D5923"/>
      <c r="G5923"/>
      <c r="L5923"/>
    </row>
    <row r="5924" spans="1:12" x14ac:dyDescent="0.25">
      <c r="A5924"/>
      <c r="B5924"/>
      <c r="D5924"/>
      <c r="G5924"/>
      <c r="L5924"/>
    </row>
    <row r="5925" spans="1:12" x14ac:dyDescent="0.25">
      <c r="A5925"/>
      <c r="B5925"/>
      <c r="D5925"/>
      <c r="G5925"/>
      <c r="L5925"/>
    </row>
    <row r="5926" spans="1:12" x14ac:dyDescent="0.25">
      <c r="A5926"/>
      <c r="B5926"/>
      <c r="D5926"/>
      <c r="G5926"/>
      <c r="L5926"/>
    </row>
    <row r="5927" spans="1:12" x14ac:dyDescent="0.25">
      <c r="A5927"/>
      <c r="B5927"/>
      <c r="D5927"/>
      <c r="G5927"/>
      <c r="L5927"/>
    </row>
    <row r="5928" spans="1:12" x14ac:dyDescent="0.25">
      <c r="A5928"/>
      <c r="B5928"/>
      <c r="D5928"/>
      <c r="G5928"/>
      <c r="L5928"/>
    </row>
    <row r="5929" spans="1:12" x14ac:dyDescent="0.25">
      <c r="A5929"/>
      <c r="B5929"/>
      <c r="D5929"/>
      <c r="G5929"/>
      <c r="L5929"/>
    </row>
    <row r="5930" spans="1:12" x14ac:dyDescent="0.25">
      <c r="A5930"/>
      <c r="B5930"/>
      <c r="D5930"/>
      <c r="G5930"/>
      <c r="L5930"/>
    </row>
    <row r="5931" spans="1:12" x14ac:dyDescent="0.25">
      <c r="A5931"/>
      <c r="B5931"/>
      <c r="D5931"/>
      <c r="G5931"/>
      <c r="L5931"/>
    </row>
    <row r="5932" spans="1:12" x14ac:dyDescent="0.25">
      <c r="A5932"/>
      <c r="B5932"/>
      <c r="D5932"/>
      <c r="G5932"/>
      <c r="L5932"/>
    </row>
    <row r="5933" spans="1:12" x14ac:dyDescent="0.25">
      <c r="A5933"/>
      <c r="B5933"/>
      <c r="D5933"/>
      <c r="G5933"/>
      <c r="L5933"/>
    </row>
    <row r="5934" spans="1:12" x14ac:dyDescent="0.25">
      <c r="A5934"/>
      <c r="B5934"/>
      <c r="D5934"/>
      <c r="G5934"/>
      <c r="L5934"/>
    </row>
    <row r="5935" spans="1:12" x14ac:dyDescent="0.25">
      <c r="A5935"/>
      <c r="B5935"/>
      <c r="D5935"/>
      <c r="G5935"/>
      <c r="L5935"/>
    </row>
    <row r="5936" spans="1:12" x14ac:dyDescent="0.25">
      <c r="A5936"/>
      <c r="B5936"/>
      <c r="D5936"/>
      <c r="G5936"/>
      <c r="L5936"/>
    </row>
    <row r="5937" spans="1:12" x14ac:dyDescent="0.25">
      <c r="A5937"/>
      <c r="B5937"/>
      <c r="D5937"/>
      <c r="G5937"/>
      <c r="L5937"/>
    </row>
    <row r="5938" spans="1:12" x14ac:dyDescent="0.25">
      <c r="A5938"/>
      <c r="B5938"/>
      <c r="D5938"/>
      <c r="G5938"/>
      <c r="L5938"/>
    </row>
    <row r="5939" spans="1:12" x14ac:dyDescent="0.25">
      <c r="A5939"/>
      <c r="B5939"/>
      <c r="D5939"/>
      <c r="G5939"/>
      <c r="L5939"/>
    </row>
    <row r="5940" spans="1:12" x14ac:dyDescent="0.25">
      <c r="A5940"/>
      <c r="B5940"/>
      <c r="D5940"/>
      <c r="G5940"/>
      <c r="L5940"/>
    </row>
    <row r="5941" spans="1:12" x14ac:dyDescent="0.25">
      <c r="A5941"/>
      <c r="B5941"/>
      <c r="D5941"/>
      <c r="G5941"/>
      <c r="L5941"/>
    </row>
    <row r="5942" spans="1:12" x14ac:dyDescent="0.25">
      <c r="A5942"/>
      <c r="B5942"/>
      <c r="D5942"/>
      <c r="G5942"/>
      <c r="L5942"/>
    </row>
    <row r="5943" spans="1:12" x14ac:dyDescent="0.25">
      <c r="A5943"/>
      <c r="B5943"/>
      <c r="D5943"/>
      <c r="G5943"/>
      <c r="L5943"/>
    </row>
    <row r="5944" spans="1:12" x14ac:dyDescent="0.25">
      <c r="A5944"/>
      <c r="B5944"/>
      <c r="D5944"/>
      <c r="G5944"/>
      <c r="L5944"/>
    </row>
    <row r="5945" spans="1:12" x14ac:dyDescent="0.25">
      <c r="A5945"/>
      <c r="B5945"/>
      <c r="D5945"/>
      <c r="G5945"/>
      <c r="L5945"/>
    </row>
    <row r="5946" spans="1:12" x14ac:dyDescent="0.25">
      <c r="A5946"/>
      <c r="B5946"/>
      <c r="D5946"/>
      <c r="G5946"/>
      <c r="L5946"/>
    </row>
    <row r="5947" spans="1:12" x14ac:dyDescent="0.25">
      <c r="A5947"/>
      <c r="B5947"/>
      <c r="D5947"/>
      <c r="G5947"/>
      <c r="L5947"/>
    </row>
    <row r="5948" spans="1:12" x14ac:dyDescent="0.25">
      <c r="A5948"/>
      <c r="B5948"/>
      <c r="D5948"/>
      <c r="G5948"/>
      <c r="L5948"/>
    </row>
    <row r="5949" spans="1:12" x14ac:dyDescent="0.25">
      <c r="A5949"/>
      <c r="B5949"/>
      <c r="D5949"/>
      <c r="G5949"/>
      <c r="L5949"/>
    </row>
    <row r="5950" spans="1:12" x14ac:dyDescent="0.25">
      <c r="A5950"/>
      <c r="B5950"/>
      <c r="D5950"/>
      <c r="G5950"/>
      <c r="L5950"/>
    </row>
    <row r="5951" spans="1:12" x14ac:dyDescent="0.25">
      <c r="A5951"/>
      <c r="B5951"/>
      <c r="D5951"/>
      <c r="G5951"/>
      <c r="L5951"/>
    </row>
    <row r="5952" spans="1:12" x14ac:dyDescent="0.25">
      <c r="A5952"/>
      <c r="B5952"/>
      <c r="D5952"/>
      <c r="G5952"/>
      <c r="L5952"/>
    </row>
    <row r="5953" spans="1:12" x14ac:dyDescent="0.25">
      <c r="A5953"/>
      <c r="B5953"/>
      <c r="D5953"/>
      <c r="G5953"/>
      <c r="L5953"/>
    </row>
    <row r="5954" spans="1:12" x14ac:dyDescent="0.25">
      <c r="A5954"/>
      <c r="B5954"/>
      <c r="D5954"/>
      <c r="G5954"/>
      <c r="L5954"/>
    </row>
    <row r="5955" spans="1:12" x14ac:dyDescent="0.25">
      <c r="A5955"/>
      <c r="B5955"/>
      <c r="D5955"/>
      <c r="G5955"/>
      <c r="L5955"/>
    </row>
    <row r="5956" spans="1:12" x14ac:dyDescent="0.25">
      <c r="A5956"/>
      <c r="B5956"/>
      <c r="D5956"/>
      <c r="G5956"/>
      <c r="L5956"/>
    </row>
    <row r="5957" spans="1:12" x14ac:dyDescent="0.25">
      <c r="A5957"/>
      <c r="B5957"/>
      <c r="D5957"/>
      <c r="G5957"/>
      <c r="L5957"/>
    </row>
    <row r="5958" spans="1:12" x14ac:dyDescent="0.25">
      <c r="A5958"/>
      <c r="B5958"/>
      <c r="D5958"/>
      <c r="G5958"/>
      <c r="L5958"/>
    </row>
    <row r="5959" spans="1:12" x14ac:dyDescent="0.25">
      <c r="A5959"/>
      <c r="B5959"/>
      <c r="D5959"/>
      <c r="G5959"/>
      <c r="L5959"/>
    </row>
    <row r="5960" spans="1:12" x14ac:dyDescent="0.25">
      <c r="A5960"/>
      <c r="B5960"/>
      <c r="D5960"/>
      <c r="G5960"/>
      <c r="L5960"/>
    </row>
    <row r="5961" spans="1:12" x14ac:dyDescent="0.25">
      <c r="A5961"/>
      <c r="B5961"/>
      <c r="D5961"/>
      <c r="G5961"/>
      <c r="L5961"/>
    </row>
    <row r="5962" spans="1:12" x14ac:dyDescent="0.25">
      <c r="A5962"/>
      <c r="B5962"/>
      <c r="D5962"/>
      <c r="G5962"/>
      <c r="L5962"/>
    </row>
    <row r="5963" spans="1:12" x14ac:dyDescent="0.25">
      <c r="A5963"/>
      <c r="B5963"/>
      <c r="D5963"/>
      <c r="G5963"/>
      <c r="L5963"/>
    </row>
    <row r="5964" spans="1:12" x14ac:dyDescent="0.25">
      <c r="A5964"/>
      <c r="B5964"/>
      <c r="D5964"/>
      <c r="G5964"/>
      <c r="L5964"/>
    </row>
    <row r="5965" spans="1:12" x14ac:dyDescent="0.25">
      <c r="A5965"/>
      <c r="B5965"/>
      <c r="D5965"/>
      <c r="G5965"/>
      <c r="L5965"/>
    </row>
    <row r="5966" spans="1:12" x14ac:dyDescent="0.25">
      <c r="A5966"/>
      <c r="B5966"/>
      <c r="D5966"/>
      <c r="G5966"/>
      <c r="L5966"/>
    </row>
    <row r="5967" spans="1:12" x14ac:dyDescent="0.25">
      <c r="A5967"/>
      <c r="B5967"/>
      <c r="D5967"/>
      <c r="G5967"/>
      <c r="L5967"/>
    </row>
    <row r="5968" spans="1:12" x14ac:dyDescent="0.25">
      <c r="A5968"/>
      <c r="B5968"/>
      <c r="D5968"/>
      <c r="G5968"/>
      <c r="L5968"/>
    </row>
    <row r="5969" spans="1:12" x14ac:dyDescent="0.25">
      <c r="A5969"/>
      <c r="B5969"/>
      <c r="D5969"/>
      <c r="G5969"/>
      <c r="L5969"/>
    </row>
    <row r="5970" spans="1:12" x14ac:dyDescent="0.25">
      <c r="A5970"/>
      <c r="B5970"/>
      <c r="D5970"/>
      <c r="G5970"/>
      <c r="L5970"/>
    </row>
    <row r="5971" spans="1:12" x14ac:dyDescent="0.25">
      <c r="A5971"/>
      <c r="B5971"/>
      <c r="D5971"/>
      <c r="G5971"/>
      <c r="L5971"/>
    </row>
    <row r="5972" spans="1:12" x14ac:dyDescent="0.25">
      <c r="A5972"/>
      <c r="B5972"/>
      <c r="D5972"/>
      <c r="G5972"/>
      <c r="L5972"/>
    </row>
    <row r="5973" spans="1:12" x14ac:dyDescent="0.25">
      <c r="A5973"/>
      <c r="B5973"/>
      <c r="D5973"/>
      <c r="G5973"/>
      <c r="L5973"/>
    </row>
    <row r="5974" spans="1:12" x14ac:dyDescent="0.25">
      <c r="A5974"/>
      <c r="B5974"/>
      <c r="D5974"/>
      <c r="G5974"/>
      <c r="L5974"/>
    </row>
    <row r="5975" spans="1:12" x14ac:dyDescent="0.25">
      <c r="A5975"/>
      <c r="B5975"/>
      <c r="D5975"/>
      <c r="G5975"/>
      <c r="L5975"/>
    </row>
    <row r="5976" spans="1:12" x14ac:dyDescent="0.25">
      <c r="A5976"/>
      <c r="B5976"/>
      <c r="D5976"/>
      <c r="G5976"/>
      <c r="L5976"/>
    </row>
    <row r="5977" spans="1:12" x14ac:dyDescent="0.25">
      <c r="A5977"/>
      <c r="B5977"/>
      <c r="D5977"/>
      <c r="G5977"/>
      <c r="L5977"/>
    </row>
    <row r="5978" spans="1:12" x14ac:dyDescent="0.25">
      <c r="A5978"/>
      <c r="B5978"/>
      <c r="D5978"/>
      <c r="G5978"/>
      <c r="L5978"/>
    </row>
    <row r="5979" spans="1:12" x14ac:dyDescent="0.25">
      <c r="A5979"/>
      <c r="B5979"/>
      <c r="D5979"/>
      <c r="G5979"/>
      <c r="L5979"/>
    </row>
    <row r="5980" spans="1:12" x14ac:dyDescent="0.25">
      <c r="A5980"/>
      <c r="B5980"/>
      <c r="D5980"/>
      <c r="G5980"/>
      <c r="L5980"/>
    </row>
    <row r="5981" spans="1:12" x14ac:dyDescent="0.25">
      <c r="A5981"/>
      <c r="B5981"/>
      <c r="D5981"/>
      <c r="G5981"/>
      <c r="L5981"/>
    </row>
    <row r="5982" spans="1:12" x14ac:dyDescent="0.25">
      <c r="A5982"/>
      <c r="B5982"/>
      <c r="D5982"/>
      <c r="G5982"/>
      <c r="L5982"/>
    </row>
    <row r="5983" spans="1:12" x14ac:dyDescent="0.25">
      <c r="A5983"/>
      <c r="B5983"/>
      <c r="D5983"/>
      <c r="G5983"/>
      <c r="L5983"/>
    </row>
    <row r="5984" spans="1:12" x14ac:dyDescent="0.25">
      <c r="A5984"/>
      <c r="B5984"/>
      <c r="D5984"/>
      <c r="G5984"/>
      <c r="L5984"/>
    </row>
    <row r="5985" spans="1:12" x14ac:dyDescent="0.25">
      <c r="A5985"/>
      <c r="B5985"/>
      <c r="D5985"/>
      <c r="G5985"/>
      <c r="L5985"/>
    </row>
    <row r="5986" spans="1:12" x14ac:dyDescent="0.25">
      <c r="A5986"/>
      <c r="B5986"/>
      <c r="D5986"/>
      <c r="G5986"/>
      <c r="L5986"/>
    </row>
    <row r="5987" spans="1:12" x14ac:dyDescent="0.25">
      <c r="A5987"/>
      <c r="B5987"/>
      <c r="D5987"/>
      <c r="G5987"/>
      <c r="L5987"/>
    </row>
    <row r="5988" spans="1:12" x14ac:dyDescent="0.25">
      <c r="A5988"/>
      <c r="B5988"/>
      <c r="D5988"/>
      <c r="G5988"/>
      <c r="L5988"/>
    </row>
    <row r="5989" spans="1:12" x14ac:dyDescent="0.25">
      <c r="A5989"/>
      <c r="B5989"/>
      <c r="D5989"/>
      <c r="G5989"/>
      <c r="L5989"/>
    </row>
    <row r="5990" spans="1:12" x14ac:dyDescent="0.25">
      <c r="A5990"/>
      <c r="B5990"/>
      <c r="D5990"/>
      <c r="G5990"/>
      <c r="L5990"/>
    </row>
    <row r="5991" spans="1:12" x14ac:dyDescent="0.25">
      <c r="A5991"/>
      <c r="B5991"/>
      <c r="D5991"/>
      <c r="G5991"/>
      <c r="L5991"/>
    </row>
    <row r="5992" spans="1:12" x14ac:dyDescent="0.25">
      <c r="A5992"/>
      <c r="B5992"/>
      <c r="D5992"/>
      <c r="G5992"/>
      <c r="L5992"/>
    </row>
    <row r="5993" spans="1:12" x14ac:dyDescent="0.25">
      <c r="A5993"/>
      <c r="B5993"/>
      <c r="D5993"/>
      <c r="G5993"/>
      <c r="L5993"/>
    </row>
    <row r="5994" spans="1:12" x14ac:dyDescent="0.25">
      <c r="A5994"/>
      <c r="B5994"/>
      <c r="D5994"/>
      <c r="G5994"/>
      <c r="L5994"/>
    </row>
    <row r="5995" spans="1:12" x14ac:dyDescent="0.25">
      <c r="A5995"/>
      <c r="B5995"/>
      <c r="D5995"/>
      <c r="G5995"/>
      <c r="L5995"/>
    </row>
    <row r="5996" spans="1:12" x14ac:dyDescent="0.25">
      <c r="A5996"/>
      <c r="B5996"/>
      <c r="D5996"/>
      <c r="G5996"/>
      <c r="L5996"/>
    </row>
    <row r="5997" spans="1:12" x14ac:dyDescent="0.25">
      <c r="A5997"/>
      <c r="B5997"/>
      <c r="D5997"/>
      <c r="G5997"/>
      <c r="L5997"/>
    </row>
    <row r="5998" spans="1:12" x14ac:dyDescent="0.25">
      <c r="A5998"/>
      <c r="B5998"/>
      <c r="D5998"/>
      <c r="G5998"/>
      <c r="L5998"/>
    </row>
    <row r="5999" spans="1:12" x14ac:dyDescent="0.25">
      <c r="A5999"/>
      <c r="B5999"/>
      <c r="D5999"/>
      <c r="G5999"/>
      <c r="L5999"/>
    </row>
    <row r="6000" spans="1:12" x14ac:dyDescent="0.25">
      <c r="A6000"/>
      <c r="B6000"/>
      <c r="D6000"/>
      <c r="G6000"/>
      <c r="L6000"/>
    </row>
    <row r="6001" spans="1:12" x14ac:dyDescent="0.25">
      <c r="A6001"/>
      <c r="B6001"/>
      <c r="D6001"/>
      <c r="G6001"/>
      <c r="L6001"/>
    </row>
    <row r="6002" spans="1:12" x14ac:dyDescent="0.25">
      <c r="A6002"/>
      <c r="B6002"/>
      <c r="D6002"/>
      <c r="G6002"/>
      <c r="L6002"/>
    </row>
    <row r="6003" spans="1:12" x14ac:dyDescent="0.25">
      <c r="A6003"/>
      <c r="B6003"/>
      <c r="D6003"/>
      <c r="G6003"/>
      <c r="L6003"/>
    </row>
    <row r="6004" spans="1:12" x14ac:dyDescent="0.25">
      <c r="A6004"/>
      <c r="B6004"/>
      <c r="D6004"/>
      <c r="G6004"/>
      <c r="L6004"/>
    </row>
    <row r="6005" spans="1:12" x14ac:dyDescent="0.25">
      <c r="A6005"/>
      <c r="B6005"/>
      <c r="D6005"/>
      <c r="G6005"/>
      <c r="L6005"/>
    </row>
    <row r="6006" spans="1:12" x14ac:dyDescent="0.25">
      <c r="A6006"/>
      <c r="B6006"/>
      <c r="D6006"/>
      <c r="G6006"/>
      <c r="L6006"/>
    </row>
    <row r="6007" spans="1:12" x14ac:dyDescent="0.25">
      <c r="A6007"/>
      <c r="B6007"/>
      <c r="D6007"/>
      <c r="G6007"/>
      <c r="L6007"/>
    </row>
    <row r="6008" spans="1:12" x14ac:dyDescent="0.25">
      <c r="A6008"/>
      <c r="B6008"/>
      <c r="D6008"/>
      <c r="G6008"/>
      <c r="L6008"/>
    </row>
    <row r="6009" spans="1:12" x14ac:dyDescent="0.25">
      <c r="A6009"/>
      <c r="B6009"/>
      <c r="D6009"/>
      <c r="G6009"/>
      <c r="L6009"/>
    </row>
    <row r="6010" spans="1:12" x14ac:dyDescent="0.25">
      <c r="A6010"/>
      <c r="B6010"/>
      <c r="D6010"/>
      <c r="G6010"/>
      <c r="L6010"/>
    </row>
    <row r="6011" spans="1:12" x14ac:dyDescent="0.25">
      <c r="A6011"/>
      <c r="B6011"/>
      <c r="D6011"/>
      <c r="G6011"/>
      <c r="L6011"/>
    </row>
    <row r="6012" spans="1:12" x14ac:dyDescent="0.25">
      <c r="A6012"/>
      <c r="B6012"/>
      <c r="D6012"/>
      <c r="G6012"/>
      <c r="L6012"/>
    </row>
    <row r="6013" spans="1:12" x14ac:dyDescent="0.25">
      <c r="A6013"/>
      <c r="B6013"/>
      <c r="D6013"/>
      <c r="G6013"/>
      <c r="L6013"/>
    </row>
    <row r="6014" spans="1:12" x14ac:dyDescent="0.25">
      <c r="A6014"/>
      <c r="B6014"/>
      <c r="D6014"/>
      <c r="G6014"/>
      <c r="L6014"/>
    </row>
    <row r="6015" spans="1:12" x14ac:dyDescent="0.25">
      <c r="A6015"/>
      <c r="B6015"/>
      <c r="D6015"/>
      <c r="G6015"/>
      <c r="L6015"/>
    </row>
    <row r="6016" spans="1:12" x14ac:dyDescent="0.25">
      <c r="A6016"/>
      <c r="B6016"/>
      <c r="D6016"/>
      <c r="G6016"/>
      <c r="L6016"/>
    </row>
    <row r="6017" spans="1:12" x14ac:dyDescent="0.25">
      <c r="A6017"/>
      <c r="B6017"/>
      <c r="D6017"/>
      <c r="G6017"/>
      <c r="L6017"/>
    </row>
    <row r="6018" spans="1:12" x14ac:dyDescent="0.25">
      <c r="A6018"/>
      <c r="B6018"/>
      <c r="D6018"/>
      <c r="G6018"/>
      <c r="L6018"/>
    </row>
    <row r="6019" spans="1:12" x14ac:dyDescent="0.25">
      <c r="A6019"/>
      <c r="B6019"/>
      <c r="D6019"/>
      <c r="G6019"/>
      <c r="L6019"/>
    </row>
    <row r="6020" spans="1:12" x14ac:dyDescent="0.25">
      <c r="A6020"/>
      <c r="B6020"/>
      <c r="D6020"/>
      <c r="G6020"/>
      <c r="L6020"/>
    </row>
    <row r="6021" spans="1:12" x14ac:dyDescent="0.25">
      <c r="A6021"/>
      <c r="B6021"/>
      <c r="D6021"/>
      <c r="G6021"/>
      <c r="L6021"/>
    </row>
    <row r="6022" spans="1:12" x14ac:dyDescent="0.25">
      <c r="A6022"/>
      <c r="B6022"/>
      <c r="D6022"/>
      <c r="G6022"/>
      <c r="L6022"/>
    </row>
    <row r="6023" spans="1:12" x14ac:dyDescent="0.25">
      <c r="A6023"/>
      <c r="B6023"/>
      <c r="D6023"/>
      <c r="G6023"/>
      <c r="L6023"/>
    </row>
    <row r="6024" spans="1:12" x14ac:dyDescent="0.25">
      <c r="A6024"/>
      <c r="B6024"/>
      <c r="D6024"/>
      <c r="G6024"/>
      <c r="L6024"/>
    </row>
    <row r="6025" spans="1:12" x14ac:dyDescent="0.25">
      <c r="A6025"/>
      <c r="B6025"/>
      <c r="D6025"/>
      <c r="G6025"/>
      <c r="L6025"/>
    </row>
    <row r="6026" spans="1:12" x14ac:dyDescent="0.25">
      <c r="A6026"/>
      <c r="B6026"/>
      <c r="D6026"/>
      <c r="G6026"/>
      <c r="L6026"/>
    </row>
    <row r="6027" spans="1:12" x14ac:dyDescent="0.25">
      <c r="A6027"/>
      <c r="B6027"/>
      <c r="D6027"/>
      <c r="G6027"/>
      <c r="L6027"/>
    </row>
    <row r="6028" spans="1:12" x14ac:dyDescent="0.25">
      <c r="A6028"/>
      <c r="B6028"/>
      <c r="D6028"/>
      <c r="G6028"/>
      <c r="L6028"/>
    </row>
    <row r="6029" spans="1:12" x14ac:dyDescent="0.25">
      <c r="A6029"/>
      <c r="B6029"/>
      <c r="D6029"/>
      <c r="G6029"/>
      <c r="L6029"/>
    </row>
    <row r="6030" spans="1:12" x14ac:dyDescent="0.25">
      <c r="A6030"/>
      <c r="B6030"/>
      <c r="D6030"/>
      <c r="G6030"/>
      <c r="L6030"/>
    </row>
    <row r="6031" spans="1:12" x14ac:dyDescent="0.25">
      <c r="A6031"/>
      <c r="B6031"/>
      <c r="D6031"/>
      <c r="G6031"/>
      <c r="L6031"/>
    </row>
    <row r="6032" spans="1:12" x14ac:dyDescent="0.25">
      <c r="A6032"/>
      <c r="B6032"/>
      <c r="D6032"/>
      <c r="G6032"/>
      <c r="L6032"/>
    </row>
    <row r="6033" spans="1:12" x14ac:dyDescent="0.25">
      <c r="A6033"/>
      <c r="B6033"/>
      <c r="D6033"/>
      <c r="G6033"/>
      <c r="L6033"/>
    </row>
    <row r="6034" spans="1:12" x14ac:dyDescent="0.25">
      <c r="A6034"/>
      <c r="B6034"/>
      <c r="D6034"/>
      <c r="G6034"/>
      <c r="L6034"/>
    </row>
    <row r="6035" spans="1:12" x14ac:dyDescent="0.25">
      <c r="A6035"/>
      <c r="B6035"/>
      <c r="D6035"/>
      <c r="G6035"/>
      <c r="L6035"/>
    </row>
    <row r="6036" spans="1:12" x14ac:dyDescent="0.25">
      <c r="A6036"/>
      <c r="B6036"/>
      <c r="D6036"/>
      <c r="G6036"/>
      <c r="L6036"/>
    </row>
    <row r="6037" spans="1:12" x14ac:dyDescent="0.25">
      <c r="A6037"/>
      <c r="B6037"/>
      <c r="D6037"/>
      <c r="G6037"/>
      <c r="L6037"/>
    </row>
    <row r="6038" spans="1:12" x14ac:dyDescent="0.25">
      <c r="A6038"/>
      <c r="B6038"/>
      <c r="D6038"/>
      <c r="G6038"/>
      <c r="L6038"/>
    </row>
    <row r="6039" spans="1:12" x14ac:dyDescent="0.25">
      <c r="A6039"/>
      <c r="B6039"/>
      <c r="D6039"/>
      <c r="G6039"/>
      <c r="L6039"/>
    </row>
    <row r="6040" spans="1:12" x14ac:dyDescent="0.25">
      <c r="A6040"/>
      <c r="B6040"/>
      <c r="D6040"/>
      <c r="G6040"/>
      <c r="L6040"/>
    </row>
    <row r="6041" spans="1:12" x14ac:dyDescent="0.25">
      <c r="A6041"/>
      <c r="B6041"/>
      <c r="D6041"/>
      <c r="G6041"/>
      <c r="L6041"/>
    </row>
    <row r="6042" spans="1:12" x14ac:dyDescent="0.25">
      <c r="A6042"/>
      <c r="B6042"/>
      <c r="D6042"/>
      <c r="G6042"/>
      <c r="L6042"/>
    </row>
    <row r="6043" spans="1:12" x14ac:dyDescent="0.25">
      <c r="A6043"/>
      <c r="B6043"/>
      <c r="D6043"/>
      <c r="G6043"/>
      <c r="L6043"/>
    </row>
    <row r="6044" spans="1:12" x14ac:dyDescent="0.25">
      <c r="A6044"/>
      <c r="B6044"/>
      <c r="D6044"/>
      <c r="G6044"/>
      <c r="L6044"/>
    </row>
    <row r="6045" spans="1:12" x14ac:dyDescent="0.25">
      <c r="A6045"/>
      <c r="B6045"/>
      <c r="D6045"/>
      <c r="G6045"/>
      <c r="L6045"/>
    </row>
    <row r="6046" spans="1:12" x14ac:dyDescent="0.25">
      <c r="A6046"/>
      <c r="B6046"/>
      <c r="D6046"/>
      <c r="G6046"/>
      <c r="L6046"/>
    </row>
    <row r="6047" spans="1:12" x14ac:dyDescent="0.25">
      <c r="A6047"/>
      <c r="B6047"/>
      <c r="D6047"/>
      <c r="G6047"/>
      <c r="L6047"/>
    </row>
    <row r="6048" spans="1:12" x14ac:dyDescent="0.25">
      <c r="A6048"/>
      <c r="B6048"/>
      <c r="D6048"/>
      <c r="G6048"/>
      <c r="L6048"/>
    </row>
    <row r="6049" spans="1:12" x14ac:dyDescent="0.25">
      <c r="A6049"/>
      <c r="B6049"/>
      <c r="D6049"/>
      <c r="G6049"/>
      <c r="L6049"/>
    </row>
    <row r="6050" spans="1:12" x14ac:dyDescent="0.25">
      <c r="A6050"/>
      <c r="B6050"/>
      <c r="D6050"/>
      <c r="G6050"/>
      <c r="L6050"/>
    </row>
    <row r="6051" spans="1:12" x14ac:dyDescent="0.25">
      <c r="A6051"/>
      <c r="B6051"/>
      <c r="D6051"/>
      <c r="G6051"/>
      <c r="L6051"/>
    </row>
    <row r="6052" spans="1:12" x14ac:dyDescent="0.25">
      <c r="A6052"/>
      <c r="B6052"/>
      <c r="D6052"/>
      <c r="G6052"/>
      <c r="L6052"/>
    </row>
    <row r="6053" spans="1:12" x14ac:dyDescent="0.25">
      <c r="A6053"/>
      <c r="B6053"/>
      <c r="D6053"/>
      <c r="G6053"/>
      <c r="L6053"/>
    </row>
    <row r="6054" spans="1:12" x14ac:dyDescent="0.25">
      <c r="A6054"/>
      <c r="B6054"/>
      <c r="D6054"/>
      <c r="G6054"/>
      <c r="L6054"/>
    </row>
    <row r="6055" spans="1:12" x14ac:dyDescent="0.25">
      <c r="A6055"/>
      <c r="B6055"/>
      <c r="D6055"/>
      <c r="G6055"/>
      <c r="L6055"/>
    </row>
    <row r="6056" spans="1:12" x14ac:dyDescent="0.25">
      <c r="A6056"/>
      <c r="B6056"/>
      <c r="D6056"/>
      <c r="G6056"/>
      <c r="L6056"/>
    </row>
    <row r="6057" spans="1:12" x14ac:dyDescent="0.25">
      <c r="A6057"/>
      <c r="B6057"/>
      <c r="D6057"/>
      <c r="G6057"/>
      <c r="L6057"/>
    </row>
    <row r="6058" spans="1:12" x14ac:dyDescent="0.25">
      <c r="A6058"/>
      <c r="B6058"/>
      <c r="D6058"/>
      <c r="G6058"/>
      <c r="L6058"/>
    </row>
    <row r="6059" spans="1:12" x14ac:dyDescent="0.25">
      <c r="A6059"/>
      <c r="B6059"/>
      <c r="D6059"/>
      <c r="G6059"/>
      <c r="L6059"/>
    </row>
    <row r="6060" spans="1:12" x14ac:dyDescent="0.25">
      <c r="A6060"/>
      <c r="B6060"/>
      <c r="D6060"/>
      <c r="G6060"/>
      <c r="L6060"/>
    </row>
    <row r="6061" spans="1:12" x14ac:dyDescent="0.25">
      <c r="A6061"/>
      <c r="B6061"/>
      <c r="D6061"/>
      <c r="G6061"/>
      <c r="L6061"/>
    </row>
    <row r="6062" spans="1:12" x14ac:dyDescent="0.25">
      <c r="A6062"/>
      <c r="B6062"/>
      <c r="D6062"/>
      <c r="G6062"/>
      <c r="L6062"/>
    </row>
    <row r="6063" spans="1:12" x14ac:dyDescent="0.25">
      <c r="A6063"/>
      <c r="B6063"/>
      <c r="D6063"/>
      <c r="G6063"/>
      <c r="L6063"/>
    </row>
    <row r="6064" spans="1:12" x14ac:dyDescent="0.25">
      <c r="A6064"/>
      <c r="B6064"/>
      <c r="D6064"/>
      <c r="G6064"/>
      <c r="L6064"/>
    </row>
    <row r="6065" spans="1:12" x14ac:dyDescent="0.25">
      <c r="A6065"/>
      <c r="B6065"/>
      <c r="D6065"/>
      <c r="G6065"/>
      <c r="L6065"/>
    </row>
    <row r="6066" spans="1:12" x14ac:dyDescent="0.25">
      <c r="A6066"/>
      <c r="B6066"/>
      <c r="D6066"/>
      <c r="G6066"/>
      <c r="L6066"/>
    </row>
    <row r="6067" spans="1:12" x14ac:dyDescent="0.25">
      <c r="A6067"/>
      <c r="B6067"/>
      <c r="D6067"/>
      <c r="G6067"/>
      <c r="L6067"/>
    </row>
    <row r="6068" spans="1:12" x14ac:dyDescent="0.25">
      <c r="A6068"/>
      <c r="B6068"/>
      <c r="D6068"/>
      <c r="G6068"/>
      <c r="L6068"/>
    </row>
    <row r="6069" spans="1:12" x14ac:dyDescent="0.25">
      <c r="A6069"/>
      <c r="B6069"/>
      <c r="D6069"/>
      <c r="G6069"/>
      <c r="L6069"/>
    </row>
    <row r="6070" spans="1:12" x14ac:dyDescent="0.25">
      <c r="A6070"/>
      <c r="B6070"/>
      <c r="D6070"/>
      <c r="G6070"/>
      <c r="L6070"/>
    </row>
    <row r="6071" spans="1:12" x14ac:dyDescent="0.25">
      <c r="A6071"/>
      <c r="B6071"/>
      <c r="D6071"/>
      <c r="G6071"/>
      <c r="L6071"/>
    </row>
    <row r="6072" spans="1:12" x14ac:dyDescent="0.25">
      <c r="A6072"/>
      <c r="B6072"/>
      <c r="D6072"/>
      <c r="G6072"/>
      <c r="L6072"/>
    </row>
    <row r="6073" spans="1:12" x14ac:dyDescent="0.25">
      <c r="A6073"/>
      <c r="B6073"/>
      <c r="D6073"/>
      <c r="G6073"/>
      <c r="L6073"/>
    </row>
    <row r="6074" spans="1:12" x14ac:dyDescent="0.25">
      <c r="A6074"/>
      <c r="B6074"/>
      <c r="D6074"/>
      <c r="G6074"/>
      <c r="L6074"/>
    </row>
    <row r="6075" spans="1:12" x14ac:dyDescent="0.25">
      <c r="A6075"/>
      <c r="B6075"/>
      <c r="D6075"/>
      <c r="G6075"/>
      <c r="L6075"/>
    </row>
    <row r="6076" spans="1:12" x14ac:dyDescent="0.25">
      <c r="A6076"/>
      <c r="B6076"/>
      <c r="D6076"/>
      <c r="G6076"/>
      <c r="L6076"/>
    </row>
    <row r="6077" spans="1:12" x14ac:dyDescent="0.25">
      <c r="A6077"/>
      <c r="B6077"/>
      <c r="D6077"/>
      <c r="G6077"/>
      <c r="L6077"/>
    </row>
    <row r="6078" spans="1:12" x14ac:dyDescent="0.25">
      <c r="A6078"/>
      <c r="B6078"/>
      <c r="D6078"/>
      <c r="G6078"/>
      <c r="L6078"/>
    </row>
    <row r="6079" spans="1:12" x14ac:dyDescent="0.25">
      <c r="A6079"/>
      <c r="B6079"/>
      <c r="D6079"/>
      <c r="G6079"/>
      <c r="L6079"/>
    </row>
    <row r="6080" spans="1:12" x14ac:dyDescent="0.25">
      <c r="A6080"/>
      <c r="B6080"/>
      <c r="D6080"/>
      <c r="G6080"/>
      <c r="L6080"/>
    </row>
    <row r="6081" spans="1:12" x14ac:dyDescent="0.25">
      <c r="A6081"/>
      <c r="B6081"/>
      <c r="D6081"/>
      <c r="G6081"/>
      <c r="L6081"/>
    </row>
    <row r="6082" spans="1:12" x14ac:dyDescent="0.25">
      <c r="A6082"/>
      <c r="B6082"/>
      <c r="D6082"/>
      <c r="G6082"/>
      <c r="L6082"/>
    </row>
    <row r="6083" spans="1:12" x14ac:dyDescent="0.25">
      <c r="A6083"/>
      <c r="B6083"/>
      <c r="D6083"/>
      <c r="G6083"/>
      <c r="L6083"/>
    </row>
    <row r="6084" spans="1:12" x14ac:dyDescent="0.25">
      <c r="A6084"/>
      <c r="B6084"/>
      <c r="D6084"/>
      <c r="G6084"/>
      <c r="L6084"/>
    </row>
    <row r="6085" spans="1:12" x14ac:dyDescent="0.25">
      <c r="A6085"/>
      <c r="B6085"/>
      <c r="D6085"/>
      <c r="G6085"/>
      <c r="L6085"/>
    </row>
    <row r="6086" spans="1:12" x14ac:dyDescent="0.25">
      <c r="A6086"/>
      <c r="B6086"/>
      <c r="D6086"/>
      <c r="G6086"/>
      <c r="L6086"/>
    </row>
    <row r="6087" spans="1:12" x14ac:dyDescent="0.25">
      <c r="A6087"/>
      <c r="B6087"/>
      <c r="D6087"/>
      <c r="G6087"/>
      <c r="L6087"/>
    </row>
    <row r="6088" spans="1:12" x14ac:dyDescent="0.25">
      <c r="A6088"/>
      <c r="B6088"/>
      <c r="D6088"/>
      <c r="G6088"/>
      <c r="L6088"/>
    </row>
    <row r="6089" spans="1:12" x14ac:dyDescent="0.25">
      <c r="A6089"/>
      <c r="B6089"/>
      <c r="D6089"/>
      <c r="G6089"/>
      <c r="L6089"/>
    </row>
    <row r="6090" spans="1:12" x14ac:dyDescent="0.25">
      <c r="A6090"/>
      <c r="B6090"/>
      <c r="D6090"/>
      <c r="G6090"/>
      <c r="L6090"/>
    </row>
    <row r="6091" spans="1:12" x14ac:dyDescent="0.25">
      <c r="A6091"/>
      <c r="B6091"/>
      <c r="D6091"/>
      <c r="G6091"/>
      <c r="L6091"/>
    </row>
    <row r="6092" spans="1:12" x14ac:dyDescent="0.25">
      <c r="A6092"/>
      <c r="B6092"/>
      <c r="D6092"/>
      <c r="G6092"/>
      <c r="L6092"/>
    </row>
    <row r="6093" spans="1:12" x14ac:dyDescent="0.25">
      <c r="A6093"/>
      <c r="B6093"/>
      <c r="D6093"/>
      <c r="G6093"/>
      <c r="L6093"/>
    </row>
    <row r="6094" spans="1:12" x14ac:dyDescent="0.25">
      <c r="A6094"/>
      <c r="B6094"/>
      <c r="D6094"/>
      <c r="G6094"/>
      <c r="L6094"/>
    </row>
    <row r="6095" spans="1:12" x14ac:dyDescent="0.25">
      <c r="A6095"/>
      <c r="B6095"/>
      <c r="D6095"/>
      <c r="G6095"/>
      <c r="L6095"/>
    </row>
    <row r="6096" spans="1:12" x14ac:dyDescent="0.25">
      <c r="A6096"/>
      <c r="B6096"/>
      <c r="D6096"/>
      <c r="G6096"/>
      <c r="L6096"/>
    </row>
    <row r="6097" spans="1:12" x14ac:dyDescent="0.25">
      <c r="A6097"/>
      <c r="B6097"/>
      <c r="D6097"/>
      <c r="G6097"/>
      <c r="L6097"/>
    </row>
    <row r="6098" spans="1:12" x14ac:dyDescent="0.25">
      <c r="A6098"/>
      <c r="B6098"/>
      <c r="D6098"/>
      <c r="G6098"/>
      <c r="L6098"/>
    </row>
    <row r="6099" spans="1:12" x14ac:dyDescent="0.25">
      <c r="A6099"/>
      <c r="B6099"/>
      <c r="D6099"/>
      <c r="G6099"/>
      <c r="L6099"/>
    </row>
    <row r="6100" spans="1:12" x14ac:dyDescent="0.25">
      <c r="A6100"/>
      <c r="B6100"/>
      <c r="D6100"/>
      <c r="G6100"/>
      <c r="L6100"/>
    </row>
    <row r="6101" spans="1:12" x14ac:dyDescent="0.25">
      <c r="A6101"/>
      <c r="B6101"/>
      <c r="D6101"/>
      <c r="G6101"/>
      <c r="L6101"/>
    </row>
    <row r="6102" spans="1:12" x14ac:dyDescent="0.25">
      <c r="A6102"/>
      <c r="B6102"/>
      <c r="D6102"/>
      <c r="G6102"/>
      <c r="L6102"/>
    </row>
    <row r="6103" spans="1:12" x14ac:dyDescent="0.25">
      <c r="A6103"/>
      <c r="B6103"/>
      <c r="D6103"/>
      <c r="G6103"/>
      <c r="L6103"/>
    </row>
    <row r="6104" spans="1:12" x14ac:dyDescent="0.25">
      <c r="A6104"/>
      <c r="B6104"/>
      <c r="D6104"/>
      <c r="G6104"/>
      <c r="L6104"/>
    </row>
    <row r="6105" spans="1:12" x14ac:dyDescent="0.25">
      <c r="A6105"/>
      <c r="B6105"/>
      <c r="D6105"/>
      <c r="G6105"/>
      <c r="L6105"/>
    </row>
    <row r="6106" spans="1:12" x14ac:dyDescent="0.25">
      <c r="A6106"/>
      <c r="B6106"/>
      <c r="D6106"/>
      <c r="G6106"/>
      <c r="L6106"/>
    </row>
    <row r="6107" spans="1:12" x14ac:dyDescent="0.25">
      <c r="A6107"/>
      <c r="B6107"/>
      <c r="D6107"/>
      <c r="G6107"/>
      <c r="L6107"/>
    </row>
    <row r="6108" spans="1:12" x14ac:dyDescent="0.25">
      <c r="A6108"/>
      <c r="B6108"/>
      <c r="D6108"/>
      <c r="G6108"/>
      <c r="L6108"/>
    </row>
    <row r="6109" spans="1:12" x14ac:dyDescent="0.25">
      <c r="A6109"/>
      <c r="B6109"/>
      <c r="D6109"/>
      <c r="G6109"/>
      <c r="L6109"/>
    </row>
    <row r="6110" spans="1:12" x14ac:dyDescent="0.25">
      <c r="A6110"/>
      <c r="B6110"/>
      <c r="D6110"/>
      <c r="G6110"/>
      <c r="L6110"/>
    </row>
    <row r="6111" spans="1:12" x14ac:dyDescent="0.25">
      <c r="A6111"/>
      <c r="B6111"/>
      <c r="D6111"/>
      <c r="G6111"/>
      <c r="L6111"/>
    </row>
    <row r="6112" spans="1:12" x14ac:dyDescent="0.25">
      <c r="A6112"/>
      <c r="B6112"/>
      <c r="D6112"/>
      <c r="G6112"/>
      <c r="L6112"/>
    </row>
    <row r="6113" spans="1:12" x14ac:dyDescent="0.25">
      <c r="A6113"/>
      <c r="B6113"/>
      <c r="D6113"/>
      <c r="G6113"/>
      <c r="L6113"/>
    </row>
    <row r="6114" spans="1:12" x14ac:dyDescent="0.25">
      <c r="A6114"/>
      <c r="B6114"/>
      <c r="D6114"/>
      <c r="G6114"/>
      <c r="L6114"/>
    </row>
    <row r="6115" spans="1:12" x14ac:dyDescent="0.25">
      <c r="A6115"/>
      <c r="B6115"/>
      <c r="D6115"/>
      <c r="G6115"/>
      <c r="L6115"/>
    </row>
    <row r="6116" spans="1:12" x14ac:dyDescent="0.25">
      <c r="A6116"/>
      <c r="B6116"/>
      <c r="D6116"/>
      <c r="G6116"/>
      <c r="L6116"/>
    </row>
    <row r="6117" spans="1:12" x14ac:dyDescent="0.25">
      <c r="A6117"/>
      <c r="B6117"/>
      <c r="D6117"/>
      <c r="G6117"/>
      <c r="L6117"/>
    </row>
    <row r="6118" spans="1:12" x14ac:dyDescent="0.25">
      <c r="A6118"/>
      <c r="B6118"/>
      <c r="D6118"/>
      <c r="G6118"/>
      <c r="L6118"/>
    </row>
    <row r="6119" spans="1:12" x14ac:dyDescent="0.25">
      <c r="A6119"/>
      <c r="B6119"/>
      <c r="D6119"/>
      <c r="G6119"/>
      <c r="L6119"/>
    </row>
    <row r="6120" spans="1:12" x14ac:dyDescent="0.25">
      <c r="A6120"/>
      <c r="B6120"/>
      <c r="D6120"/>
      <c r="G6120"/>
      <c r="L6120"/>
    </row>
    <row r="6121" spans="1:12" x14ac:dyDescent="0.25">
      <c r="A6121"/>
      <c r="B6121"/>
      <c r="D6121"/>
      <c r="G6121"/>
      <c r="L6121"/>
    </row>
    <row r="6122" spans="1:12" x14ac:dyDescent="0.25">
      <c r="A6122"/>
      <c r="B6122"/>
      <c r="D6122"/>
      <c r="G6122"/>
      <c r="L6122"/>
    </row>
    <row r="6123" spans="1:12" x14ac:dyDescent="0.25">
      <c r="A6123"/>
      <c r="B6123"/>
      <c r="D6123"/>
      <c r="G6123"/>
      <c r="L6123"/>
    </row>
    <row r="6124" spans="1:12" x14ac:dyDescent="0.25">
      <c r="A6124"/>
      <c r="B6124"/>
      <c r="D6124"/>
      <c r="G6124"/>
      <c r="L6124"/>
    </row>
    <row r="6125" spans="1:12" x14ac:dyDescent="0.25">
      <c r="A6125"/>
      <c r="B6125"/>
      <c r="D6125"/>
      <c r="G6125"/>
      <c r="L6125"/>
    </row>
    <row r="6126" spans="1:12" x14ac:dyDescent="0.25">
      <c r="A6126"/>
      <c r="B6126"/>
      <c r="D6126"/>
      <c r="G6126"/>
      <c r="L6126"/>
    </row>
    <row r="6127" spans="1:12" x14ac:dyDescent="0.25">
      <c r="A6127"/>
      <c r="B6127"/>
      <c r="D6127"/>
      <c r="G6127"/>
      <c r="L6127"/>
    </row>
    <row r="6128" spans="1:12" x14ac:dyDescent="0.25">
      <c r="A6128"/>
      <c r="B6128"/>
      <c r="D6128"/>
      <c r="G6128"/>
      <c r="L6128"/>
    </row>
    <row r="6129" spans="1:12" x14ac:dyDescent="0.25">
      <c r="A6129"/>
      <c r="B6129"/>
      <c r="D6129"/>
      <c r="G6129"/>
      <c r="L6129"/>
    </row>
    <row r="6130" spans="1:12" x14ac:dyDescent="0.25">
      <c r="A6130"/>
      <c r="B6130"/>
      <c r="D6130"/>
      <c r="G6130"/>
      <c r="L6130"/>
    </row>
    <row r="6131" spans="1:12" x14ac:dyDescent="0.25">
      <c r="A6131"/>
      <c r="B6131"/>
      <c r="D6131"/>
      <c r="G6131"/>
      <c r="L6131"/>
    </row>
    <row r="6132" spans="1:12" x14ac:dyDescent="0.25">
      <c r="A6132"/>
      <c r="B6132"/>
      <c r="D6132"/>
      <c r="G6132"/>
      <c r="L6132"/>
    </row>
    <row r="6133" spans="1:12" x14ac:dyDescent="0.25">
      <c r="A6133"/>
      <c r="B6133"/>
      <c r="D6133"/>
      <c r="G6133"/>
      <c r="L6133"/>
    </row>
    <row r="6134" spans="1:12" x14ac:dyDescent="0.25">
      <c r="A6134"/>
      <c r="B6134"/>
      <c r="D6134"/>
      <c r="G6134"/>
      <c r="L6134"/>
    </row>
    <row r="6135" spans="1:12" x14ac:dyDescent="0.25">
      <c r="A6135"/>
      <c r="B6135"/>
      <c r="D6135"/>
      <c r="G6135"/>
      <c r="L6135"/>
    </row>
    <row r="6136" spans="1:12" x14ac:dyDescent="0.25">
      <c r="A6136"/>
      <c r="B6136"/>
      <c r="D6136"/>
      <c r="G6136"/>
      <c r="L6136"/>
    </row>
    <row r="6137" spans="1:12" x14ac:dyDescent="0.25">
      <c r="A6137"/>
      <c r="B6137"/>
      <c r="D6137"/>
      <c r="G6137"/>
      <c r="L6137"/>
    </row>
    <row r="6138" spans="1:12" x14ac:dyDescent="0.25">
      <c r="A6138"/>
      <c r="B6138"/>
      <c r="D6138"/>
      <c r="G6138"/>
      <c r="L6138"/>
    </row>
    <row r="6139" spans="1:12" x14ac:dyDescent="0.25">
      <c r="A6139"/>
      <c r="B6139"/>
      <c r="D6139"/>
      <c r="G6139"/>
      <c r="L6139"/>
    </row>
    <row r="6140" spans="1:12" x14ac:dyDescent="0.25">
      <c r="A6140"/>
      <c r="B6140"/>
      <c r="D6140"/>
      <c r="G6140"/>
      <c r="L6140"/>
    </row>
    <row r="6141" spans="1:12" x14ac:dyDescent="0.25">
      <c r="A6141"/>
      <c r="B6141"/>
      <c r="D6141"/>
      <c r="G6141"/>
      <c r="L6141"/>
    </row>
    <row r="6142" spans="1:12" x14ac:dyDescent="0.25">
      <c r="A6142"/>
      <c r="B6142"/>
      <c r="D6142"/>
      <c r="G6142"/>
      <c r="L6142"/>
    </row>
    <row r="6143" spans="1:12" x14ac:dyDescent="0.25">
      <c r="A6143"/>
      <c r="B6143"/>
      <c r="D6143"/>
      <c r="G6143"/>
      <c r="L6143"/>
    </row>
    <row r="6144" spans="1:12" x14ac:dyDescent="0.25">
      <c r="A6144"/>
      <c r="B6144"/>
      <c r="D6144"/>
      <c r="G6144"/>
      <c r="L6144"/>
    </row>
    <row r="6145" spans="1:12" x14ac:dyDescent="0.25">
      <c r="A6145"/>
      <c r="B6145"/>
      <c r="D6145"/>
      <c r="G6145"/>
      <c r="L6145"/>
    </row>
    <row r="6146" spans="1:12" x14ac:dyDescent="0.25">
      <c r="A6146"/>
      <c r="B6146"/>
      <c r="D6146"/>
      <c r="G6146"/>
      <c r="L6146"/>
    </row>
    <row r="6147" spans="1:12" x14ac:dyDescent="0.25">
      <c r="A6147"/>
      <c r="B6147"/>
      <c r="D6147"/>
      <c r="G6147"/>
      <c r="L6147"/>
    </row>
    <row r="6148" spans="1:12" x14ac:dyDescent="0.25">
      <c r="A6148"/>
      <c r="B6148"/>
      <c r="D6148"/>
      <c r="G6148"/>
      <c r="L6148"/>
    </row>
    <row r="6149" spans="1:12" x14ac:dyDescent="0.25">
      <c r="A6149"/>
      <c r="B6149"/>
      <c r="D6149"/>
      <c r="G6149"/>
      <c r="L6149"/>
    </row>
    <row r="6150" spans="1:12" x14ac:dyDescent="0.25">
      <c r="A6150"/>
      <c r="B6150"/>
      <c r="D6150"/>
      <c r="G6150"/>
      <c r="L6150"/>
    </row>
    <row r="6151" spans="1:12" x14ac:dyDescent="0.25">
      <c r="A6151"/>
      <c r="B6151"/>
      <c r="D6151"/>
      <c r="G6151"/>
      <c r="L6151"/>
    </row>
    <row r="6152" spans="1:12" x14ac:dyDescent="0.25">
      <c r="A6152"/>
      <c r="B6152"/>
      <c r="D6152"/>
      <c r="G6152"/>
      <c r="L6152"/>
    </row>
    <row r="6153" spans="1:12" x14ac:dyDescent="0.25">
      <c r="A6153"/>
      <c r="B6153"/>
      <c r="D6153"/>
      <c r="G6153"/>
      <c r="L6153"/>
    </row>
    <row r="6154" spans="1:12" x14ac:dyDescent="0.25">
      <c r="A6154"/>
      <c r="B6154"/>
      <c r="D6154"/>
      <c r="G6154"/>
      <c r="L6154"/>
    </row>
    <row r="6155" spans="1:12" x14ac:dyDescent="0.25">
      <c r="A6155"/>
      <c r="B6155"/>
      <c r="D6155"/>
      <c r="G6155"/>
      <c r="L6155"/>
    </row>
    <row r="6156" spans="1:12" x14ac:dyDescent="0.25">
      <c r="A6156"/>
      <c r="B6156"/>
      <c r="D6156"/>
      <c r="G6156"/>
      <c r="L6156"/>
    </row>
    <row r="6157" spans="1:12" x14ac:dyDescent="0.25">
      <c r="A6157"/>
      <c r="B6157"/>
      <c r="D6157"/>
      <c r="G6157"/>
      <c r="L6157"/>
    </row>
    <row r="6158" spans="1:12" x14ac:dyDescent="0.25">
      <c r="A6158"/>
      <c r="B6158"/>
      <c r="D6158"/>
      <c r="G6158"/>
      <c r="L6158"/>
    </row>
    <row r="6159" spans="1:12" x14ac:dyDescent="0.25">
      <c r="A6159"/>
      <c r="B6159"/>
      <c r="D6159"/>
      <c r="G6159"/>
      <c r="L6159"/>
    </row>
    <row r="6160" spans="1:12" x14ac:dyDescent="0.25">
      <c r="A6160"/>
      <c r="B6160"/>
      <c r="D6160"/>
      <c r="G6160"/>
      <c r="L6160"/>
    </row>
    <row r="6161" spans="1:12" x14ac:dyDescent="0.25">
      <c r="A6161"/>
      <c r="B6161"/>
      <c r="D6161"/>
      <c r="G6161"/>
      <c r="L6161"/>
    </row>
    <row r="6162" spans="1:12" x14ac:dyDescent="0.25">
      <c r="A6162"/>
      <c r="B6162"/>
      <c r="D6162"/>
      <c r="G6162"/>
      <c r="L6162"/>
    </row>
    <row r="6163" spans="1:12" x14ac:dyDescent="0.25">
      <c r="A6163"/>
      <c r="B6163"/>
      <c r="D6163"/>
      <c r="G6163"/>
      <c r="L6163"/>
    </row>
    <row r="6164" spans="1:12" x14ac:dyDescent="0.25">
      <c r="A6164"/>
      <c r="B6164"/>
      <c r="D6164"/>
      <c r="G6164"/>
      <c r="L6164"/>
    </row>
    <row r="6165" spans="1:12" x14ac:dyDescent="0.25">
      <c r="A6165"/>
      <c r="B6165"/>
      <c r="D6165"/>
      <c r="G6165"/>
      <c r="L6165"/>
    </row>
    <row r="6166" spans="1:12" x14ac:dyDescent="0.25">
      <c r="A6166"/>
      <c r="B6166"/>
      <c r="D6166"/>
      <c r="G6166"/>
      <c r="L6166"/>
    </row>
    <row r="6167" spans="1:12" x14ac:dyDescent="0.25">
      <c r="A6167"/>
      <c r="B6167"/>
      <c r="D6167"/>
      <c r="G6167"/>
      <c r="L6167"/>
    </row>
    <row r="6168" spans="1:12" x14ac:dyDescent="0.25">
      <c r="A6168"/>
      <c r="B6168"/>
      <c r="D6168"/>
      <c r="G6168"/>
      <c r="L6168"/>
    </row>
    <row r="6169" spans="1:12" x14ac:dyDescent="0.25">
      <c r="A6169"/>
      <c r="B6169"/>
      <c r="D6169"/>
      <c r="G6169"/>
      <c r="L6169"/>
    </row>
    <row r="6170" spans="1:12" x14ac:dyDescent="0.25">
      <c r="A6170"/>
      <c r="B6170"/>
      <c r="D6170"/>
      <c r="G6170"/>
      <c r="L6170"/>
    </row>
    <row r="6171" spans="1:12" x14ac:dyDescent="0.25">
      <c r="A6171"/>
      <c r="B6171"/>
      <c r="D6171"/>
      <c r="G6171"/>
      <c r="L6171"/>
    </row>
    <row r="6172" spans="1:12" x14ac:dyDescent="0.25">
      <c r="A6172"/>
      <c r="B6172"/>
      <c r="D6172"/>
      <c r="G6172"/>
      <c r="L6172"/>
    </row>
    <row r="6173" spans="1:12" x14ac:dyDescent="0.25">
      <c r="A6173"/>
      <c r="B6173"/>
      <c r="D6173"/>
      <c r="G6173"/>
      <c r="L6173"/>
    </row>
    <row r="6174" spans="1:12" x14ac:dyDescent="0.25">
      <c r="A6174"/>
      <c r="B6174"/>
      <c r="D6174"/>
      <c r="G6174"/>
      <c r="L6174"/>
    </row>
    <row r="6175" spans="1:12" x14ac:dyDescent="0.25">
      <c r="A6175"/>
      <c r="B6175"/>
      <c r="D6175"/>
      <c r="G6175"/>
      <c r="L6175"/>
    </row>
    <row r="6176" spans="1:12" x14ac:dyDescent="0.25">
      <c r="A6176"/>
      <c r="B6176"/>
      <c r="D6176"/>
      <c r="G6176"/>
      <c r="L6176"/>
    </row>
    <row r="6177" spans="1:12" x14ac:dyDescent="0.25">
      <c r="A6177"/>
      <c r="B6177"/>
      <c r="D6177"/>
      <c r="G6177"/>
      <c r="L6177"/>
    </row>
    <row r="6178" spans="1:12" x14ac:dyDescent="0.25">
      <c r="A6178"/>
      <c r="B6178"/>
      <c r="D6178"/>
      <c r="G6178"/>
      <c r="L6178"/>
    </row>
    <row r="6179" spans="1:12" x14ac:dyDescent="0.25">
      <c r="A6179"/>
      <c r="B6179"/>
      <c r="D6179"/>
      <c r="G6179"/>
      <c r="L6179"/>
    </row>
    <row r="6180" spans="1:12" x14ac:dyDescent="0.25">
      <c r="A6180"/>
      <c r="B6180"/>
      <c r="D6180"/>
      <c r="G6180"/>
      <c r="L6180"/>
    </row>
    <row r="6181" spans="1:12" x14ac:dyDescent="0.25">
      <c r="A6181"/>
      <c r="B6181"/>
      <c r="D6181"/>
      <c r="G6181"/>
      <c r="L6181"/>
    </row>
    <row r="6182" spans="1:12" x14ac:dyDescent="0.25">
      <c r="A6182"/>
      <c r="B6182"/>
      <c r="D6182"/>
      <c r="G6182"/>
      <c r="L6182"/>
    </row>
    <row r="6183" spans="1:12" x14ac:dyDescent="0.25">
      <c r="A6183"/>
      <c r="B6183"/>
      <c r="D6183"/>
      <c r="G6183"/>
      <c r="L6183"/>
    </row>
    <row r="6184" spans="1:12" x14ac:dyDescent="0.25">
      <c r="A6184"/>
      <c r="B6184"/>
      <c r="D6184"/>
      <c r="G6184"/>
      <c r="L6184"/>
    </row>
    <row r="6185" spans="1:12" x14ac:dyDescent="0.25">
      <c r="A6185"/>
      <c r="B6185"/>
      <c r="D6185"/>
      <c r="G6185"/>
      <c r="L6185"/>
    </row>
    <row r="6186" spans="1:12" x14ac:dyDescent="0.25">
      <c r="A6186"/>
      <c r="B6186"/>
      <c r="D6186"/>
      <c r="G6186"/>
      <c r="L6186"/>
    </row>
    <row r="6187" spans="1:12" x14ac:dyDescent="0.25">
      <c r="A6187"/>
      <c r="B6187"/>
      <c r="D6187"/>
      <c r="G6187"/>
      <c r="L6187"/>
    </row>
    <row r="6188" spans="1:12" x14ac:dyDescent="0.25">
      <c r="A6188"/>
      <c r="B6188"/>
      <c r="D6188"/>
      <c r="G6188"/>
      <c r="L6188"/>
    </row>
    <row r="6189" spans="1:12" x14ac:dyDescent="0.25">
      <c r="A6189"/>
      <c r="B6189"/>
      <c r="D6189"/>
      <c r="G6189"/>
      <c r="L6189"/>
    </row>
    <row r="6190" spans="1:12" x14ac:dyDescent="0.25">
      <c r="A6190"/>
      <c r="B6190"/>
      <c r="D6190"/>
      <c r="G6190"/>
      <c r="L6190"/>
    </row>
    <row r="6191" spans="1:12" x14ac:dyDescent="0.25">
      <c r="A6191"/>
      <c r="B6191"/>
      <c r="D6191"/>
      <c r="G6191"/>
      <c r="L6191"/>
    </row>
    <row r="6192" spans="1:12" x14ac:dyDescent="0.25">
      <c r="A6192"/>
      <c r="B6192"/>
      <c r="D6192"/>
      <c r="G6192"/>
      <c r="L6192"/>
    </row>
    <row r="6193" spans="1:12" x14ac:dyDescent="0.25">
      <c r="A6193"/>
      <c r="B6193"/>
      <c r="D6193"/>
      <c r="G6193"/>
      <c r="L6193"/>
    </row>
    <row r="6194" spans="1:12" x14ac:dyDescent="0.25">
      <c r="A6194"/>
      <c r="B6194"/>
      <c r="D6194"/>
      <c r="G6194"/>
      <c r="L6194"/>
    </row>
    <row r="6195" spans="1:12" x14ac:dyDescent="0.25">
      <c r="A6195"/>
      <c r="B6195"/>
      <c r="D6195"/>
      <c r="G6195"/>
      <c r="L6195"/>
    </row>
    <row r="6196" spans="1:12" x14ac:dyDescent="0.25">
      <c r="A6196"/>
      <c r="B6196"/>
      <c r="D6196"/>
      <c r="G6196"/>
      <c r="L6196"/>
    </row>
    <row r="6197" spans="1:12" x14ac:dyDescent="0.25">
      <c r="A6197"/>
      <c r="B6197"/>
      <c r="D6197"/>
      <c r="G6197"/>
      <c r="L6197"/>
    </row>
    <row r="6198" spans="1:12" x14ac:dyDescent="0.25">
      <c r="A6198"/>
      <c r="B6198"/>
      <c r="D6198"/>
      <c r="G6198"/>
      <c r="L6198"/>
    </row>
    <row r="6199" spans="1:12" x14ac:dyDescent="0.25">
      <c r="A6199"/>
      <c r="B6199"/>
      <c r="D6199"/>
      <c r="G6199"/>
      <c r="L6199"/>
    </row>
    <row r="6200" spans="1:12" x14ac:dyDescent="0.25">
      <c r="A6200"/>
      <c r="B6200"/>
      <c r="D6200"/>
      <c r="G6200"/>
      <c r="L6200"/>
    </row>
    <row r="6201" spans="1:12" x14ac:dyDescent="0.25">
      <c r="A6201"/>
      <c r="B6201"/>
      <c r="D6201"/>
      <c r="G6201"/>
      <c r="L6201"/>
    </row>
    <row r="6202" spans="1:12" x14ac:dyDescent="0.25">
      <c r="A6202"/>
      <c r="B6202"/>
      <c r="D6202"/>
      <c r="G6202"/>
      <c r="L6202"/>
    </row>
    <row r="6203" spans="1:12" x14ac:dyDescent="0.25">
      <c r="A6203"/>
      <c r="B6203"/>
      <c r="D6203"/>
      <c r="G6203"/>
      <c r="L6203"/>
    </row>
    <row r="6204" spans="1:12" x14ac:dyDescent="0.25">
      <c r="A6204"/>
      <c r="B6204"/>
      <c r="D6204"/>
      <c r="G6204"/>
      <c r="L6204"/>
    </row>
    <row r="6205" spans="1:12" x14ac:dyDescent="0.25">
      <c r="A6205"/>
      <c r="B6205"/>
      <c r="D6205"/>
      <c r="G6205"/>
      <c r="L6205"/>
    </row>
    <row r="6206" spans="1:12" x14ac:dyDescent="0.25">
      <c r="A6206"/>
      <c r="B6206"/>
      <c r="D6206"/>
      <c r="G6206"/>
      <c r="L6206"/>
    </row>
    <row r="6207" spans="1:12" x14ac:dyDescent="0.25">
      <c r="A6207"/>
      <c r="B6207"/>
      <c r="D6207"/>
      <c r="G6207"/>
      <c r="L6207"/>
    </row>
    <row r="6208" spans="1:12" x14ac:dyDescent="0.25">
      <c r="A6208"/>
      <c r="B6208"/>
      <c r="D6208"/>
      <c r="G6208"/>
      <c r="L6208"/>
    </row>
    <row r="6209" spans="1:12" x14ac:dyDescent="0.25">
      <c r="A6209"/>
      <c r="B6209"/>
      <c r="D6209"/>
      <c r="G6209"/>
      <c r="L6209"/>
    </row>
    <row r="6210" spans="1:12" x14ac:dyDescent="0.25">
      <c r="A6210"/>
      <c r="B6210"/>
      <c r="D6210"/>
      <c r="G6210"/>
      <c r="L6210"/>
    </row>
    <row r="6211" spans="1:12" x14ac:dyDescent="0.25">
      <c r="A6211"/>
      <c r="B6211"/>
      <c r="D6211"/>
      <c r="G6211"/>
      <c r="L6211"/>
    </row>
    <row r="6212" spans="1:12" x14ac:dyDescent="0.25">
      <c r="A6212"/>
      <c r="B6212"/>
      <c r="D6212"/>
      <c r="G6212"/>
      <c r="L6212"/>
    </row>
    <row r="6213" spans="1:12" x14ac:dyDescent="0.25">
      <c r="A6213"/>
      <c r="B6213"/>
      <c r="D6213"/>
      <c r="G6213"/>
      <c r="L6213"/>
    </row>
    <row r="6214" spans="1:12" x14ac:dyDescent="0.25">
      <c r="A6214"/>
      <c r="B6214"/>
      <c r="D6214"/>
      <c r="G6214"/>
      <c r="L6214"/>
    </row>
    <row r="6215" spans="1:12" x14ac:dyDescent="0.25">
      <c r="A6215"/>
      <c r="B6215"/>
      <c r="D6215"/>
      <c r="G6215"/>
      <c r="L6215"/>
    </row>
    <row r="6216" spans="1:12" x14ac:dyDescent="0.25">
      <c r="A6216"/>
      <c r="B6216"/>
      <c r="D6216"/>
      <c r="G6216"/>
      <c r="L6216"/>
    </row>
    <row r="6217" spans="1:12" x14ac:dyDescent="0.25">
      <c r="A6217"/>
      <c r="B6217"/>
      <c r="D6217"/>
      <c r="G6217"/>
      <c r="L6217"/>
    </row>
    <row r="6218" spans="1:12" x14ac:dyDescent="0.25">
      <c r="A6218"/>
      <c r="B6218"/>
      <c r="D6218"/>
      <c r="G6218"/>
      <c r="L6218"/>
    </row>
    <row r="6219" spans="1:12" x14ac:dyDescent="0.25">
      <c r="A6219"/>
      <c r="B6219"/>
      <c r="D6219"/>
      <c r="G6219"/>
      <c r="L6219"/>
    </row>
    <row r="6220" spans="1:12" x14ac:dyDescent="0.25">
      <c r="A6220"/>
      <c r="B6220"/>
      <c r="D6220"/>
      <c r="G6220"/>
      <c r="L6220"/>
    </row>
    <row r="6221" spans="1:12" x14ac:dyDescent="0.25">
      <c r="A6221"/>
      <c r="B6221"/>
      <c r="D6221"/>
      <c r="G6221"/>
      <c r="L6221"/>
    </row>
    <row r="6222" spans="1:12" x14ac:dyDescent="0.25">
      <c r="A6222"/>
      <c r="B6222"/>
      <c r="D6222"/>
      <c r="G6222"/>
      <c r="L6222"/>
    </row>
    <row r="6223" spans="1:12" x14ac:dyDescent="0.25">
      <c r="A6223"/>
      <c r="B6223"/>
      <c r="D6223"/>
      <c r="G6223"/>
      <c r="L6223"/>
    </row>
    <row r="6224" spans="1:12" x14ac:dyDescent="0.25">
      <c r="A6224"/>
      <c r="B6224"/>
      <c r="D6224"/>
      <c r="G6224"/>
      <c r="L6224"/>
    </row>
    <row r="6225" spans="1:12" x14ac:dyDescent="0.25">
      <c r="A6225"/>
      <c r="B6225"/>
      <c r="D6225"/>
      <c r="G6225"/>
      <c r="L6225"/>
    </row>
    <row r="6226" spans="1:12" x14ac:dyDescent="0.25">
      <c r="A6226"/>
      <c r="B6226"/>
      <c r="D6226"/>
      <c r="G6226"/>
      <c r="L6226"/>
    </row>
    <row r="6227" spans="1:12" x14ac:dyDescent="0.25">
      <c r="A6227"/>
      <c r="B6227"/>
      <c r="D6227"/>
      <c r="G6227"/>
      <c r="L6227"/>
    </row>
    <row r="6228" spans="1:12" x14ac:dyDescent="0.25">
      <c r="A6228"/>
      <c r="B6228"/>
      <c r="D6228"/>
      <c r="G6228"/>
      <c r="L6228"/>
    </row>
    <row r="6229" spans="1:12" x14ac:dyDescent="0.25">
      <c r="A6229"/>
      <c r="B6229"/>
      <c r="D6229"/>
      <c r="G6229"/>
      <c r="L6229"/>
    </row>
    <row r="6230" spans="1:12" x14ac:dyDescent="0.25">
      <c r="A6230"/>
      <c r="B6230"/>
      <c r="D6230"/>
      <c r="G6230"/>
      <c r="L6230"/>
    </row>
    <row r="6231" spans="1:12" x14ac:dyDescent="0.25">
      <c r="A6231"/>
      <c r="B6231"/>
      <c r="D6231"/>
      <c r="G6231"/>
      <c r="L6231"/>
    </row>
    <row r="6232" spans="1:12" x14ac:dyDescent="0.25">
      <c r="A6232"/>
      <c r="B6232"/>
      <c r="D6232"/>
      <c r="G6232"/>
      <c r="L6232"/>
    </row>
    <row r="6233" spans="1:12" x14ac:dyDescent="0.25">
      <c r="A6233"/>
      <c r="B6233"/>
      <c r="D6233"/>
      <c r="G6233"/>
      <c r="L6233"/>
    </row>
    <row r="6234" spans="1:12" x14ac:dyDescent="0.25">
      <c r="A6234"/>
      <c r="B6234"/>
      <c r="D6234"/>
      <c r="G6234"/>
      <c r="L6234"/>
    </row>
    <row r="6235" spans="1:12" x14ac:dyDescent="0.25">
      <c r="A6235"/>
      <c r="B6235"/>
      <c r="D6235"/>
      <c r="G6235"/>
      <c r="L6235"/>
    </row>
    <row r="6236" spans="1:12" x14ac:dyDescent="0.25">
      <c r="A6236"/>
      <c r="B6236"/>
      <c r="D6236"/>
      <c r="G6236"/>
      <c r="L6236"/>
    </row>
    <row r="6237" spans="1:12" x14ac:dyDescent="0.25">
      <c r="A6237"/>
      <c r="B6237"/>
      <c r="D6237"/>
      <c r="G6237"/>
      <c r="L6237"/>
    </row>
    <row r="6238" spans="1:12" x14ac:dyDescent="0.25">
      <c r="A6238"/>
      <c r="B6238"/>
      <c r="D6238"/>
      <c r="G6238"/>
      <c r="L6238"/>
    </row>
    <row r="6239" spans="1:12" x14ac:dyDescent="0.25">
      <c r="A6239"/>
      <c r="B6239"/>
      <c r="D6239"/>
      <c r="G6239"/>
      <c r="L6239"/>
    </row>
    <row r="6240" spans="1:12" x14ac:dyDescent="0.25">
      <c r="A6240"/>
      <c r="B6240"/>
      <c r="D6240"/>
      <c r="G6240"/>
      <c r="L6240"/>
    </row>
    <row r="6241" spans="1:12" x14ac:dyDescent="0.25">
      <c r="A6241"/>
      <c r="B6241"/>
      <c r="D6241"/>
      <c r="G6241"/>
      <c r="L6241"/>
    </row>
    <row r="6242" spans="1:12" x14ac:dyDescent="0.25">
      <c r="A6242"/>
      <c r="B6242"/>
      <c r="D6242"/>
      <c r="G6242"/>
      <c r="L6242"/>
    </row>
    <row r="6243" spans="1:12" x14ac:dyDescent="0.25">
      <c r="A6243"/>
      <c r="B6243"/>
      <c r="D6243"/>
      <c r="G6243"/>
      <c r="L6243"/>
    </row>
    <row r="6244" spans="1:12" x14ac:dyDescent="0.25">
      <c r="A6244"/>
      <c r="B6244"/>
      <c r="D6244"/>
      <c r="G6244"/>
      <c r="L6244"/>
    </row>
    <row r="6245" spans="1:12" x14ac:dyDescent="0.25">
      <c r="A6245"/>
      <c r="B6245"/>
      <c r="D6245"/>
      <c r="G6245"/>
      <c r="L6245"/>
    </row>
    <row r="6246" spans="1:12" x14ac:dyDescent="0.25">
      <c r="A6246"/>
      <c r="B6246"/>
      <c r="D6246"/>
      <c r="G6246"/>
      <c r="L6246"/>
    </row>
    <row r="6247" spans="1:12" x14ac:dyDescent="0.25">
      <c r="A6247"/>
      <c r="B6247"/>
      <c r="D6247"/>
      <c r="G6247"/>
      <c r="L6247"/>
    </row>
    <row r="6248" spans="1:12" x14ac:dyDescent="0.25">
      <c r="A6248"/>
      <c r="B6248"/>
      <c r="D6248"/>
      <c r="G6248"/>
      <c r="L6248"/>
    </row>
    <row r="6249" spans="1:12" x14ac:dyDescent="0.25">
      <c r="A6249"/>
      <c r="B6249"/>
      <c r="D6249"/>
      <c r="G6249"/>
      <c r="L6249"/>
    </row>
    <row r="6250" spans="1:12" x14ac:dyDescent="0.25">
      <c r="A6250"/>
      <c r="B6250"/>
      <c r="D6250"/>
      <c r="G6250"/>
      <c r="L6250"/>
    </row>
    <row r="6251" spans="1:12" x14ac:dyDescent="0.25">
      <c r="A6251"/>
      <c r="B6251"/>
      <c r="D6251"/>
      <c r="G6251"/>
      <c r="L6251"/>
    </row>
    <row r="6252" spans="1:12" x14ac:dyDescent="0.25">
      <c r="A6252"/>
      <c r="B6252"/>
      <c r="D6252"/>
      <c r="G6252"/>
      <c r="L6252"/>
    </row>
    <row r="6253" spans="1:12" x14ac:dyDescent="0.25">
      <c r="A6253"/>
      <c r="B6253"/>
      <c r="D6253"/>
      <c r="G6253"/>
      <c r="L6253"/>
    </row>
    <row r="6254" spans="1:12" x14ac:dyDescent="0.25">
      <c r="A6254"/>
      <c r="B6254"/>
      <c r="D6254"/>
      <c r="G6254"/>
      <c r="L6254"/>
    </row>
    <row r="6255" spans="1:12" x14ac:dyDescent="0.25">
      <c r="A6255"/>
      <c r="B6255"/>
      <c r="D6255"/>
      <c r="G6255"/>
      <c r="L6255"/>
    </row>
    <row r="6256" spans="1:12" x14ac:dyDescent="0.25">
      <c r="A6256"/>
      <c r="B6256"/>
      <c r="D6256"/>
      <c r="G6256"/>
      <c r="L6256"/>
    </row>
    <row r="6257" spans="1:12" x14ac:dyDescent="0.25">
      <c r="A6257"/>
      <c r="B6257"/>
      <c r="D6257"/>
      <c r="G6257"/>
      <c r="L6257"/>
    </row>
    <row r="6258" spans="1:12" x14ac:dyDescent="0.25">
      <c r="A6258"/>
      <c r="B6258"/>
      <c r="D6258"/>
      <c r="G6258"/>
      <c r="L6258"/>
    </row>
    <row r="6259" spans="1:12" x14ac:dyDescent="0.25">
      <c r="A6259"/>
      <c r="B6259"/>
      <c r="D6259"/>
      <c r="G6259"/>
      <c r="L6259"/>
    </row>
    <row r="6260" spans="1:12" x14ac:dyDescent="0.25">
      <c r="A6260"/>
      <c r="B6260"/>
      <c r="D6260"/>
      <c r="G6260"/>
      <c r="L6260"/>
    </row>
    <row r="6261" spans="1:12" x14ac:dyDescent="0.25">
      <c r="A6261"/>
      <c r="B6261"/>
      <c r="D6261"/>
      <c r="G6261"/>
      <c r="L6261"/>
    </row>
    <row r="6262" spans="1:12" x14ac:dyDescent="0.25">
      <c r="A6262"/>
      <c r="B6262"/>
      <c r="D6262"/>
      <c r="G6262"/>
      <c r="L6262"/>
    </row>
    <row r="6263" spans="1:12" x14ac:dyDescent="0.25">
      <c r="A6263"/>
      <c r="B6263"/>
      <c r="D6263"/>
      <c r="G6263"/>
      <c r="L6263"/>
    </row>
    <row r="6264" spans="1:12" x14ac:dyDescent="0.25">
      <c r="A6264"/>
      <c r="B6264"/>
      <c r="D6264"/>
      <c r="G6264"/>
      <c r="L6264"/>
    </row>
    <row r="6265" spans="1:12" x14ac:dyDescent="0.25">
      <c r="A6265"/>
      <c r="B6265"/>
      <c r="D6265"/>
      <c r="G6265"/>
      <c r="L6265"/>
    </row>
    <row r="6266" spans="1:12" x14ac:dyDescent="0.25">
      <c r="A6266"/>
      <c r="B6266"/>
      <c r="D6266"/>
      <c r="G6266"/>
      <c r="L6266"/>
    </row>
    <row r="6267" spans="1:12" x14ac:dyDescent="0.25">
      <c r="A6267"/>
      <c r="B6267"/>
      <c r="D6267"/>
      <c r="G6267"/>
      <c r="L6267"/>
    </row>
    <row r="6268" spans="1:12" x14ac:dyDescent="0.25">
      <c r="A6268"/>
      <c r="B6268"/>
      <c r="D6268"/>
      <c r="G6268"/>
      <c r="L6268"/>
    </row>
    <row r="6269" spans="1:12" x14ac:dyDescent="0.25">
      <c r="A6269"/>
      <c r="B6269"/>
      <c r="D6269"/>
      <c r="G6269"/>
      <c r="L6269"/>
    </row>
    <row r="6270" spans="1:12" x14ac:dyDescent="0.25">
      <c r="A6270"/>
      <c r="B6270"/>
      <c r="D6270"/>
      <c r="G6270"/>
      <c r="L6270"/>
    </row>
    <row r="6271" spans="1:12" x14ac:dyDescent="0.25">
      <c r="A6271"/>
      <c r="B6271"/>
      <c r="D6271"/>
      <c r="G6271"/>
      <c r="L6271"/>
    </row>
    <row r="6272" spans="1:12" x14ac:dyDescent="0.25">
      <c r="A6272"/>
      <c r="B6272"/>
      <c r="D6272"/>
      <c r="G6272"/>
      <c r="L6272"/>
    </row>
    <row r="6273" spans="1:12" x14ac:dyDescent="0.25">
      <c r="A6273"/>
      <c r="B6273"/>
      <c r="D6273"/>
      <c r="G6273"/>
      <c r="L6273"/>
    </row>
    <row r="6274" spans="1:12" x14ac:dyDescent="0.25">
      <c r="A6274"/>
      <c r="B6274"/>
      <c r="D6274"/>
      <c r="G6274"/>
      <c r="L6274"/>
    </row>
    <row r="6275" spans="1:12" x14ac:dyDescent="0.25">
      <c r="A6275"/>
      <c r="B6275"/>
      <c r="D6275"/>
      <c r="G6275"/>
      <c r="L6275"/>
    </row>
    <row r="6276" spans="1:12" x14ac:dyDescent="0.25">
      <c r="A6276"/>
      <c r="B6276"/>
      <c r="D6276"/>
      <c r="G6276"/>
      <c r="L6276"/>
    </row>
    <row r="6277" spans="1:12" x14ac:dyDescent="0.25">
      <c r="A6277"/>
      <c r="B6277"/>
      <c r="D6277"/>
      <c r="G6277"/>
      <c r="L6277"/>
    </row>
    <row r="6278" spans="1:12" x14ac:dyDescent="0.25">
      <c r="A6278"/>
      <c r="B6278"/>
      <c r="D6278"/>
      <c r="G6278"/>
      <c r="L6278"/>
    </row>
    <row r="6279" spans="1:12" x14ac:dyDescent="0.25">
      <c r="A6279"/>
      <c r="B6279"/>
      <c r="D6279"/>
      <c r="G6279"/>
      <c r="L6279"/>
    </row>
    <row r="6280" spans="1:12" x14ac:dyDescent="0.25">
      <c r="A6280"/>
      <c r="B6280"/>
      <c r="D6280"/>
      <c r="G6280"/>
      <c r="L6280"/>
    </row>
    <row r="6281" spans="1:12" x14ac:dyDescent="0.25">
      <c r="A6281"/>
      <c r="B6281"/>
      <c r="D6281"/>
      <c r="G6281"/>
      <c r="L6281"/>
    </row>
    <row r="6282" spans="1:12" x14ac:dyDescent="0.25">
      <c r="A6282"/>
      <c r="B6282"/>
      <c r="D6282"/>
      <c r="G6282"/>
      <c r="L6282"/>
    </row>
    <row r="6283" spans="1:12" x14ac:dyDescent="0.25">
      <c r="A6283"/>
      <c r="B6283"/>
      <c r="D6283"/>
      <c r="G6283"/>
      <c r="L6283"/>
    </row>
    <row r="6284" spans="1:12" x14ac:dyDescent="0.25">
      <c r="A6284"/>
      <c r="B6284"/>
      <c r="D6284"/>
      <c r="G6284"/>
      <c r="L6284"/>
    </row>
    <row r="6285" spans="1:12" x14ac:dyDescent="0.25">
      <c r="A6285"/>
      <c r="B6285"/>
      <c r="D6285"/>
      <c r="G6285"/>
      <c r="L6285"/>
    </row>
    <row r="6286" spans="1:12" x14ac:dyDescent="0.25">
      <c r="A6286"/>
      <c r="B6286"/>
      <c r="D6286"/>
      <c r="G6286"/>
      <c r="L6286"/>
    </row>
    <row r="6287" spans="1:12" x14ac:dyDescent="0.25">
      <c r="A6287"/>
      <c r="B6287"/>
      <c r="D6287"/>
      <c r="G6287"/>
      <c r="L6287"/>
    </row>
    <row r="6288" spans="1:12" x14ac:dyDescent="0.25">
      <c r="A6288"/>
      <c r="B6288"/>
      <c r="D6288"/>
      <c r="G6288"/>
      <c r="L6288"/>
    </row>
    <row r="6289" spans="1:12" x14ac:dyDescent="0.25">
      <c r="A6289"/>
      <c r="B6289"/>
      <c r="D6289"/>
      <c r="G6289"/>
      <c r="L6289"/>
    </row>
    <row r="6290" spans="1:12" x14ac:dyDescent="0.25">
      <c r="A6290"/>
      <c r="B6290"/>
      <c r="D6290"/>
      <c r="G6290"/>
      <c r="L6290"/>
    </row>
    <row r="6291" spans="1:12" x14ac:dyDescent="0.25">
      <c r="A6291"/>
      <c r="B6291"/>
      <c r="D6291"/>
      <c r="G6291"/>
      <c r="L6291"/>
    </row>
    <row r="6292" spans="1:12" x14ac:dyDescent="0.25">
      <c r="A6292"/>
      <c r="B6292"/>
      <c r="D6292"/>
      <c r="G6292"/>
      <c r="L6292"/>
    </row>
    <row r="6293" spans="1:12" x14ac:dyDescent="0.25">
      <c r="A6293"/>
      <c r="B6293"/>
      <c r="D6293"/>
      <c r="G6293"/>
      <c r="L6293"/>
    </row>
    <row r="6294" spans="1:12" x14ac:dyDescent="0.25">
      <c r="A6294"/>
      <c r="B6294"/>
      <c r="D6294"/>
      <c r="G6294"/>
      <c r="L6294"/>
    </row>
    <row r="6295" spans="1:12" x14ac:dyDescent="0.25">
      <c r="A6295"/>
      <c r="B6295"/>
      <c r="D6295"/>
      <c r="G6295"/>
      <c r="L6295"/>
    </row>
    <row r="6296" spans="1:12" x14ac:dyDescent="0.25">
      <c r="A6296"/>
      <c r="B6296"/>
      <c r="D6296"/>
      <c r="G6296"/>
      <c r="L6296"/>
    </row>
    <row r="6297" spans="1:12" x14ac:dyDescent="0.25">
      <c r="A6297"/>
      <c r="B6297"/>
      <c r="D6297"/>
      <c r="G6297"/>
      <c r="L6297"/>
    </row>
    <row r="6298" spans="1:12" x14ac:dyDescent="0.25">
      <c r="A6298"/>
      <c r="B6298"/>
      <c r="D6298"/>
      <c r="G6298"/>
      <c r="L6298"/>
    </row>
    <row r="6299" spans="1:12" x14ac:dyDescent="0.25">
      <c r="A6299"/>
      <c r="B6299"/>
      <c r="D6299"/>
      <c r="G6299"/>
      <c r="L6299"/>
    </row>
    <row r="6300" spans="1:12" x14ac:dyDescent="0.25">
      <c r="A6300"/>
      <c r="B6300"/>
      <c r="D6300"/>
      <c r="G6300"/>
      <c r="L6300"/>
    </row>
    <row r="6301" spans="1:12" x14ac:dyDescent="0.25">
      <c r="A6301"/>
      <c r="B6301"/>
      <c r="D6301"/>
      <c r="G6301"/>
      <c r="L6301"/>
    </row>
    <row r="6302" spans="1:12" x14ac:dyDescent="0.25">
      <c r="A6302"/>
      <c r="B6302"/>
      <c r="D6302"/>
      <c r="G6302"/>
      <c r="L6302"/>
    </row>
    <row r="6303" spans="1:12" x14ac:dyDescent="0.25">
      <c r="A6303"/>
      <c r="B6303"/>
      <c r="D6303"/>
      <c r="G6303"/>
      <c r="L6303"/>
    </row>
    <row r="6304" spans="1:12" x14ac:dyDescent="0.25">
      <c r="A6304"/>
      <c r="B6304"/>
      <c r="D6304"/>
      <c r="G6304"/>
      <c r="L6304"/>
    </row>
    <row r="6305" spans="1:12" x14ac:dyDescent="0.25">
      <c r="A6305"/>
      <c r="B6305"/>
      <c r="D6305"/>
      <c r="G6305"/>
      <c r="L6305"/>
    </row>
    <row r="6306" spans="1:12" x14ac:dyDescent="0.25">
      <c r="A6306"/>
      <c r="B6306"/>
      <c r="D6306"/>
      <c r="G6306"/>
      <c r="L6306"/>
    </row>
    <row r="6307" spans="1:12" x14ac:dyDescent="0.25">
      <c r="A6307"/>
      <c r="B6307"/>
      <c r="D6307"/>
      <c r="G6307"/>
      <c r="L6307"/>
    </row>
    <row r="6308" spans="1:12" x14ac:dyDescent="0.25">
      <c r="A6308"/>
      <c r="B6308"/>
      <c r="D6308"/>
      <c r="G6308"/>
      <c r="L6308"/>
    </row>
    <row r="6309" spans="1:12" x14ac:dyDescent="0.25">
      <c r="A6309"/>
      <c r="B6309"/>
      <c r="D6309"/>
      <c r="G6309"/>
      <c r="L6309"/>
    </row>
    <row r="6310" spans="1:12" x14ac:dyDescent="0.25">
      <c r="A6310"/>
      <c r="B6310"/>
      <c r="D6310"/>
      <c r="G6310"/>
      <c r="L6310"/>
    </row>
    <row r="6311" spans="1:12" x14ac:dyDescent="0.25">
      <c r="A6311"/>
      <c r="B6311"/>
      <c r="D6311"/>
      <c r="G6311"/>
      <c r="L6311"/>
    </row>
    <row r="6312" spans="1:12" x14ac:dyDescent="0.25">
      <c r="A6312"/>
      <c r="B6312"/>
      <c r="D6312"/>
      <c r="G6312"/>
      <c r="L6312"/>
    </row>
    <row r="6313" spans="1:12" x14ac:dyDescent="0.25">
      <c r="A6313"/>
      <c r="B6313"/>
      <c r="D6313"/>
      <c r="G6313"/>
      <c r="L6313"/>
    </row>
    <row r="6314" spans="1:12" x14ac:dyDescent="0.25">
      <c r="A6314"/>
      <c r="B6314"/>
      <c r="D6314"/>
      <c r="G6314"/>
      <c r="L6314"/>
    </row>
    <row r="6315" spans="1:12" x14ac:dyDescent="0.25">
      <c r="A6315"/>
      <c r="B6315"/>
      <c r="D6315"/>
      <c r="G6315"/>
      <c r="L6315"/>
    </row>
    <row r="6316" spans="1:12" x14ac:dyDescent="0.25">
      <c r="A6316"/>
      <c r="B6316"/>
      <c r="D6316"/>
      <c r="G6316"/>
      <c r="L6316"/>
    </row>
    <row r="6317" spans="1:12" x14ac:dyDescent="0.25">
      <c r="A6317"/>
      <c r="B6317"/>
      <c r="D6317"/>
      <c r="G6317"/>
      <c r="L6317"/>
    </row>
    <row r="6318" spans="1:12" x14ac:dyDescent="0.25">
      <c r="A6318"/>
      <c r="B6318"/>
      <c r="D6318"/>
      <c r="G6318"/>
      <c r="L6318"/>
    </row>
    <row r="6319" spans="1:12" x14ac:dyDescent="0.25">
      <c r="A6319"/>
      <c r="B6319"/>
      <c r="D6319"/>
      <c r="G6319"/>
      <c r="L6319"/>
    </row>
    <row r="6320" spans="1:12" x14ac:dyDescent="0.25">
      <c r="A6320"/>
      <c r="B6320"/>
      <c r="D6320"/>
      <c r="G6320"/>
      <c r="L6320"/>
    </row>
    <row r="6321" spans="1:12" x14ac:dyDescent="0.25">
      <c r="A6321"/>
      <c r="B6321"/>
      <c r="D6321"/>
      <c r="G6321"/>
      <c r="L6321"/>
    </row>
    <row r="6322" spans="1:12" x14ac:dyDescent="0.25">
      <c r="A6322"/>
      <c r="B6322"/>
      <c r="D6322"/>
      <c r="G6322"/>
      <c r="L6322"/>
    </row>
    <row r="6323" spans="1:12" x14ac:dyDescent="0.25">
      <c r="A6323"/>
      <c r="B6323"/>
      <c r="D6323"/>
      <c r="G6323"/>
      <c r="L6323"/>
    </row>
    <row r="6324" spans="1:12" x14ac:dyDescent="0.25">
      <c r="A6324"/>
      <c r="B6324"/>
      <c r="D6324"/>
      <c r="G6324"/>
      <c r="L6324"/>
    </row>
    <row r="6325" spans="1:12" x14ac:dyDescent="0.25">
      <c r="A6325"/>
      <c r="B6325"/>
      <c r="D6325"/>
      <c r="G6325"/>
      <c r="L6325"/>
    </row>
    <row r="6326" spans="1:12" x14ac:dyDescent="0.25">
      <c r="A6326"/>
      <c r="B6326"/>
      <c r="D6326"/>
      <c r="G6326"/>
      <c r="L6326"/>
    </row>
    <row r="6327" spans="1:12" x14ac:dyDescent="0.25">
      <c r="A6327"/>
      <c r="B6327"/>
      <c r="D6327"/>
      <c r="G6327"/>
      <c r="L6327"/>
    </row>
    <row r="6328" spans="1:12" x14ac:dyDescent="0.25">
      <c r="A6328"/>
      <c r="B6328"/>
      <c r="D6328"/>
      <c r="G6328"/>
      <c r="L6328"/>
    </row>
    <row r="6329" spans="1:12" x14ac:dyDescent="0.25">
      <c r="A6329"/>
      <c r="B6329"/>
      <c r="D6329"/>
      <c r="G6329"/>
      <c r="L6329"/>
    </row>
    <row r="6330" spans="1:12" x14ac:dyDescent="0.25">
      <c r="A6330"/>
      <c r="B6330"/>
      <c r="D6330"/>
      <c r="G6330"/>
      <c r="L6330"/>
    </row>
    <row r="6331" spans="1:12" x14ac:dyDescent="0.25">
      <c r="A6331"/>
      <c r="B6331"/>
      <c r="D6331"/>
      <c r="G6331"/>
      <c r="L6331"/>
    </row>
    <row r="6332" spans="1:12" x14ac:dyDescent="0.25">
      <c r="A6332"/>
      <c r="B6332"/>
      <c r="D6332"/>
      <c r="G6332"/>
      <c r="L6332"/>
    </row>
    <row r="6333" spans="1:12" x14ac:dyDescent="0.25">
      <c r="A6333"/>
      <c r="B6333"/>
      <c r="D6333"/>
      <c r="G6333"/>
      <c r="L6333"/>
    </row>
    <row r="6334" spans="1:12" x14ac:dyDescent="0.25">
      <c r="A6334"/>
      <c r="B6334"/>
      <c r="D6334"/>
      <c r="G6334"/>
      <c r="L6334"/>
    </row>
    <row r="6335" spans="1:12" x14ac:dyDescent="0.25">
      <c r="A6335"/>
      <c r="B6335"/>
      <c r="D6335"/>
      <c r="G6335"/>
      <c r="L6335"/>
    </row>
    <row r="6336" spans="1:12" x14ac:dyDescent="0.25">
      <c r="A6336"/>
      <c r="B6336"/>
      <c r="D6336"/>
      <c r="G6336"/>
      <c r="L6336"/>
    </row>
    <row r="6337" spans="1:12" x14ac:dyDescent="0.25">
      <c r="A6337"/>
      <c r="B6337"/>
      <c r="D6337"/>
      <c r="G6337"/>
      <c r="L6337"/>
    </row>
    <row r="6338" spans="1:12" x14ac:dyDescent="0.25">
      <c r="A6338"/>
      <c r="B6338"/>
      <c r="D6338"/>
      <c r="G6338"/>
      <c r="L6338"/>
    </row>
    <row r="6339" spans="1:12" x14ac:dyDescent="0.25">
      <c r="A6339"/>
      <c r="B6339"/>
      <c r="D6339"/>
      <c r="G6339"/>
      <c r="L6339"/>
    </row>
    <row r="6340" spans="1:12" x14ac:dyDescent="0.25">
      <c r="A6340"/>
      <c r="B6340"/>
      <c r="D6340"/>
      <c r="G6340"/>
      <c r="L6340"/>
    </row>
    <row r="6341" spans="1:12" x14ac:dyDescent="0.25">
      <c r="A6341"/>
      <c r="B6341"/>
      <c r="D6341"/>
      <c r="G6341"/>
      <c r="L6341"/>
    </row>
    <row r="6342" spans="1:12" x14ac:dyDescent="0.25">
      <c r="A6342"/>
      <c r="B6342"/>
      <c r="D6342"/>
      <c r="G6342"/>
      <c r="L6342"/>
    </row>
    <row r="6343" spans="1:12" x14ac:dyDescent="0.25">
      <c r="A6343"/>
      <c r="B6343"/>
      <c r="D6343"/>
      <c r="G6343"/>
      <c r="L6343"/>
    </row>
    <row r="6344" spans="1:12" x14ac:dyDescent="0.25">
      <c r="A6344"/>
      <c r="B6344"/>
      <c r="D6344"/>
      <c r="G6344"/>
      <c r="L6344"/>
    </row>
    <row r="6345" spans="1:12" x14ac:dyDescent="0.25">
      <c r="A6345"/>
      <c r="B6345"/>
      <c r="D6345"/>
      <c r="G6345"/>
      <c r="L6345"/>
    </row>
    <row r="6346" spans="1:12" x14ac:dyDescent="0.25">
      <c r="A6346"/>
      <c r="B6346"/>
      <c r="D6346"/>
      <c r="G6346"/>
      <c r="L6346"/>
    </row>
    <row r="6347" spans="1:12" x14ac:dyDescent="0.25">
      <c r="A6347"/>
      <c r="B6347"/>
      <c r="D6347"/>
      <c r="G6347"/>
      <c r="L6347"/>
    </row>
    <row r="6348" spans="1:12" x14ac:dyDescent="0.25">
      <c r="A6348"/>
      <c r="B6348"/>
      <c r="D6348"/>
      <c r="G6348"/>
      <c r="L6348"/>
    </row>
    <row r="6349" spans="1:12" x14ac:dyDescent="0.25">
      <c r="A6349"/>
      <c r="B6349"/>
      <c r="D6349"/>
      <c r="G6349"/>
      <c r="L6349"/>
    </row>
    <row r="6350" spans="1:12" x14ac:dyDescent="0.25">
      <c r="A6350"/>
      <c r="B6350"/>
      <c r="D6350"/>
      <c r="G6350"/>
      <c r="L6350"/>
    </row>
    <row r="6351" spans="1:12" x14ac:dyDescent="0.25">
      <c r="A6351"/>
      <c r="B6351"/>
      <c r="D6351"/>
      <c r="G6351"/>
      <c r="L6351"/>
    </row>
    <row r="6352" spans="1:12" x14ac:dyDescent="0.25">
      <c r="A6352"/>
      <c r="B6352"/>
      <c r="D6352"/>
      <c r="G6352"/>
      <c r="L6352"/>
    </row>
    <row r="6353" spans="1:12" x14ac:dyDescent="0.25">
      <c r="A6353"/>
      <c r="B6353"/>
      <c r="D6353"/>
      <c r="G6353"/>
      <c r="L6353"/>
    </row>
    <row r="6354" spans="1:12" x14ac:dyDescent="0.25">
      <c r="A6354"/>
      <c r="B6354"/>
      <c r="D6354"/>
      <c r="G6354"/>
      <c r="L6354"/>
    </row>
    <row r="6355" spans="1:12" x14ac:dyDescent="0.25">
      <c r="A6355"/>
      <c r="B6355"/>
      <c r="D6355"/>
      <c r="G6355"/>
      <c r="L6355"/>
    </row>
    <row r="6356" spans="1:12" x14ac:dyDescent="0.25">
      <c r="A6356"/>
      <c r="B6356"/>
      <c r="D6356"/>
      <c r="G6356"/>
      <c r="L6356"/>
    </row>
    <row r="6357" spans="1:12" x14ac:dyDescent="0.25">
      <c r="A6357"/>
      <c r="B6357"/>
      <c r="D6357"/>
      <c r="G6357"/>
      <c r="L6357"/>
    </row>
    <row r="6358" spans="1:12" x14ac:dyDescent="0.25">
      <c r="A6358"/>
      <c r="B6358"/>
      <c r="D6358"/>
      <c r="G6358"/>
      <c r="L6358"/>
    </row>
    <row r="6359" spans="1:12" x14ac:dyDescent="0.25">
      <c r="A6359"/>
      <c r="B6359"/>
      <c r="D6359"/>
      <c r="G6359"/>
      <c r="L6359"/>
    </row>
    <row r="6360" spans="1:12" x14ac:dyDescent="0.25">
      <c r="A6360"/>
      <c r="B6360"/>
      <c r="D6360"/>
      <c r="G6360"/>
      <c r="L6360"/>
    </row>
    <row r="6361" spans="1:12" x14ac:dyDescent="0.25">
      <c r="A6361"/>
      <c r="B6361"/>
      <c r="D6361"/>
      <c r="G6361"/>
      <c r="L6361"/>
    </row>
    <row r="6362" spans="1:12" x14ac:dyDescent="0.25">
      <c r="A6362"/>
      <c r="B6362"/>
      <c r="D6362"/>
      <c r="G6362"/>
      <c r="L6362"/>
    </row>
    <row r="6363" spans="1:12" x14ac:dyDescent="0.25">
      <c r="A6363"/>
      <c r="B6363"/>
      <c r="D6363"/>
      <c r="G6363"/>
      <c r="L6363"/>
    </row>
    <row r="6364" spans="1:12" x14ac:dyDescent="0.25">
      <c r="A6364"/>
      <c r="B6364"/>
      <c r="D6364"/>
      <c r="G6364"/>
      <c r="L6364"/>
    </row>
    <row r="6365" spans="1:12" x14ac:dyDescent="0.25">
      <c r="A6365"/>
      <c r="B6365"/>
      <c r="D6365"/>
      <c r="G6365"/>
      <c r="L6365"/>
    </row>
    <row r="6366" spans="1:12" x14ac:dyDescent="0.25">
      <c r="A6366"/>
      <c r="B6366"/>
      <c r="D6366"/>
      <c r="G6366"/>
      <c r="L6366"/>
    </row>
    <row r="6367" spans="1:12" x14ac:dyDescent="0.25">
      <c r="A6367"/>
      <c r="B6367"/>
      <c r="D6367"/>
      <c r="G6367"/>
      <c r="L6367"/>
    </row>
    <row r="6368" spans="1:12" x14ac:dyDescent="0.25">
      <c r="A6368"/>
      <c r="B6368"/>
      <c r="D6368"/>
      <c r="G6368"/>
      <c r="L6368"/>
    </row>
    <row r="6369" spans="1:12" x14ac:dyDescent="0.25">
      <c r="A6369"/>
      <c r="B6369"/>
      <c r="D6369"/>
      <c r="G6369"/>
      <c r="L6369"/>
    </row>
    <row r="6370" spans="1:12" x14ac:dyDescent="0.25">
      <c r="A6370"/>
      <c r="B6370"/>
      <c r="D6370"/>
      <c r="G6370"/>
      <c r="L6370"/>
    </row>
    <row r="6371" spans="1:12" x14ac:dyDescent="0.25">
      <c r="A6371"/>
      <c r="B6371"/>
      <c r="D6371"/>
      <c r="G6371"/>
      <c r="L6371"/>
    </row>
    <row r="6372" spans="1:12" x14ac:dyDescent="0.25">
      <c r="A6372"/>
      <c r="B6372"/>
      <c r="D6372"/>
      <c r="G6372"/>
      <c r="L6372"/>
    </row>
    <row r="6373" spans="1:12" x14ac:dyDescent="0.25">
      <c r="A6373"/>
      <c r="B6373"/>
      <c r="D6373"/>
      <c r="G6373"/>
      <c r="L6373"/>
    </row>
    <row r="6374" spans="1:12" x14ac:dyDescent="0.25">
      <c r="A6374"/>
      <c r="B6374"/>
      <c r="D6374"/>
      <c r="G6374"/>
      <c r="L6374"/>
    </row>
    <row r="6375" spans="1:12" x14ac:dyDescent="0.25">
      <c r="A6375"/>
      <c r="B6375"/>
      <c r="D6375"/>
      <c r="G6375"/>
      <c r="L6375"/>
    </row>
    <row r="6376" spans="1:12" x14ac:dyDescent="0.25">
      <c r="A6376"/>
      <c r="B6376"/>
      <c r="D6376"/>
      <c r="G6376"/>
      <c r="L6376"/>
    </row>
    <row r="6377" spans="1:12" x14ac:dyDescent="0.25">
      <c r="A6377"/>
      <c r="B6377"/>
      <c r="D6377"/>
      <c r="G6377"/>
      <c r="L6377"/>
    </row>
    <row r="6378" spans="1:12" x14ac:dyDescent="0.25">
      <c r="A6378"/>
      <c r="B6378"/>
      <c r="D6378"/>
      <c r="G6378"/>
      <c r="L6378"/>
    </row>
    <row r="6379" spans="1:12" x14ac:dyDescent="0.25">
      <c r="A6379"/>
      <c r="B6379"/>
      <c r="D6379"/>
      <c r="G6379"/>
      <c r="L6379"/>
    </row>
    <row r="6380" spans="1:12" x14ac:dyDescent="0.25">
      <c r="A6380"/>
      <c r="B6380"/>
      <c r="D6380"/>
      <c r="G6380"/>
      <c r="L6380"/>
    </row>
    <row r="6381" spans="1:12" x14ac:dyDescent="0.25">
      <c r="A6381"/>
      <c r="B6381"/>
      <c r="D6381"/>
      <c r="G6381"/>
      <c r="L6381"/>
    </row>
    <row r="6382" spans="1:12" x14ac:dyDescent="0.25">
      <c r="A6382"/>
      <c r="B6382"/>
      <c r="D6382"/>
      <c r="G6382"/>
      <c r="L6382"/>
    </row>
    <row r="6383" spans="1:12" x14ac:dyDescent="0.25">
      <c r="A6383"/>
      <c r="B6383"/>
      <c r="D6383"/>
      <c r="G6383"/>
      <c r="L6383"/>
    </row>
    <row r="6384" spans="1:12" x14ac:dyDescent="0.25">
      <c r="A6384"/>
      <c r="B6384"/>
      <c r="D6384"/>
      <c r="G6384"/>
      <c r="L6384"/>
    </row>
    <row r="6385" spans="1:12" x14ac:dyDescent="0.25">
      <c r="A6385"/>
      <c r="B6385"/>
      <c r="D6385"/>
      <c r="G6385"/>
      <c r="L6385"/>
    </row>
    <row r="6386" spans="1:12" x14ac:dyDescent="0.25">
      <c r="A6386"/>
      <c r="B6386"/>
      <c r="D6386"/>
      <c r="G6386"/>
      <c r="L6386"/>
    </row>
    <row r="6387" spans="1:12" x14ac:dyDescent="0.25">
      <c r="A6387"/>
      <c r="B6387"/>
      <c r="D6387"/>
      <c r="G6387"/>
      <c r="L6387"/>
    </row>
    <row r="6388" spans="1:12" x14ac:dyDescent="0.25">
      <c r="A6388"/>
      <c r="B6388"/>
      <c r="D6388"/>
      <c r="G6388"/>
      <c r="L6388"/>
    </row>
    <row r="6389" spans="1:12" x14ac:dyDescent="0.25">
      <c r="A6389"/>
      <c r="B6389"/>
      <c r="D6389"/>
      <c r="G6389"/>
      <c r="L6389"/>
    </row>
    <row r="6390" spans="1:12" x14ac:dyDescent="0.25">
      <c r="A6390"/>
      <c r="B6390"/>
      <c r="D6390"/>
      <c r="G6390"/>
      <c r="L6390"/>
    </row>
    <row r="6391" spans="1:12" x14ac:dyDescent="0.25">
      <c r="A6391"/>
      <c r="B6391"/>
      <c r="D6391"/>
      <c r="G6391"/>
      <c r="L6391"/>
    </row>
    <row r="6392" spans="1:12" x14ac:dyDescent="0.25">
      <c r="A6392"/>
      <c r="B6392"/>
      <c r="D6392"/>
      <c r="G6392"/>
      <c r="L6392"/>
    </row>
    <row r="6393" spans="1:12" x14ac:dyDescent="0.25">
      <c r="A6393"/>
      <c r="B6393"/>
      <c r="D6393"/>
      <c r="G6393"/>
      <c r="L6393"/>
    </row>
    <row r="6394" spans="1:12" x14ac:dyDescent="0.25">
      <c r="A6394"/>
      <c r="B6394"/>
      <c r="D6394"/>
      <c r="G6394"/>
      <c r="L6394"/>
    </row>
    <row r="6395" spans="1:12" x14ac:dyDescent="0.25">
      <c r="A6395"/>
      <c r="B6395"/>
      <c r="D6395"/>
      <c r="G6395"/>
      <c r="L6395"/>
    </row>
    <row r="6396" spans="1:12" x14ac:dyDescent="0.25">
      <c r="A6396"/>
      <c r="B6396"/>
      <c r="D6396"/>
      <c r="G6396"/>
      <c r="L6396"/>
    </row>
    <row r="6397" spans="1:12" x14ac:dyDescent="0.25">
      <c r="A6397"/>
      <c r="B6397"/>
      <c r="D6397"/>
      <c r="G6397"/>
      <c r="L6397"/>
    </row>
    <row r="6398" spans="1:12" x14ac:dyDescent="0.25">
      <c r="A6398"/>
      <c r="B6398"/>
      <c r="D6398"/>
      <c r="G6398"/>
      <c r="L6398"/>
    </row>
    <row r="6399" spans="1:12" x14ac:dyDescent="0.25">
      <c r="A6399"/>
      <c r="B6399"/>
      <c r="D6399"/>
      <c r="G6399"/>
      <c r="L6399"/>
    </row>
    <row r="6400" spans="1:12" x14ac:dyDescent="0.25">
      <c r="A6400"/>
      <c r="B6400"/>
      <c r="D6400"/>
      <c r="G6400"/>
      <c r="L6400"/>
    </row>
    <row r="6401" spans="1:12" x14ac:dyDescent="0.25">
      <c r="A6401"/>
      <c r="B6401"/>
      <c r="D6401"/>
      <c r="G6401"/>
      <c r="L6401"/>
    </row>
    <row r="6402" spans="1:12" x14ac:dyDescent="0.25">
      <c r="A6402"/>
      <c r="B6402"/>
      <c r="D6402"/>
      <c r="G6402"/>
      <c r="L6402"/>
    </row>
    <row r="6403" spans="1:12" x14ac:dyDescent="0.25">
      <c r="A6403"/>
      <c r="B6403"/>
      <c r="D6403"/>
      <c r="G6403"/>
      <c r="L6403"/>
    </row>
    <row r="6404" spans="1:12" x14ac:dyDescent="0.25">
      <c r="A6404"/>
      <c r="B6404"/>
      <c r="D6404"/>
      <c r="G6404"/>
      <c r="L6404"/>
    </row>
    <row r="6405" spans="1:12" x14ac:dyDescent="0.25">
      <c r="A6405"/>
      <c r="B6405"/>
      <c r="D6405"/>
      <c r="G6405"/>
      <c r="L6405"/>
    </row>
    <row r="6406" spans="1:12" x14ac:dyDescent="0.25">
      <c r="A6406"/>
      <c r="B6406"/>
      <c r="D6406"/>
      <c r="G6406"/>
      <c r="L6406"/>
    </row>
    <row r="6407" spans="1:12" x14ac:dyDescent="0.25">
      <c r="A6407"/>
      <c r="B6407"/>
      <c r="D6407"/>
      <c r="G6407"/>
      <c r="L6407"/>
    </row>
    <row r="6408" spans="1:12" x14ac:dyDescent="0.25">
      <c r="A6408"/>
      <c r="B6408"/>
      <c r="D6408"/>
      <c r="G6408"/>
      <c r="L6408"/>
    </row>
    <row r="6409" spans="1:12" x14ac:dyDescent="0.25">
      <c r="A6409"/>
      <c r="B6409"/>
      <c r="D6409"/>
      <c r="G6409"/>
      <c r="L6409"/>
    </row>
    <row r="6410" spans="1:12" x14ac:dyDescent="0.25">
      <c r="A6410"/>
      <c r="B6410"/>
      <c r="D6410"/>
      <c r="G6410"/>
      <c r="L6410"/>
    </row>
    <row r="6411" spans="1:12" x14ac:dyDescent="0.25">
      <c r="A6411"/>
      <c r="B6411"/>
      <c r="D6411"/>
      <c r="G6411"/>
      <c r="L6411"/>
    </row>
    <row r="6412" spans="1:12" x14ac:dyDescent="0.25">
      <c r="A6412"/>
      <c r="B6412"/>
      <c r="D6412"/>
      <c r="G6412"/>
      <c r="L6412"/>
    </row>
    <row r="6413" spans="1:12" x14ac:dyDescent="0.25">
      <c r="A6413"/>
      <c r="B6413"/>
      <c r="D6413"/>
      <c r="G6413"/>
      <c r="L6413"/>
    </row>
    <row r="6414" spans="1:12" x14ac:dyDescent="0.25">
      <c r="A6414"/>
      <c r="B6414"/>
      <c r="D6414"/>
      <c r="G6414"/>
      <c r="L6414"/>
    </row>
    <row r="6415" spans="1:12" x14ac:dyDescent="0.25">
      <c r="A6415"/>
      <c r="B6415"/>
      <c r="D6415"/>
      <c r="G6415"/>
      <c r="L6415"/>
    </row>
    <row r="6416" spans="1:12" x14ac:dyDescent="0.25">
      <c r="A6416"/>
      <c r="B6416"/>
      <c r="D6416"/>
      <c r="G6416"/>
      <c r="L6416"/>
    </row>
    <row r="6417" spans="1:12" x14ac:dyDescent="0.25">
      <c r="A6417"/>
      <c r="B6417"/>
      <c r="D6417"/>
      <c r="G6417"/>
      <c r="L6417"/>
    </row>
    <row r="6418" spans="1:12" x14ac:dyDescent="0.25">
      <c r="A6418"/>
      <c r="B6418"/>
      <c r="D6418"/>
      <c r="G6418"/>
      <c r="L6418"/>
    </row>
    <row r="6419" spans="1:12" x14ac:dyDescent="0.25">
      <c r="A6419"/>
      <c r="B6419"/>
      <c r="D6419"/>
      <c r="G6419"/>
      <c r="L6419"/>
    </row>
    <row r="6420" spans="1:12" x14ac:dyDescent="0.25">
      <c r="A6420"/>
      <c r="B6420"/>
      <c r="D6420"/>
      <c r="G6420"/>
      <c r="L6420"/>
    </row>
    <row r="6421" spans="1:12" x14ac:dyDescent="0.25">
      <c r="A6421"/>
      <c r="B6421"/>
      <c r="D6421"/>
      <c r="G6421"/>
      <c r="L6421"/>
    </row>
    <row r="6422" spans="1:12" x14ac:dyDescent="0.25">
      <c r="A6422"/>
      <c r="B6422"/>
      <c r="D6422"/>
      <c r="G6422"/>
      <c r="L6422"/>
    </row>
    <row r="6423" spans="1:12" x14ac:dyDescent="0.25">
      <c r="A6423"/>
      <c r="B6423"/>
      <c r="D6423"/>
      <c r="G6423"/>
      <c r="L6423"/>
    </row>
    <row r="6424" spans="1:12" x14ac:dyDescent="0.25">
      <c r="A6424"/>
      <c r="B6424"/>
      <c r="D6424"/>
      <c r="G6424"/>
      <c r="L6424"/>
    </row>
    <row r="6425" spans="1:12" x14ac:dyDescent="0.25">
      <c r="A6425"/>
      <c r="B6425"/>
      <c r="D6425"/>
      <c r="G6425"/>
      <c r="L6425"/>
    </row>
    <row r="6426" spans="1:12" x14ac:dyDescent="0.25">
      <c r="A6426"/>
      <c r="B6426"/>
      <c r="D6426"/>
      <c r="G6426"/>
      <c r="L6426"/>
    </row>
    <row r="6427" spans="1:12" x14ac:dyDescent="0.25">
      <c r="A6427"/>
      <c r="B6427"/>
      <c r="D6427"/>
      <c r="G6427"/>
      <c r="L6427"/>
    </row>
    <row r="6428" spans="1:12" x14ac:dyDescent="0.25">
      <c r="A6428"/>
      <c r="B6428"/>
      <c r="D6428"/>
      <c r="G6428"/>
      <c r="L6428"/>
    </row>
    <row r="6429" spans="1:12" x14ac:dyDescent="0.25">
      <c r="A6429"/>
      <c r="B6429"/>
      <c r="D6429"/>
      <c r="G6429"/>
      <c r="L6429"/>
    </row>
    <row r="6430" spans="1:12" x14ac:dyDescent="0.25">
      <c r="A6430"/>
      <c r="B6430"/>
      <c r="D6430"/>
      <c r="G6430"/>
      <c r="L6430"/>
    </row>
    <row r="6431" spans="1:12" x14ac:dyDescent="0.25">
      <c r="A6431"/>
      <c r="B6431"/>
      <c r="D6431"/>
      <c r="G6431"/>
      <c r="L6431"/>
    </row>
    <row r="6432" spans="1:12" x14ac:dyDescent="0.25">
      <c r="A6432"/>
      <c r="B6432"/>
      <c r="D6432"/>
      <c r="G6432"/>
      <c r="L6432"/>
    </row>
    <row r="6433" spans="1:12" x14ac:dyDescent="0.25">
      <c r="A6433"/>
      <c r="B6433"/>
      <c r="D6433"/>
      <c r="G6433"/>
      <c r="L6433"/>
    </row>
    <row r="6434" spans="1:12" x14ac:dyDescent="0.25">
      <c r="A6434"/>
      <c r="B6434"/>
      <c r="D6434"/>
      <c r="G6434"/>
      <c r="L6434"/>
    </row>
    <row r="6435" spans="1:12" x14ac:dyDescent="0.25">
      <c r="A6435"/>
      <c r="B6435"/>
      <c r="D6435"/>
      <c r="G6435"/>
      <c r="L6435"/>
    </row>
    <row r="6436" spans="1:12" x14ac:dyDescent="0.25">
      <c r="A6436"/>
      <c r="B6436"/>
      <c r="D6436"/>
      <c r="G6436"/>
      <c r="L6436"/>
    </row>
    <row r="6437" spans="1:12" x14ac:dyDescent="0.25">
      <c r="A6437"/>
      <c r="B6437"/>
      <c r="D6437"/>
      <c r="G6437"/>
      <c r="L6437"/>
    </row>
    <row r="6438" spans="1:12" x14ac:dyDescent="0.25">
      <c r="A6438"/>
      <c r="B6438"/>
      <c r="D6438"/>
      <c r="G6438"/>
      <c r="L6438"/>
    </row>
    <row r="6439" spans="1:12" x14ac:dyDescent="0.25">
      <c r="A6439"/>
      <c r="B6439"/>
      <c r="D6439"/>
      <c r="G6439"/>
      <c r="L6439"/>
    </row>
    <row r="6440" spans="1:12" x14ac:dyDescent="0.25">
      <c r="A6440"/>
      <c r="B6440"/>
      <c r="D6440"/>
      <c r="G6440"/>
      <c r="L6440"/>
    </row>
    <row r="6441" spans="1:12" x14ac:dyDescent="0.25">
      <c r="A6441"/>
      <c r="B6441"/>
      <c r="D6441"/>
      <c r="G6441"/>
      <c r="L6441"/>
    </row>
    <row r="6442" spans="1:12" x14ac:dyDescent="0.25">
      <c r="A6442"/>
      <c r="B6442"/>
      <c r="D6442"/>
      <c r="G6442"/>
      <c r="L6442"/>
    </row>
    <row r="6443" spans="1:12" x14ac:dyDescent="0.25">
      <c r="A6443"/>
      <c r="B6443"/>
      <c r="D6443"/>
      <c r="G6443"/>
      <c r="L6443"/>
    </row>
    <row r="6444" spans="1:12" x14ac:dyDescent="0.25">
      <c r="A6444"/>
      <c r="B6444"/>
      <c r="D6444"/>
      <c r="G6444"/>
      <c r="L6444"/>
    </row>
    <row r="6445" spans="1:12" x14ac:dyDescent="0.25">
      <c r="A6445"/>
      <c r="B6445"/>
      <c r="D6445"/>
      <c r="G6445"/>
      <c r="L6445"/>
    </row>
    <row r="6446" spans="1:12" x14ac:dyDescent="0.25">
      <c r="A6446"/>
      <c r="B6446"/>
      <c r="D6446"/>
      <c r="G6446"/>
      <c r="L6446"/>
    </row>
    <row r="6447" spans="1:12" x14ac:dyDescent="0.25">
      <c r="A6447"/>
      <c r="B6447"/>
      <c r="D6447"/>
      <c r="G6447"/>
      <c r="L6447"/>
    </row>
    <row r="6448" spans="1:12" x14ac:dyDescent="0.25">
      <c r="A6448"/>
      <c r="B6448"/>
      <c r="D6448"/>
      <c r="G6448"/>
      <c r="L6448"/>
    </row>
    <row r="6449" spans="1:12" x14ac:dyDescent="0.25">
      <c r="A6449"/>
      <c r="B6449"/>
      <c r="D6449"/>
      <c r="G6449"/>
      <c r="L6449"/>
    </row>
    <row r="6450" spans="1:12" x14ac:dyDescent="0.25">
      <c r="A6450"/>
      <c r="B6450"/>
      <c r="D6450"/>
      <c r="G6450"/>
      <c r="L6450"/>
    </row>
    <row r="6451" spans="1:12" x14ac:dyDescent="0.25">
      <c r="A6451"/>
      <c r="B6451"/>
      <c r="D6451"/>
      <c r="G6451"/>
      <c r="L6451"/>
    </row>
    <row r="6452" spans="1:12" x14ac:dyDescent="0.25">
      <c r="A6452"/>
      <c r="B6452"/>
      <c r="D6452"/>
      <c r="G6452"/>
      <c r="L6452"/>
    </row>
    <row r="6453" spans="1:12" x14ac:dyDescent="0.25">
      <c r="A6453"/>
      <c r="B6453"/>
      <c r="D6453"/>
      <c r="G6453"/>
      <c r="L6453"/>
    </row>
    <row r="6454" spans="1:12" x14ac:dyDescent="0.25">
      <c r="A6454"/>
      <c r="B6454"/>
      <c r="D6454"/>
      <c r="G6454"/>
      <c r="L6454"/>
    </row>
    <row r="6455" spans="1:12" x14ac:dyDescent="0.25">
      <c r="A6455"/>
      <c r="B6455"/>
      <c r="D6455"/>
      <c r="G6455"/>
      <c r="L6455"/>
    </row>
    <row r="6456" spans="1:12" x14ac:dyDescent="0.25">
      <c r="A6456"/>
      <c r="B6456"/>
      <c r="D6456"/>
      <c r="G6456"/>
      <c r="L6456"/>
    </row>
    <row r="6457" spans="1:12" x14ac:dyDescent="0.25">
      <c r="A6457"/>
      <c r="B6457"/>
      <c r="D6457"/>
      <c r="G6457"/>
      <c r="L6457"/>
    </row>
    <row r="6458" spans="1:12" x14ac:dyDescent="0.25">
      <c r="A6458"/>
      <c r="B6458"/>
      <c r="D6458"/>
      <c r="G6458"/>
      <c r="L6458"/>
    </row>
    <row r="6459" spans="1:12" x14ac:dyDescent="0.25">
      <c r="A6459"/>
      <c r="B6459"/>
      <c r="D6459"/>
      <c r="G6459"/>
      <c r="L6459"/>
    </row>
    <row r="6460" spans="1:12" x14ac:dyDescent="0.25">
      <c r="A6460"/>
      <c r="B6460"/>
      <c r="D6460"/>
      <c r="G6460"/>
      <c r="L6460"/>
    </row>
    <row r="6461" spans="1:12" x14ac:dyDescent="0.25">
      <c r="A6461"/>
      <c r="B6461"/>
      <c r="D6461"/>
      <c r="G6461"/>
      <c r="L6461"/>
    </row>
    <row r="6462" spans="1:12" x14ac:dyDescent="0.25">
      <c r="A6462"/>
      <c r="B6462"/>
      <c r="D6462"/>
      <c r="G6462"/>
      <c r="L6462"/>
    </row>
    <row r="6463" spans="1:12" x14ac:dyDescent="0.25">
      <c r="A6463"/>
      <c r="B6463"/>
      <c r="D6463"/>
      <c r="G6463"/>
      <c r="L6463"/>
    </row>
    <row r="6464" spans="1:12" x14ac:dyDescent="0.25">
      <c r="A6464"/>
      <c r="B6464"/>
      <c r="D6464"/>
      <c r="G6464"/>
      <c r="L6464"/>
    </row>
    <row r="6465" spans="1:12" x14ac:dyDescent="0.25">
      <c r="A6465"/>
      <c r="B6465"/>
      <c r="D6465"/>
      <c r="G6465"/>
      <c r="L6465"/>
    </row>
    <row r="6466" spans="1:12" x14ac:dyDescent="0.25">
      <c r="A6466"/>
      <c r="B6466"/>
      <c r="D6466"/>
      <c r="G6466"/>
      <c r="L6466"/>
    </row>
    <row r="6467" spans="1:12" x14ac:dyDescent="0.25">
      <c r="A6467"/>
      <c r="B6467"/>
      <c r="D6467"/>
      <c r="G6467"/>
      <c r="L6467"/>
    </row>
    <row r="6468" spans="1:12" x14ac:dyDescent="0.25">
      <c r="A6468"/>
      <c r="B6468"/>
      <c r="D6468"/>
      <c r="G6468"/>
      <c r="L6468"/>
    </row>
    <row r="6469" spans="1:12" x14ac:dyDescent="0.25">
      <c r="A6469"/>
      <c r="B6469"/>
      <c r="D6469"/>
      <c r="G6469"/>
      <c r="L6469"/>
    </row>
    <row r="6470" spans="1:12" x14ac:dyDescent="0.25">
      <c r="A6470"/>
      <c r="B6470"/>
      <c r="D6470"/>
      <c r="G6470"/>
      <c r="L6470"/>
    </row>
    <row r="6471" spans="1:12" x14ac:dyDescent="0.25">
      <c r="A6471"/>
      <c r="B6471"/>
      <c r="D6471"/>
      <c r="G6471"/>
      <c r="L6471"/>
    </row>
    <row r="6472" spans="1:12" x14ac:dyDescent="0.25">
      <c r="A6472"/>
      <c r="B6472"/>
      <c r="D6472"/>
      <c r="G6472"/>
      <c r="L6472"/>
    </row>
    <row r="6473" spans="1:12" x14ac:dyDescent="0.25">
      <c r="A6473"/>
      <c r="B6473"/>
      <c r="D6473"/>
      <c r="G6473"/>
      <c r="L6473"/>
    </row>
    <row r="6474" spans="1:12" x14ac:dyDescent="0.25">
      <c r="A6474"/>
      <c r="B6474"/>
      <c r="D6474"/>
      <c r="G6474"/>
      <c r="L6474"/>
    </row>
    <row r="6475" spans="1:12" x14ac:dyDescent="0.25">
      <c r="A6475"/>
      <c r="B6475"/>
      <c r="D6475"/>
      <c r="G6475"/>
      <c r="L6475"/>
    </row>
    <row r="6476" spans="1:12" x14ac:dyDescent="0.25">
      <c r="A6476"/>
      <c r="B6476"/>
      <c r="D6476"/>
      <c r="G6476"/>
      <c r="L6476"/>
    </row>
    <row r="6477" spans="1:12" x14ac:dyDescent="0.25">
      <c r="A6477"/>
      <c r="B6477"/>
      <c r="D6477"/>
      <c r="G6477"/>
      <c r="L6477"/>
    </row>
    <row r="6478" spans="1:12" x14ac:dyDescent="0.25">
      <c r="A6478"/>
      <c r="B6478"/>
      <c r="D6478"/>
      <c r="G6478"/>
      <c r="L6478"/>
    </row>
    <row r="6479" spans="1:12" x14ac:dyDescent="0.25">
      <c r="A6479"/>
      <c r="B6479"/>
      <c r="D6479"/>
      <c r="G6479"/>
      <c r="L6479"/>
    </row>
    <row r="6480" spans="1:12" x14ac:dyDescent="0.25">
      <c r="A6480"/>
      <c r="B6480"/>
      <c r="D6480"/>
      <c r="G6480"/>
      <c r="L6480"/>
    </row>
    <row r="6481" spans="1:12" x14ac:dyDescent="0.25">
      <c r="A6481"/>
      <c r="B6481"/>
      <c r="D6481"/>
      <c r="G6481"/>
      <c r="L6481"/>
    </row>
    <row r="6482" spans="1:12" x14ac:dyDescent="0.25">
      <c r="A6482"/>
      <c r="B6482"/>
      <c r="D6482"/>
      <c r="G6482"/>
      <c r="L6482"/>
    </row>
    <row r="6483" spans="1:12" x14ac:dyDescent="0.25">
      <c r="A6483"/>
      <c r="B6483"/>
      <c r="D6483"/>
      <c r="G6483"/>
      <c r="L6483"/>
    </row>
    <row r="6484" spans="1:12" x14ac:dyDescent="0.25">
      <c r="A6484"/>
      <c r="B6484"/>
      <c r="D6484"/>
      <c r="G6484"/>
      <c r="L6484"/>
    </row>
    <row r="6485" spans="1:12" x14ac:dyDescent="0.25">
      <c r="A6485"/>
      <c r="B6485"/>
      <c r="D6485"/>
      <c r="G6485"/>
      <c r="L6485"/>
    </row>
    <row r="6486" spans="1:12" x14ac:dyDescent="0.25">
      <c r="A6486"/>
      <c r="B6486"/>
      <c r="D6486"/>
      <c r="G6486"/>
      <c r="L6486"/>
    </row>
    <row r="6487" spans="1:12" x14ac:dyDescent="0.25">
      <c r="A6487"/>
      <c r="B6487"/>
      <c r="D6487"/>
      <c r="G6487"/>
      <c r="L6487"/>
    </row>
    <row r="6488" spans="1:12" x14ac:dyDescent="0.25">
      <c r="A6488"/>
      <c r="B6488"/>
      <c r="D6488"/>
      <c r="G6488"/>
      <c r="L6488"/>
    </row>
    <row r="6489" spans="1:12" x14ac:dyDescent="0.25">
      <c r="A6489"/>
      <c r="B6489"/>
      <c r="D6489"/>
      <c r="G6489"/>
      <c r="L6489"/>
    </row>
    <row r="6490" spans="1:12" x14ac:dyDescent="0.25">
      <c r="A6490"/>
      <c r="B6490"/>
      <c r="D6490"/>
      <c r="G6490"/>
      <c r="L6490"/>
    </row>
    <row r="6491" spans="1:12" x14ac:dyDescent="0.25">
      <c r="A6491"/>
      <c r="B6491"/>
      <c r="D6491"/>
      <c r="G6491"/>
      <c r="L6491"/>
    </row>
    <row r="6492" spans="1:12" x14ac:dyDescent="0.25">
      <c r="A6492"/>
      <c r="B6492"/>
      <c r="D6492"/>
      <c r="G6492"/>
      <c r="L6492"/>
    </row>
    <row r="6493" spans="1:12" x14ac:dyDescent="0.25">
      <c r="A6493"/>
      <c r="B6493"/>
      <c r="D6493"/>
      <c r="G6493"/>
      <c r="L6493"/>
    </row>
    <row r="6494" spans="1:12" x14ac:dyDescent="0.25">
      <c r="A6494"/>
      <c r="B6494"/>
      <c r="D6494"/>
      <c r="G6494"/>
      <c r="L6494"/>
    </row>
    <row r="6495" spans="1:12" x14ac:dyDescent="0.25">
      <c r="A6495"/>
      <c r="B6495"/>
      <c r="D6495"/>
      <c r="G6495"/>
      <c r="L6495"/>
    </row>
    <row r="6496" spans="1:12" x14ac:dyDescent="0.25">
      <c r="A6496"/>
      <c r="B6496"/>
      <c r="D6496"/>
      <c r="G6496"/>
      <c r="L6496"/>
    </row>
    <row r="6497" spans="1:12" x14ac:dyDescent="0.25">
      <c r="A6497"/>
      <c r="B6497"/>
      <c r="D6497"/>
      <c r="G6497"/>
      <c r="L6497"/>
    </row>
    <row r="6498" spans="1:12" x14ac:dyDescent="0.25">
      <c r="A6498"/>
      <c r="B6498"/>
      <c r="D6498"/>
      <c r="G6498"/>
      <c r="L6498"/>
    </row>
    <row r="6499" spans="1:12" x14ac:dyDescent="0.25">
      <c r="A6499"/>
      <c r="B6499"/>
      <c r="D6499"/>
      <c r="G6499"/>
      <c r="L6499"/>
    </row>
    <row r="6500" spans="1:12" x14ac:dyDescent="0.25">
      <c r="A6500"/>
      <c r="B6500"/>
      <c r="D6500"/>
      <c r="G6500"/>
      <c r="L6500"/>
    </row>
    <row r="6501" spans="1:12" x14ac:dyDescent="0.25">
      <c r="A6501"/>
      <c r="B6501"/>
      <c r="D6501"/>
      <c r="G6501"/>
      <c r="L6501"/>
    </row>
    <row r="6502" spans="1:12" x14ac:dyDescent="0.25">
      <c r="A6502"/>
      <c r="B6502"/>
      <c r="D6502"/>
      <c r="G6502"/>
      <c r="L6502"/>
    </row>
    <row r="6503" spans="1:12" x14ac:dyDescent="0.25">
      <c r="A6503"/>
      <c r="B6503"/>
      <c r="D6503"/>
      <c r="G6503"/>
      <c r="L6503"/>
    </row>
    <row r="6504" spans="1:12" x14ac:dyDescent="0.25">
      <c r="A6504"/>
      <c r="B6504"/>
      <c r="D6504"/>
      <c r="G6504"/>
      <c r="L6504"/>
    </row>
    <row r="6505" spans="1:12" x14ac:dyDescent="0.25">
      <c r="A6505"/>
      <c r="B6505"/>
      <c r="D6505"/>
      <c r="G6505"/>
      <c r="L6505"/>
    </row>
    <row r="6506" spans="1:12" x14ac:dyDescent="0.25">
      <c r="A6506"/>
      <c r="B6506"/>
      <c r="D6506"/>
      <c r="G6506"/>
      <c r="L6506"/>
    </row>
    <row r="6507" spans="1:12" x14ac:dyDescent="0.25">
      <c r="A6507"/>
      <c r="B6507"/>
      <c r="D6507"/>
      <c r="G6507"/>
      <c r="L6507"/>
    </row>
    <row r="6508" spans="1:12" x14ac:dyDescent="0.25">
      <c r="A6508"/>
      <c r="B6508"/>
      <c r="D6508"/>
      <c r="G6508"/>
      <c r="L6508"/>
    </row>
    <row r="6509" spans="1:12" x14ac:dyDescent="0.25">
      <c r="A6509"/>
      <c r="B6509"/>
      <c r="D6509"/>
      <c r="G6509"/>
      <c r="L6509"/>
    </row>
    <row r="6510" spans="1:12" x14ac:dyDescent="0.25">
      <c r="A6510"/>
      <c r="B6510"/>
      <c r="D6510"/>
      <c r="G6510"/>
      <c r="L6510"/>
    </row>
    <row r="6511" spans="1:12" x14ac:dyDescent="0.25">
      <c r="A6511"/>
      <c r="B6511"/>
      <c r="D6511"/>
      <c r="G6511"/>
      <c r="L6511"/>
    </row>
    <row r="6512" spans="1:12" x14ac:dyDescent="0.25">
      <c r="A6512"/>
      <c r="B6512"/>
      <c r="D6512"/>
      <c r="G6512"/>
      <c r="L6512"/>
    </row>
    <row r="6513" spans="1:12" x14ac:dyDescent="0.25">
      <c r="A6513"/>
      <c r="B6513"/>
      <c r="D6513"/>
      <c r="G6513"/>
      <c r="L6513"/>
    </row>
    <row r="6514" spans="1:12" x14ac:dyDescent="0.25">
      <c r="A6514"/>
      <c r="B6514"/>
      <c r="D6514"/>
      <c r="G6514"/>
      <c r="L6514"/>
    </row>
    <row r="6515" spans="1:12" x14ac:dyDescent="0.25">
      <c r="A6515"/>
      <c r="B6515"/>
      <c r="D6515"/>
      <c r="G6515"/>
      <c r="L6515"/>
    </row>
    <row r="6516" spans="1:12" x14ac:dyDescent="0.25">
      <c r="A6516"/>
      <c r="B6516"/>
      <c r="D6516"/>
      <c r="G6516"/>
      <c r="L6516"/>
    </row>
    <row r="6517" spans="1:12" x14ac:dyDescent="0.25">
      <c r="A6517"/>
      <c r="B6517"/>
      <c r="D6517"/>
      <c r="G6517"/>
      <c r="L6517"/>
    </row>
    <row r="6518" spans="1:12" x14ac:dyDescent="0.25">
      <c r="A6518"/>
      <c r="B6518"/>
      <c r="D6518"/>
      <c r="G6518"/>
      <c r="L6518"/>
    </row>
    <row r="6519" spans="1:12" x14ac:dyDescent="0.25">
      <c r="A6519"/>
      <c r="B6519"/>
      <c r="D6519"/>
      <c r="G6519"/>
      <c r="L6519"/>
    </row>
    <row r="6520" spans="1:12" x14ac:dyDescent="0.25">
      <c r="A6520"/>
      <c r="B6520"/>
      <c r="D6520"/>
      <c r="G6520"/>
      <c r="L6520"/>
    </row>
    <row r="6521" spans="1:12" x14ac:dyDescent="0.25">
      <c r="A6521"/>
      <c r="B6521"/>
      <c r="D6521"/>
      <c r="G6521"/>
      <c r="L6521"/>
    </row>
    <row r="6522" spans="1:12" x14ac:dyDescent="0.25">
      <c r="A6522"/>
      <c r="B6522"/>
      <c r="D6522"/>
      <c r="G6522"/>
      <c r="L6522"/>
    </row>
    <row r="6523" spans="1:12" x14ac:dyDescent="0.25">
      <c r="A6523"/>
      <c r="B6523"/>
      <c r="D6523"/>
      <c r="G6523"/>
      <c r="L6523"/>
    </row>
    <row r="6524" spans="1:12" x14ac:dyDescent="0.25">
      <c r="A6524"/>
      <c r="B6524"/>
      <c r="D6524"/>
      <c r="G6524"/>
      <c r="L6524"/>
    </row>
    <row r="6525" spans="1:12" x14ac:dyDescent="0.25">
      <c r="A6525"/>
      <c r="B6525"/>
      <c r="D6525"/>
      <c r="G6525"/>
      <c r="L6525"/>
    </row>
    <row r="6526" spans="1:12" x14ac:dyDescent="0.25">
      <c r="A6526"/>
      <c r="B6526"/>
      <c r="D6526"/>
      <c r="G6526"/>
      <c r="L6526"/>
    </row>
    <row r="6527" spans="1:12" x14ac:dyDescent="0.25">
      <c r="A6527"/>
      <c r="B6527"/>
      <c r="D6527"/>
      <c r="G6527"/>
      <c r="L6527"/>
    </row>
    <row r="6528" spans="1:12" x14ac:dyDescent="0.25">
      <c r="A6528"/>
      <c r="B6528"/>
      <c r="D6528"/>
      <c r="G6528"/>
      <c r="L6528"/>
    </row>
    <row r="6529" spans="1:12" x14ac:dyDescent="0.25">
      <c r="A6529"/>
      <c r="B6529"/>
      <c r="D6529"/>
      <c r="G6529"/>
      <c r="L6529"/>
    </row>
    <row r="6530" spans="1:12" x14ac:dyDescent="0.25">
      <c r="A6530"/>
      <c r="B6530"/>
      <c r="D6530"/>
      <c r="G6530"/>
      <c r="L6530"/>
    </row>
    <row r="6531" spans="1:12" x14ac:dyDescent="0.25">
      <c r="A6531"/>
      <c r="B6531"/>
      <c r="D6531"/>
      <c r="G6531"/>
      <c r="L6531"/>
    </row>
    <row r="6532" spans="1:12" x14ac:dyDescent="0.25">
      <c r="A6532"/>
      <c r="B6532"/>
      <c r="D6532"/>
      <c r="G6532"/>
      <c r="L6532"/>
    </row>
    <row r="6533" spans="1:12" x14ac:dyDescent="0.25">
      <c r="A6533"/>
      <c r="B6533"/>
      <c r="D6533"/>
      <c r="G6533"/>
      <c r="L6533"/>
    </row>
    <row r="6534" spans="1:12" x14ac:dyDescent="0.25">
      <c r="A6534"/>
      <c r="B6534"/>
      <c r="D6534"/>
      <c r="G6534"/>
      <c r="L6534"/>
    </row>
    <row r="6535" spans="1:12" x14ac:dyDescent="0.25">
      <c r="A6535"/>
      <c r="B6535"/>
      <c r="D6535"/>
      <c r="G6535"/>
      <c r="L6535"/>
    </row>
    <row r="6536" spans="1:12" x14ac:dyDescent="0.25">
      <c r="A6536"/>
      <c r="B6536"/>
      <c r="D6536"/>
      <c r="G6536"/>
      <c r="L6536"/>
    </row>
    <row r="6537" spans="1:12" x14ac:dyDescent="0.25">
      <c r="A6537"/>
      <c r="B6537"/>
      <c r="D6537"/>
      <c r="G6537"/>
      <c r="L6537"/>
    </row>
    <row r="6538" spans="1:12" x14ac:dyDescent="0.25">
      <c r="A6538"/>
      <c r="B6538"/>
      <c r="D6538"/>
      <c r="G6538"/>
      <c r="L6538"/>
    </row>
    <row r="6539" spans="1:12" x14ac:dyDescent="0.25">
      <c r="A6539"/>
      <c r="B6539"/>
      <c r="D6539"/>
      <c r="G6539"/>
      <c r="L6539"/>
    </row>
    <row r="6540" spans="1:12" x14ac:dyDescent="0.25">
      <c r="A6540"/>
      <c r="B6540"/>
      <c r="D6540"/>
      <c r="G6540"/>
      <c r="L6540"/>
    </row>
    <row r="6541" spans="1:12" x14ac:dyDescent="0.25">
      <c r="A6541"/>
      <c r="B6541"/>
      <c r="D6541"/>
      <c r="G6541"/>
      <c r="L6541"/>
    </row>
    <row r="6542" spans="1:12" x14ac:dyDescent="0.25">
      <c r="A6542"/>
      <c r="B6542"/>
      <c r="D6542"/>
      <c r="G6542"/>
      <c r="L6542"/>
    </row>
    <row r="6543" spans="1:12" x14ac:dyDescent="0.25">
      <c r="A6543"/>
      <c r="B6543"/>
      <c r="D6543"/>
      <c r="G6543"/>
      <c r="L6543"/>
    </row>
    <row r="6544" spans="1:12" x14ac:dyDescent="0.25">
      <c r="A6544"/>
      <c r="B6544"/>
      <c r="D6544"/>
      <c r="G6544"/>
      <c r="L6544"/>
    </row>
    <row r="6545" spans="1:12" x14ac:dyDescent="0.25">
      <c r="A6545"/>
      <c r="B6545"/>
      <c r="D6545"/>
      <c r="G6545"/>
      <c r="L6545"/>
    </row>
    <row r="6546" spans="1:12" x14ac:dyDescent="0.25">
      <c r="A6546"/>
      <c r="B6546"/>
      <c r="D6546"/>
      <c r="G6546"/>
      <c r="L6546"/>
    </row>
    <row r="6547" spans="1:12" x14ac:dyDescent="0.25">
      <c r="A6547"/>
      <c r="B6547"/>
      <c r="D6547"/>
      <c r="G6547"/>
      <c r="L6547"/>
    </row>
    <row r="6548" spans="1:12" x14ac:dyDescent="0.25">
      <c r="A6548"/>
      <c r="B6548"/>
      <c r="D6548"/>
      <c r="G6548"/>
      <c r="L6548"/>
    </row>
    <row r="6549" spans="1:12" x14ac:dyDescent="0.25">
      <c r="A6549"/>
      <c r="B6549"/>
      <c r="D6549"/>
      <c r="G6549"/>
      <c r="L6549"/>
    </row>
    <row r="6550" spans="1:12" x14ac:dyDescent="0.25">
      <c r="A6550"/>
      <c r="B6550"/>
      <c r="D6550"/>
      <c r="G6550"/>
      <c r="L6550"/>
    </row>
    <row r="6551" spans="1:12" x14ac:dyDescent="0.25">
      <c r="A6551"/>
      <c r="B6551"/>
      <c r="D6551"/>
      <c r="G6551"/>
      <c r="L6551"/>
    </row>
    <row r="6552" spans="1:12" x14ac:dyDescent="0.25">
      <c r="A6552"/>
      <c r="B6552"/>
      <c r="D6552"/>
      <c r="G6552"/>
      <c r="L6552"/>
    </row>
    <row r="6553" spans="1:12" x14ac:dyDescent="0.25">
      <c r="A6553"/>
      <c r="B6553"/>
      <c r="D6553"/>
      <c r="G6553"/>
      <c r="L6553"/>
    </row>
    <row r="6554" spans="1:12" x14ac:dyDescent="0.25">
      <c r="A6554"/>
      <c r="B6554"/>
      <c r="D6554"/>
      <c r="G6554"/>
      <c r="L6554"/>
    </row>
    <row r="6555" spans="1:12" x14ac:dyDescent="0.25">
      <c r="A6555"/>
      <c r="B6555"/>
      <c r="D6555"/>
      <c r="G6555"/>
      <c r="L6555"/>
    </row>
    <row r="6556" spans="1:12" x14ac:dyDescent="0.25">
      <c r="A6556"/>
      <c r="B6556"/>
      <c r="D6556"/>
      <c r="G6556"/>
      <c r="L6556"/>
    </row>
    <row r="6557" spans="1:12" x14ac:dyDescent="0.25">
      <c r="A6557"/>
      <c r="B6557"/>
      <c r="D6557"/>
      <c r="G6557"/>
      <c r="L6557"/>
    </row>
    <row r="6558" spans="1:12" x14ac:dyDescent="0.25">
      <c r="A6558"/>
      <c r="B6558"/>
      <c r="D6558"/>
      <c r="G6558"/>
      <c r="L6558"/>
    </row>
    <row r="6559" spans="1:12" x14ac:dyDescent="0.25">
      <c r="A6559"/>
      <c r="B6559"/>
      <c r="D6559"/>
      <c r="G6559"/>
      <c r="L6559"/>
    </row>
    <row r="6560" spans="1:12" x14ac:dyDescent="0.25">
      <c r="A6560"/>
      <c r="B6560"/>
      <c r="D6560"/>
      <c r="G6560"/>
      <c r="L6560"/>
    </row>
    <row r="6561" spans="1:12" x14ac:dyDescent="0.25">
      <c r="A6561"/>
      <c r="B6561"/>
      <c r="D6561"/>
      <c r="G6561"/>
      <c r="L6561"/>
    </row>
    <row r="6562" spans="1:12" x14ac:dyDescent="0.25">
      <c r="A6562"/>
      <c r="B6562"/>
      <c r="D6562"/>
      <c r="G6562"/>
      <c r="L6562"/>
    </row>
    <row r="6563" spans="1:12" x14ac:dyDescent="0.25">
      <c r="A6563"/>
      <c r="B6563"/>
      <c r="D6563"/>
      <c r="G6563"/>
      <c r="L6563"/>
    </row>
    <row r="6564" spans="1:12" x14ac:dyDescent="0.25">
      <c r="A6564"/>
      <c r="B6564"/>
      <c r="D6564"/>
      <c r="G6564"/>
      <c r="L6564"/>
    </row>
    <row r="6565" spans="1:12" x14ac:dyDescent="0.25">
      <c r="A6565"/>
      <c r="B6565"/>
      <c r="D6565"/>
      <c r="G6565"/>
      <c r="L6565"/>
    </row>
    <row r="6566" spans="1:12" x14ac:dyDescent="0.25">
      <c r="A6566"/>
      <c r="B6566"/>
      <c r="D6566"/>
      <c r="G6566"/>
      <c r="L6566"/>
    </row>
    <row r="6567" spans="1:12" x14ac:dyDescent="0.25">
      <c r="A6567"/>
      <c r="B6567"/>
      <c r="D6567"/>
      <c r="G6567"/>
      <c r="L6567"/>
    </row>
    <row r="6568" spans="1:12" x14ac:dyDescent="0.25">
      <c r="A6568"/>
      <c r="B6568"/>
      <c r="D6568"/>
      <c r="G6568"/>
      <c r="L6568"/>
    </row>
    <row r="6569" spans="1:12" x14ac:dyDescent="0.25">
      <c r="A6569"/>
      <c r="B6569"/>
      <c r="D6569"/>
      <c r="G6569"/>
      <c r="L6569"/>
    </row>
    <row r="6570" spans="1:12" x14ac:dyDescent="0.25">
      <c r="A6570"/>
      <c r="B6570"/>
      <c r="D6570"/>
      <c r="G6570"/>
      <c r="L6570"/>
    </row>
    <row r="6571" spans="1:12" x14ac:dyDescent="0.25">
      <c r="A6571"/>
      <c r="B6571"/>
      <c r="D6571"/>
      <c r="G6571"/>
      <c r="L6571"/>
    </row>
    <row r="6572" spans="1:12" x14ac:dyDescent="0.25">
      <c r="A6572"/>
      <c r="B6572"/>
      <c r="D6572"/>
      <c r="G6572"/>
      <c r="L6572"/>
    </row>
    <row r="6573" spans="1:12" x14ac:dyDescent="0.25">
      <c r="A6573"/>
      <c r="B6573"/>
      <c r="D6573"/>
      <c r="G6573"/>
      <c r="L6573"/>
    </row>
    <row r="6574" spans="1:12" x14ac:dyDescent="0.25">
      <c r="A6574"/>
      <c r="B6574"/>
      <c r="D6574"/>
      <c r="G6574"/>
      <c r="L6574"/>
    </row>
    <row r="6575" spans="1:12" x14ac:dyDescent="0.25">
      <c r="A6575"/>
      <c r="B6575"/>
      <c r="D6575"/>
      <c r="G6575"/>
      <c r="L6575"/>
    </row>
    <row r="6576" spans="1:12" x14ac:dyDescent="0.25">
      <c r="A6576"/>
      <c r="B6576"/>
      <c r="D6576"/>
      <c r="G6576"/>
      <c r="L6576"/>
    </row>
    <row r="6577" spans="1:12" x14ac:dyDescent="0.25">
      <c r="A6577"/>
      <c r="B6577"/>
      <c r="D6577"/>
      <c r="G6577"/>
      <c r="L6577"/>
    </row>
    <row r="6578" spans="1:12" x14ac:dyDescent="0.25">
      <c r="A6578"/>
      <c r="B6578"/>
      <c r="D6578"/>
      <c r="G6578"/>
      <c r="L6578"/>
    </row>
    <row r="6579" spans="1:12" x14ac:dyDescent="0.25">
      <c r="A6579"/>
      <c r="B6579"/>
      <c r="D6579"/>
      <c r="G6579"/>
      <c r="L6579"/>
    </row>
    <row r="6580" spans="1:12" x14ac:dyDescent="0.25">
      <c r="A6580"/>
      <c r="B6580"/>
      <c r="D6580"/>
      <c r="G6580"/>
      <c r="L6580"/>
    </row>
    <row r="6581" spans="1:12" x14ac:dyDescent="0.25">
      <c r="A6581"/>
      <c r="B6581"/>
      <c r="D6581"/>
      <c r="G6581"/>
      <c r="L6581"/>
    </row>
    <row r="6582" spans="1:12" x14ac:dyDescent="0.25">
      <c r="A6582"/>
      <c r="B6582"/>
      <c r="D6582"/>
      <c r="G6582"/>
      <c r="L6582"/>
    </row>
    <row r="6583" spans="1:12" x14ac:dyDescent="0.25">
      <c r="A6583"/>
      <c r="B6583"/>
      <c r="D6583"/>
      <c r="G6583"/>
      <c r="L6583"/>
    </row>
    <row r="6584" spans="1:12" x14ac:dyDescent="0.25">
      <c r="A6584"/>
      <c r="B6584"/>
      <c r="D6584"/>
      <c r="G6584"/>
      <c r="L6584"/>
    </row>
    <row r="6585" spans="1:12" x14ac:dyDescent="0.25">
      <c r="A6585"/>
      <c r="B6585"/>
      <c r="D6585"/>
      <c r="G6585"/>
      <c r="L6585"/>
    </row>
    <row r="6586" spans="1:12" x14ac:dyDescent="0.25">
      <c r="A6586"/>
      <c r="B6586"/>
      <c r="D6586"/>
      <c r="G6586"/>
      <c r="L6586"/>
    </row>
    <row r="6587" spans="1:12" x14ac:dyDescent="0.25">
      <c r="A6587"/>
      <c r="B6587"/>
      <c r="D6587"/>
      <c r="G6587"/>
      <c r="L6587"/>
    </row>
    <row r="6588" spans="1:12" x14ac:dyDescent="0.25">
      <c r="A6588"/>
      <c r="B6588"/>
      <c r="D6588"/>
      <c r="G6588"/>
      <c r="L6588"/>
    </row>
    <row r="6589" spans="1:12" x14ac:dyDescent="0.25">
      <c r="A6589"/>
      <c r="B6589"/>
      <c r="D6589"/>
      <c r="G6589"/>
      <c r="L6589"/>
    </row>
    <row r="6590" spans="1:12" x14ac:dyDescent="0.25">
      <c r="A6590"/>
      <c r="B6590"/>
      <c r="D6590"/>
      <c r="G6590"/>
      <c r="L6590"/>
    </row>
    <row r="6591" spans="1:12" x14ac:dyDescent="0.25">
      <c r="A6591"/>
      <c r="B6591"/>
      <c r="D6591"/>
      <c r="G6591"/>
      <c r="L6591"/>
    </row>
    <row r="6592" spans="1:12" x14ac:dyDescent="0.25">
      <c r="A6592"/>
      <c r="B6592"/>
      <c r="D6592"/>
      <c r="G6592"/>
      <c r="L6592"/>
    </row>
    <row r="6593" spans="1:12" x14ac:dyDescent="0.25">
      <c r="A6593"/>
      <c r="B6593"/>
      <c r="D6593"/>
      <c r="G6593"/>
      <c r="L6593"/>
    </row>
    <row r="6594" spans="1:12" x14ac:dyDescent="0.25">
      <c r="A6594"/>
      <c r="B6594"/>
      <c r="D6594"/>
      <c r="G6594"/>
      <c r="L6594"/>
    </row>
    <row r="6595" spans="1:12" x14ac:dyDescent="0.25">
      <c r="A6595"/>
      <c r="B6595"/>
      <c r="D6595"/>
      <c r="G6595"/>
      <c r="L6595"/>
    </row>
    <row r="6596" spans="1:12" x14ac:dyDescent="0.25">
      <c r="A6596"/>
      <c r="B6596"/>
      <c r="D6596"/>
      <c r="G6596"/>
      <c r="L6596"/>
    </row>
    <row r="6597" spans="1:12" x14ac:dyDescent="0.25">
      <c r="A6597"/>
      <c r="B6597"/>
      <c r="D6597"/>
      <c r="G6597"/>
      <c r="L6597"/>
    </row>
    <row r="6598" spans="1:12" x14ac:dyDescent="0.25">
      <c r="A6598"/>
      <c r="B6598"/>
      <c r="D6598"/>
      <c r="G6598"/>
      <c r="L6598"/>
    </row>
    <row r="6599" spans="1:12" x14ac:dyDescent="0.25">
      <c r="A6599"/>
      <c r="B6599"/>
      <c r="D6599"/>
      <c r="G6599"/>
      <c r="L6599"/>
    </row>
    <row r="6600" spans="1:12" x14ac:dyDescent="0.25">
      <c r="A6600"/>
      <c r="B6600"/>
      <c r="D6600"/>
      <c r="G6600"/>
      <c r="L6600"/>
    </row>
    <row r="6601" spans="1:12" x14ac:dyDescent="0.25">
      <c r="A6601"/>
      <c r="B6601"/>
      <c r="D6601"/>
      <c r="G6601"/>
      <c r="L6601"/>
    </row>
    <row r="6602" spans="1:12" x14ac:dyDescent="0.25">
      <c r="A6602"/>
      <c r="B6602"/>
      <c r="D6602"/>
      <c r="G6602"/>
      <c r="L6602"/>
    </row>
    <row r="6603" spans="1:12" x14ac:dyDescent="0.25">
      <c r="A6603"/>
      <c r="B6603"/>
      <c r="D6603"/>
      <c r="G6603"/>
      <c r="L6603"/>
    </row>
    <row r="6604" spans="1:12" x14ac:dyDescent="0.25">
      <c r="A6604"/>
      <c r="B6604"/>
      <c r="D6604"/>
      <c r="G6604"/>
      <c r="L6604"/>
    </row>
    <row r="6605" spans="1:12" x14ac:dyDescent="0.25">
      <c r="A6605"/>
      <c r="B6605"/>
      <c r="D6605"/>
      <c r="G6605"/>
      <c r="L6605"/>
    </row>
    <row r="6606" spans="1:12" x14ac:dyDescent="0.25">
      <c r="A6606"/>
      <c r="B6606"/>
      <c r="D6606"/>
      <c r="G6606"/>
      <c r="L6606"/>
    </row>
    <row r="6607" spans="1:12" x14ac:dyDescent="0.25">
      <c r="A6607"/>
      <c r="B6607"/>
      <c r="D6607"/>
      <c r="G6607"/>
      <c r="L6607"/>
    </row>
    <row r="6608" spans="1:12" x14ac:dyDescent="0.25">
      <c r="A6608"/>
      <c r="B6608"/>
      <c r="D6608"/>
      <c r="G6608"/>
      <c r="L6608"/>
    </row>
    <row r="6609" spans="1:12" x14ac:dyDescent="0.25">
      <c r="A6609"/>
      <c r="B6609"/>
      <c r="D6609"/>
      <c r="G6609"/>
      <c r="L6609"/>
    </row>
    <row r="6610" spans="1:12" x14ac:dyDescent="0.25">
      <c r="A6610"/>
      <c r="B6610"/>
      <c r="D6610"/>
      <c r="G6610"/>
      <c r="L6610"/>
    </row>
    <row r="6611" spans="1:12" x14ac:dyDescent="0.25">
      <c r="A6611"/>
      <c r="B6611"/>
      <c r="D6611"/>
      <c r="G6611"/>
      <c r="L6611"/>
    </row>
    <row r="6612" spans="1:12" x14ac:dyDescent="0.25">
      <c r="A6612"/>
      <c r="B6612"/>
      <c r="D6612"/>
      <c r="G6612"/>
      <c r="L6612"/>
    </row>
    <row r="6613" spans="1:12" x14ac:dyDescent="0.25">
      <c r="A6613"/>
      <c r="B6613"/>
      <c r="D6613"/>
      <c r="G6613"/>
      <c r="L6613"/>
    </row>
    <row r="6614" spans="1:12" x14ac:dyDescent="0.25">
      <c r="A6614"/>
      <c r="B6614"/>
      <c r="D6614"/>
      <c r="G6614"/>
      <c r="L6614"/>
    </row>
    <row r="6615" spans="1:12" x14ac:dyDescent="0.25">
      <c r="A6615"/>
      <c r="B6615"/>
      <c r="D6615"/>
      <c r="G6615"/>
      <c r="L6615"/>
    </row>
    <row r="6616" spans="1:12" x14ac:dyDescent="0.25">
      <c r="A6616"/>
      <c r="B6616"/>
      <c r="D6616"/>
      <c r="G6616"/>
      <c r="L6616"/>
    </row>
    <row r="6617" spans="1:12" x14ac:dyDescent="0.25">
      <c r="A6617"/>
      <c r="B6617"/>
      <c r="D6617"/>
      <c r="G6617"/>
      <c r="L6617"/>
    </row>
    <row r="6618" spans="1:12" x14ac:dyDescent="0.25">
      <c r="A6618"/>
      <c r="B6618"/>
      <c r="D6618"/>
      <c r="G6618"/>
      <c r="L6618"/>
    </row>
    <row r="6619" spans="1:12" x14ac:dyDescent="0.25">
      <c r="A6619"/>
      <c r="B6619"/>
      <c r="D6619"/>
      <c r="G6619"/>
      <c r="L6619"/>
    </row>
    <row r="6620" spans="1:12" x14ac:dyDescent="0.25">
      <c r="A6620"/>
      <c r="B6620"/>
      <c r="D6620"/>
      <c r="G6620"/>
      <c r="L6620"/>
    </row>
    <row r="6621" spans="1:12" x14ac:dyDescent="0.25">
      <c r="A6621"/>
      <c r="B6621"/>
      <c r="D6621"/>
      <c r="G6621"/>
      <c r="L6621"/>
    </row>
    <row r="6622" spans="1:12" x14ac:dyDescent="0.25">
      <c r="A6622"/>
      <c r="B6622"/>
      <c r="D6622"/>
      <c r="G6622"/>
      <c r="L6622"/>
    </row>
    <row r="6623" spans="1:12" x14ac:dyDescent="0.25">
      <c r="A6623"/>
      <c r="B6623"/>
      <c r="D6623"/>
      <c r="G6623"/>
      <c r="L6623"/>
    </row>
    <row r="6624" spans="1:12" x14ac:dyDescent="0.25">
      <c r="A6624"/>
      <c r="B6624"/>
      <c r="D6624"/>
      <c r="G6624"/>
      <c r="L6624"/>
    </row>
    <row r="6625" spans="1:12" x14ac:dyDescent="0.25">
      <c r="A6625"/>
      <c r="B6625"/>
      <c r="D6625"/>
      <c r="G6625"/>
      <c r="L6625"/>
    </row>
    <row r="6626" spans="1:12" x14ac:dyDescent="0.25">
      <c r="A6626"/>
      <c r="B6626"/>
      <c r="D6626"/>
      <c r="G6626"/>
      <c r="L6626"/>
    </row>
    <row r="6627" spans="1:12" x14ac:dyDescent="0.25">
      <c r="A6627"/>
      <c r="B6627"/>
      <c r="D6627"/>
      <c r="G6627"/>
      <c r="L6627"/>
    </row>
    <row r="6628" spans="1:12" x14ac:dyDescent="0.25">
      <c r="A6628"/>
      <c r="B6628"/>
      <c r="D6628"/>
      <c r="G6628"/>
      <c r="L6628"/>
    </row>
    <row r="6629" spans="1:12" x14ac:dyDescent="0.25">
      <c r="A6629"/>
      <c r="B6629"/>
      <c r="D6629"/>
      <c r="G6629"/>
      <c r="L6629"/>
    </row>
    <row r="6630" spans="1:12" x14ac:dyDescent="0.25">
      <c r="A6630"/>
      <c r="B6630"/>
      <c r="D6630"/>
      <c r="G6630"/>
      <c r="L6630"/>
    </row>
    <row r="6631" spans="1:12" x14ac:dyDescent="0.25">
      <c r="A6631"/>
      <c r="B6631"/>
      <c r="D6631"/>
      <c r="G6631"/>
      <c r="L6631"/>
    </row>
    <row r="6632" spans="1:12" x14ac:dyDescent="0.25">
      <c r="A6632"/>
      <c r="B6632"/>
      <c r="D6632"/>
      <c r="G6632"/>
      <c r="L6632"/>
    </row>
    <row r="6633" spans="1:12" x14ac:dyDescent="0.25">
      <c r="A6633"/>
      <c r="B6633"/>
      <c r="D6633"/>
      <c r="G6633"/>
      <c r="L6633"/>
    </row>
    <row r="6634" spans="1:12" x14ac:dyDescent="0.25">
      <c r="A6634"/>
      <c r="B6634"/>
      <c r="D6634"/>
      <c r="G6634"/>
      <c r="L6634"/>
    </row>
    <row r="6635" spans="1:12" x14ac:dyDescent="0.25">
      <c r="A6635"/>
      <c r="B6635"/>
      <c r="D6635"/>
      <c r="G6635"/>
      <c r="L6635"/>
    </row>
    <row r="6636" spans="1:12" x14ac:dyDescent="0.25">
      <c r="A6636"/>
      <c r="B6636"/>
      <c r="D6636"/>
      <c r="G6636"/>
      <c r="L6636"/>
    </row>
    <row r="6637" spans="1:12" x14ac:dyDescent="0.25">
      <c r="A6637"/>
      <c r="B6637"/>
      <c r="D6637"/>
      <c r="G6637"/>
      <c r="L6637"/>
    </row>
    <row r="6638" spans="1:12" x14ac:dyDescent="0.25">
      <c r="A6638"/>
      <c r="B6638"/>
      <c r="D6638"/>
      <c r="G6638"/>
      <c r="L6638"/>
    </row>
    <row r="6639" spans="1:12" x14ac:dyDescent="0.25">
      <c r="A6639"/>
      <c r="B6639"/>
      <c r="D6639"/>
      <c r="G6639"/>
      <c r="L6639"/>
    </row>
    <row r="6640" spans="1:12" x14ac:dyDescent="0.25">
      <c r="A6640"/>
      <c r="B6640"/>
      <c r="D6640"/>
      <c r="G6640"/>
      <c r="L6640"/>
    </row>
    <row r="6641" spans="1:12" x14ac:dyDescent="0.25">
      <c r="A6641"/>
      <c r="B6641"/>
      <c r="D6641"/>
      <c r="G6641"/>
      <c r="L6641"/>
    </row>
    <row r="6642" spans="1:12" x14ac:dyDescent="0.25">
      <c r="A6642"/>
      <c r="B6642"/>
      <c r="D6642"/>
      <c r="G6642"/>
      <c r="L6642"/>
    </row>
    <row r="6643" spans="1:12" x14ac:dyDescent="0.25">
      <c r="A6643"/>
      <c r="B6643"/>
      <c r="D6643"/>
      <c r="G6643"/>
      <c r="L6643"/>
    </row>
    <row r="6644" spans="1:12" x14ac:dyDescent="0.25">
      <c r="A6644"/>
      <c r="B6644"/>
      <c r="D6644"/>
      <c r="G6644"/>
      <c r="L6644"/>
    </row>
    <row r="6645" spans="1:12" x14ac:dyDescent="0.25">
      <c r="A6645"/>
      <c r="B6645"/>
      <c r="D6645"/>
      <c r="G6645"/>
      <c r="L6645"/>
    </row>
    <row r="6646" spans="1:12" x14ac:dyDescent="0.25">
      <c r="A6646"/>
      <c r="B6646"/>
      <c r="D6646"/>
      <c r="G6646"/>
      <c r="L6646"/>
    </row>
    <row r="6647" spans="1:12" x14ac:dyDescent="0.25">
      <c r="A6647"/>
      <c r="B6647"/>
      <c r="D6647"/>
      <c r="G6647"/>
      <c r="L6647"/>
    </row>
    <row r="6648" spans="1:12" x14ac:dyDescent="0.25">
      <c r="A6648"/>
      <c r="B6648"/>
      <c r="D6648"/>
      <c r="G6648"/>
      <c r="L6648"/>
    </row>
    <row r="6649" spans="1:12" x14ac:dyDescent="0.25">
      <c r="A6649"/>
      <c r="B6649"/>
      <c r="D6649"/>
      <c r="G6649"/>
      <c r="L6649"/>
    </row>
    <row r="6650" spans="1:12" x14ac:dyDescent="0.25">
      <c r="A6650"/>
      <c r="B6650"/>
      <c r="D6650"/>
      <c r="G6650"/>
      <c r="L6650"/>
    </row>
    <row r="6651" spans="1:12" x14ac:dyDescent="0.25">
      <c r="A6651"/>
      <c r="B6651"/>
      <c r="D6651"/>
      <c r="G6651"/>
      <c r="L6651"/>
    </row>
    <row r="6652" spans="1:12" x14ac:dyDescent="0.25">
      <c r="A6652"/>
      <c r="B6652"/>
      <c r="D6652"/>
      <c r="G6652"/>
      <c r="L6652"/>
    </row>
    <row r="6653" spans="1:12" x14ac:dyDescent="0.25">
      <c r="A6653"/>
      <c r="B6653"/>
      <c r="D6653"/>
      <c r="G6653"/>
      <c r="L6653"/>
    </row>
    <row r="6654" spans="1:12" x14ac:dyDescent="0.25">
      <c r="A6654"/>
      <c r="B6654"/>
      <c r="D6654"/>
      <c r="G6654"/>
      <c r="L6654"/>
    </row>
    <row r="6655" spans="1:12" x14ac:dyDescent="0.25">
      <c r="A6655"/>
      <c r="B6655"/>
      <c r="D6655"/>
      <c r="G6655"/>
      <c r="L6655"/>
    </row>
    <row r="6656" spans="1:12" x14ac:dyDescent="0.25">
      <c r="A6656"/>
      <c r="B6656"/>
      <c r="D6656"/>
      <c r="G6656"/>
      <c r="L6656"/>
    </row>
    <row r="6657" spans="1:12" x14ac:dyDescent="0.25">
      <c r="A6657"/>
      <c r="B6657"/>
      <c r="D6657"/>
      <c r="G6657"/>
      <c r="L6657"/>
    </row>
    <row r="6658" spans="1:12" x14ac:dyDescent="0.25">
      <c r="A6658"/>
      <c r="B6658"/>
      <c r="D6658"/>
      <c r="G6658"/>
      <c r="L6658"/>
    </row>
    <row r="6659" spans="1:12" x14ac:dyDescent="0.25">
      <c r="A6659"/>
      <c r="B6659"/>
      <c r="D6659"/>
      <c r="G6659"/>
      <c r="L6659"/>
    </row>
    <row r="6660" spans="1:12" x14ac:dyDescent="0.25">
      <c r="A6660"/>
      <c r="B6660"/>
      <c r="D6660"/>
      <c r="G6660"/>
      <c r="L6660"/>
    </row>
    <row r="6661" spans="1:12" x14ac:dyDescent="0.25">
      <c r="A6661"/>
      <c r="B6661"/>
      <c r="D6661"/>
      <c r="G6661"/>
      <c r="L6661"/>
    </row>
    <row r="6662" spans="1:12" x14ac:dyDescent="0.25">
      <c r="A6662"/>
      <c r="B6662"/>
      <c r="D6662"/>
      <c r="G6662"/>
      <c r="L6662"/>
    </row>
    <row r="6663" spans="1:12" x14ac:dyDescent="0.25">
      <c r="A6663"/>
      <c r="B6663"/>
      <c r="D6663"/>
      <c r="G6663"/>
      <c r="L6663"/>
    </row>
    <row r="6664" spans="1:12" x14ac:dyDescent="0.25">
      <c r="A6664"/>
      <c r="B6664"/>
      <c r="D6664"/>
      <c r="G6664"/>
      <c r="L6664"/>
    </row>
    <row r="6665" spans="1:12" x14ac:dyDescent="0.25">
      <c r="A6665"/>
      <c r="B6665"/>
      <c r="D6665"/>
      <c r="G6665"/>
      <c r="L6665"/>
    </row>
    <row r="6666" spans="1:12" x14ac:dyDescent="0.25">
      <c r="A6666"/>
      <c r="B6666"/>
      <c r="D6666"/>
      <c r="G6666"/>
      <c r="L6666"/>
    </row>
    <row r="6667" spans="1:12" x14ac:dyDescent="0.25">
      <c r="A6667"/>
      <c r="B6667"/>
      <c r="D6667"/>
      <c r="G6667"/>
      <c r="L6667"/>
    </row>
    <row r="6668" spans="1:12" x14ac:dyDescent="0.25">
      <c r="A6668"/>
      <c r="B6668"/>
      <c r="D6668"/>
      <c r="G6668"/>
      <c r="L6668"/>
    </row>
    <row r="6669" spans="1:12" x14ac:dyDescent="0.25">
      <c r="A6669"/>
      <c r="B6669"/>
      <c r="D6669"/>
      <c r="G6669"/>
      <c r="L6669"/>
    </row>
    <row r="6670" spans="1:12" x14ac:dyDescent="0.25">
      <c r="A6670"/>
      <c r="B6670"/>
      <c r="D6670"/>
      <c r="G6670"/>
      <c r="L6670"/>
    </row>
    <row r="6671" spans="1:12" x14ac:dyDescent="0.25">
      <c r="A6671"/>
      <c r="B6671"/>
      <c r="D6671"/>
      <c r="G6671"/>
      <c r="L6671"/>
    </row>
    <row r="6672" spans="1:12" x14ac:dyDescent="0.25">
      <c r="A6672"/>
      <c r="B6672"/>
      <c r="D6672"/>
      <c r="G6672"/>
      <c r="L6672"/>
    </row>
    <row r="6673" spans="1:12" x14ac:dyDescent="0.25">
      <c r="A6673"/>
      <c r="B6673"/>
      <c r="D6673"/>
      <c r="G6673"/>
      <c r="L6673"/>
    </row>
    <row r="6674" spans="1:12" x14ac:dyDescent="0.25">
      <c r="A6674"/>
      <c r="B6674"/>
      <c r="D6674"/>
      <c r="G6674"/>
      <c r="L6674"/>
    </row>
    <row r="6675" spans="1:12" x14ac:dyDescent="0.25">
      <c r="A6675"/>
      <c r="B6675"/>
      <c r="D6675"/>
      <c r="G6675"/>
      <c r="L6675"/>
    </row>
    <row r="6676" spans="1:12" x14ac:dyDescent="0.25">
      <c r="A6676"/>
      <c r="B6676"/>
      <c r="D6676"/>
      <c r="G6676"/>
      <c r="L6676"/>
    </row>
    <row r="6677" spans="1:12" x14ac:dyDescent="0.25">
      <c r="A6677"/>
      <c r="B6677"/>
      <c r="D6677"/>
      <c r="G6677"/>
      <c r="L6677"/>
    </row>
    <row r="6678" spans="1:12" x14ac:dyDescent="0.25">
      <c r="A6678"/>
      <c r="B6678"/>
      <c r="D6678"/>
      <c r="G6678"/>
      <c r="L6678"/>
    </row>
    <row r="6679" spans="1:12" x14ac:dyDescent="0.25">
      <c r="A6679"/>
      <c r="B6679"/>
      <c r="D6679"/>
      <c r="G6679"/>
      <c r="L6679"/>
    </row>
    <row r="6680" spans="1:12" x14ac:dyDescent="0.25">
      <c r="A6680"/>
      <c r="B6680"/>
      <c r="D6680"/>
      <c r="G6680"/>
      <c r="L6680"/>
    </row>
    <row r="6681" spans="1:12" x14ac:dyDescent="0.25">
      <c r="A6681"/>
      <c r="B6681"/>
      <c r="D6681"/>
      <c r="G6681"/>
      <c r="L6681"/>
    </row>
    <row r="6682" spans="1:12" x14ac:dyDescent="0.25">
      <c r="A6682"/>
      <c r="B6682"/>
      <c r="D6682"/>
      <c r="G6682"/>
      <c r="L6682"/>
    </row>
    <row r="6683" spans="1:12" x14ac:dyDescent="0.25">
      <c r="A6683"/>
      <c r="B6683"/>
      <c r="D6683"/>
      <c r="G6683"/>
      <c r="L6683"/>
    </row>
    <row r="6684" spans="1:12" x14ac:dyDescent="0.25">
      <c r="A6684"/>
      <c r="B6684"/>
      <c r="D6684"/>
      <c r="G6684"/>
      <c r="L6684"/>
    </row>
    <row r="6685" spans="1:12" x14ac:dyDescent="0.25">
      <c r="A6685"/>
      <c r="B6685"/>
      <c r="D6685"/>
      <c r="G6685"/>
      <c r="L6685"/>
    </row>
    <row r="6686" spans="1:12" x14ac:dyDescent="0.25">
      <c r="A6686"/>
      <c r="B6686"/>
      <c r="D6686"/>
      <c r="G6686"/>
      <c r="L6686"/>
    </row>
    <row r="6687" spans="1:12" x14ac:dyDescent="0.25">
      <c r="A6687"/>
      <c r="B6687"/>
      <c r="D6687"/>
      <c r="G6687"/>
      <c r="L6687"/>
    </row>
    <row r="6688" spans="1:12" x14ac:dyDescent="0.25">
      <c r="A6688"/>
      <c r="B6688"/>
      <c r="D6688"/>
      <c r="G6688"/>
      <c r="L6688"/>
    </row>
    <row r="6689" spans="1:12" x14ac:dyDescent="0.25">
      <c r="A6689"/>
      <c r="B6689"/>
      <c r="D6689"/>
      <c r="G6689"/>
      <c r="L6689"/>
    </row>
    <row r="6690" spans="1:12" x14ac:dyDescent="0.25">
      <c r="A6690"/>
      <c r="B6690"/>
      <c r="D6690"/>
      <c r="G6690"/>
      <c r="L6690"/>
    </row>
    <row r="6691" spans="1:12" x14ac:dyDescent="0.25">
      <c r="A6691"/>
      <c r="B6691"/>
      <c r="D6691"/>
      <c r="G6691"/>
      <c r="L6691"/>
    </row>
    <row r="6692" spans="1:12" x14ac:dyDescent="0.25">
      <c r="A6692"/>
      <c r="B6692"/>
      <c r="D6692"/>
      <c r="G6692"/>
      <c r="L6692"/>
    </row>
    <row r="6693" spans="1:12" x14ac:dyDescent="0.25">
      <c r="A6693"/>
      <c r="B6693"/>
      <c r="D6693"/>
      <c r="G6693"/>
      <c r="L6693"/>
    </row>
    <row r="6694" spans="1:12" x14ac:dyDescent="0.25">
      <c r="A6694"/>
      <c r="B6694"/>
      <c r="D6694"/>
      <c r="G6694"/>
      <c r="L6694"/>
    </row>
    <row r="6695" spans="1:12" x14ac:dyDescent="0.25">
      <c r="A6695"/>
      <c r="B6695"/>
      <c r="D6695"/>
      <c r="G6695"/>
      <c r="L6695"/>
    </row>
    <row r="6696" spans="1:12" x14ac:dyDescent="0.25">
      <c r="A6696"/>
      <c r="B6696"/>
      <c r="D6696"/>
      <c r="G6696"/>
      <c r="L6696"/>
    </row>
    <row r="6697" spans="1:12" x14ac:dyDescent="0.25">
      <c r="A6697"/>
      <c r="B6697"/>
      <c r="D6697"/>
      <c r="G6697"/>
      <c r="L6697"/>
    </row>
    <row r="6698" spans="1:12" x14ac:dyDescent="0.25">
      <c r="A6698"/>
      <c r="B6698"/>
      <c r="D6698"/>
      <c r="G6698"/>
      <c r="L6698"/>
    </row>
    <row r="6699" spans="1:12" x14ac:dyDescent="0.25">
      <c r="A6699"/>
      <c r="B6699"/>
      <c r="D6699"/>
      <c r="G6699"/>
      <c r="L6699"/>
    </row>
    <row r="6700" spans="1:12" x14ac:dyDescent="0.25">
      <c r="A6700"/>
      <c r="B6700"/>
      <c r="D6700"/>
      <c r="G6700"/>
      <c r="L6700"/>
    </row>
    <row r="6701" spans="1:12" x14ac:dyDescent="0.25">
      <c r="A6701"/>
      <c r="B6701"/>
      <c r="D6701"/>
      <c r="G6701"/>
      <c r="L6701"/>
    </row>
    <row r="6702" spans="1:12" x14ac:dyDescent="0.25">
      <c r="A6702"/>
      <c r="B6702"/>
      <c r="D6702"/>
      <c r="G6702"/>
      <c r="L6702"/>
    </row>
    <row r="6703" spans="1:12" x14ac:dyDescent="0.25">
      <c r="A6703"/>
      <c r="B6703"/>
      <c r="D6703"/>
      <c r="G6703"/>
      <c r="L6703"/>
    </row>
    <row r="6704" spans="1:12" x14ac:dyDescent="0.25">
      <c r="A6704"/>
      <c r="B6704"/>
      <c r="D6704"/>
      <c r="G6704"/>
      <c r="L6704"/>
    </row>
    <row r="6705" spans="1:12" x14ac:dyDescent="0.25">
      <c r="A6705"/>
      <c r="B6705"/>
      <c r="D6705"/>
      <c r="G6705"/>
      <c r="L6705"/>
    </row>
    <row r="6706" spans="1:12" x14ac:dyDescent="0.25">
      <c r="A6706"/>
      <c r="B6706"/>
      <c r="D6706"/>
      <c r="G6706"/>
      <c r="L6706"/>
    </row>
    <row r="6707" spans="1:12" x14ac:dyDescent="0.25">
      <c r="A6707"/>
      <c r="B6707"/>
      <c r="D6707"/>
      <c r="G6707"/>
      <c r="L6707"/>
    </row>
    <row r="6708" spans="1:12" x14ac:dyDescent="0.25">
      <c r="A6708"/>
      <c r="B6708"/>
      <c r="D6708"/>
      <c r="G6708"/>
      <c r="L6708"/>
    </row>
    <row r="6709" spans="1:12" x14ac:dyDescent="0.25">
      <c r="A6709"/>
      <c r="B6709"/>
      <c r="D6709"/>
      <c r="G6709"/>
      <c r="L6709"/>
    </row>
    <row r="6710" spans="1:12" x14ac:dyDescent="0.25">
      <c r="A6710"/>
      <c r="B6710"/>
      <c r="D6710"/>
      <c r="G6710"/>
      <c r="L6710"/>
    </row>
    <row r="6711" spans="1:12" x14ac:dyDescent="0.25">
      <c r="A6711"/>
      <c r="B6711"/>
      <c r="D6711"/>
      <c r="G6711"/>
      <c r="L6711"/>
    </row>
    <row r="6712" spans="1:12" x14ac:dyDescent="0.25">
      <c r="A6712"/>
      <c r="B6712"/>
      <c r="D6712"/>
      <c r="G6712"/>
      <c r="L6712"/>
    </row>
    <row r="6713" spans="1:12" x14ac:dyDescent="0.25">
      <c r="A6713"/>
      <c r="B6713"/>
      <c r="D6713"/>
      <c r="G6713"/>
      <c r="L6713"/>
    </row>
    <row r="6714" spans="1:12" x14ac:dyDescent="0.25">
      <c r="A6714"/>
      <c r="B6714"/>
      <c r="D6714"/>
      <c r="G6714"/>
      <c r="L6714"/>
    </row>
    <row r="6715" spans="1:12" x14ac:dyDescent="0.25">
      <c r="A6715"/>
      <c r="B6715"/>
      <c r="D6715"/>
      <c r="G6715"/>
      <c r="L6715"/>
    </row>
    <row r="6716" spans="1:12" x14ac:dyDescent="0.25">
      <c r="A6716"/>
      <c r="B6716"/>
      <c r="D6716"/>
      <c r="G6716"/>
      <c r="L6716"/>
    </row>
    <row r="6717" spans="1:12" x14ac:dyDescent="0.25">
      <c r="A6717"/>
      <c r="B6717"/>
      <c r="D6717"/>
      <c r="G6717"/>
      <c r="L6717"/>
    </row>
    <row r="6718" spans="1:12" x14ac:dyDescent="0.25">
      <c r="A6718"/>
      <c r="B6718"/>
      <c r="D6718"/>
      <c r="G6718"/>
      <c r="L6718"/>
    </row>
    <row r="6719" spans="1:12" x14ac:dyDescent="0.25">
      <c r="A6719"/>
      <c r="B6719"/>
      <c r="D6719"/>
      <c r="G6719"/>
      <c r="L6719"/>
    </row>
    <row r="6720" spans="1:12" x14ac:dyDescent="0.25">
      <c r="A6720"/>
      <c r="B6720"/>
      <c r="D6720"/>
      <c r="G6720"/>
      <c r="L6720"/>
    </row>
    <row r="6721" spans="1:12" x14ac:dyDescent="0.25">
      <c r="A6721"/>
      <c r="B6721"/>
      <c r="D6721"/>
      <c r="G6721"/>
      <c r="L6721"/>
    </row>
    <row r="6722" spans="1:12" x14ac:dyDescent="0.25">
      <c r="A6722"/>
      <c r="B6722"/>
      <c r="D6722"/>
      <c r="G6722"/>
      <c r="L6722"/>
    </row>
    <row r="6723" spans="1:12" x14ac:dyDescent="0.25">
      <c r="A6723"/>
      <c r="B6723"/>
      <c r="D6723"/>
      <c r="G6723"/>
      <c r="L6723"/>
    </row>
    <row r="6724" spans="1:12" x14ac:dyDescent="0.25">
      <c r="A6724"/>
      <c r="B6724"/>
      <c r="D6724"/>
      <c r="G6724"/>
      <c r="L6724"/>
    </row>
    <row r="6725" spans="1:12" x14ac:dyDescent="0.25">
      <c r="A6725"/>
      <c r="B6725"/>
      <c r="D6725"/>
      <c r="G6725"/>
      <c r="L6725"/>
    </row>
    <row r="6726" spans="1:12" x14ac:dyDescent="0.25">
      <c r="A6726"/>
      <c r="B6726"/>
      <c r="D6726"/>
      <c r="G6726"/>
      <c r="L6726"/>
    </row>
    <row r="6727" spans="1:12" x14ac:dyDescent="0.25">
      <c r="A6727"/>
      <c r="B6727"/>
      <c r="D6727"/>
      <c r="G6727"/>
      <c r="L6727"/>
    </row>
    <row r="6728" spans="1:12" x14ac:dyDescent="0.25">
      <c r="A6728"/>
      <c r="B6728"/>
      <c r="D6728"/>
      <c r="G6728"/>
      <c r="L6728"/>
    </row>
    <row r="6729" spans="1:12" x14ac:dyDescent="0.25">
      <c r="A6729"/>
      <c r="B6729"/>
      <c r="D6729"/>
      <c r="G6729"/>
      <c r="L6729"/>
    </row>
    <row r="6730" spans="1:12" x14ac:dyDescent="0.25">
      <c r="A6730"/>
      <c r="B6730"/>
      <c r="D6730"/>
      <c r="G6730"/>
      <c r="L6730"/>
    </row>
    <row r="6731" spans="1:12" x14ac:dyDescent="0.25">
      <c r="A6731"/>
      <c r="B6731"/>
      <c r="D6731"/>
      <c r="G6731"/>
      <c r="L6731"/>
    </row>
    <row r="6732" spans="1:12" x14ac:dyDescent="0.25">
      <c r="A6732"/>
      <c r="B6732"/>
      <c r="D6732"/>
      <c r="G6732"/>
      <c r="L6732"/>
    </row>
    <row r="6733" spans="1:12" x14ac:dyDescent="0.25">
      <c r="A6733"/>
      <c r="B6733"/>
      <c r="D6733"/>
      <c r="G6733"/>
      <c r="L6733"/>
    </row>
    <row r="6734" spans="1:12" x14ac:dyDescent="0.25">
      <c r="A6734"/>
      <c r="B6734"/>
      <c r="D6734"/>
      <c r="G6734"/>
      <c r="L6734"/>
    </row>
    <row r="6735" spans="1:12" x14ac:dyDescent="0.25">
      <c r="A6735"/>
      <c r="B6735"/>
      <c r="D6735"/>
      <c r="G6735"/>
      <c r="L6735"/>
    </row>
    <row r="6736" spans="1:12" x14ac:dyDescent="0.25">
      <c r="A6736"/>
      <c r="B6736"/>
      <c r="D6736"/>
      <c r="G6736"/>
      <c r="L6736"/>
    </row>
    <row r="6737" spans="1:12" x14ac:dyDescent="0.25">
      <c r="A6737"/>
      <c r="B6737"/>
      <c r="D6737"/>
      <c r="G6737"/>
      <c r="L6737"/>
    </row>
    <row r="6738" spans="1:12" x14ac:dyDescent="0.25">
      <c r="A6738"/>
      <c r="B6738"/>
      <c r="D6738"/>
      <c r="G6738"/>
      <c r="L6738"/>
    </row>
    <row r="6739" spans="1:12" x14ac:dyDescent="0.25">
      <c r="A6739"/>
      <c r="B6739"/>
      <c r="D6739"/>
      <c r="G6739"/>
      <c r="L6739"/>
    </row>
    <row r="6740" spans="1:12" x14ac:dyDescent="0.25">
      <c r="A6740"/>
      <c r="B6740"/>
      <c r="D6740"/>
      <c r="G6740"/>
      <c r="L6740"/>
    </row>
    <row r="6741" spans="1:12" x14ac:dyDescent="0.25">
      <c r="A6741"/>
      <c r="B6741"/>
      <c r="D6741"/>
      <c r="G6741"/>
      <c r="L6741"/>
    </row>
    <row r="6742" spans="1:12" x14ac:dyDescent="0.25">
      <c r="A6742"/>
      <c r="B6742"/>
      <c r="D6742"/>
      <c r="G6742"/>
      <c r="L6742"/>
    </row>
    <row r="6743" spans="1:12" x14ac:dyDescent="0.25">
      <c r="A6743"/>
      <c r="B6743"/>
      <c r="D6743"/>
      <c r="G6743"/>
      <c r="L6743"/>
    </row>
    <row r="6744" spans="1:12" x14ac:dyDescent="0.25">
      <c r="A6744"/>
      <c r="B6744"/>
      <c r="D6744"/>
      <c r="G6744"/>
      <c r="L6744"/>
    </row>
    <row r="6745" spans="1:12" x14ac:dyDescent="0.25">
      <c r="A6745"/>
      <c r="B6745"/>
      <c r="D6745"/>
      <c r="G6745"/>
      <c r="L6745"/>
    </row>
    <row r="6746" spans="1:12" x14ac:dyDescent="0.25">
      <c r="A6746"/>
      <c r="B6746"/>
      <c r="D6746"/>
      <c r="G6746"/>
      <c r="L6746"/>
    </row>
    <row r="6747" spans="1:12" x14ac:dyDescent="0.25">
      <c r="A6747"/>
      <c r="B6747"/>
      <c r="D6747"/>
      <c r="G6747"/>
      <c r="L6747"/>
    </row>
    <row r="6748" spans="1:12" x14ac:dyDescent="0.25">
      <c r="A6748"/>
      <c r="B6748"/>
      <c r="D6748"/>
      <c r="G6748"/>
      <c r="L6748"/>
    </row>
    <row r="6749" spans="1:12" x14ac:dyDescent="0.25">
      <c r="A6749"/>
      <c r="B6749"/>
      <c r="D6749"/>
      <c r="G6749"/>
      <c r="L6749"/>
    </row>
    <row r="6750" spans="1:12" x14ac:dyDescent="0.25">
      <c r="A6750"/>
      <c r="B6750"/>
      <c r="D6750"/>
      <c r="G6750"/>
      <c r="L6750"/>
    </row>
    <row r="6751" spans="1:12" x14ac:dyDescent="0.25">
      <c r="A6751"/>
      <c r="B6751"/>
      <c r="D6751"/>
      <c r="G6751"/>
      <c r="L6751"/>
    </row>
    <row r="6752" spans="1:12" x14ac:dyDescent="0.25">
      <c r="A6752"/>
      <c r="B6752"/>
      <c r="D6752"/>
      <c r="G6752"/>
      <c r="L6752"/>
    </row>
    <row r="6753" spans="1:12" x14ac:dyDescent="0.25">
      <c r="A6753"/>
      <c r="B6753"/>
      <c r="D6753"/>
      <c r="G6753"/>
      <c r="L6753"/>
    </row>
    <row r="6754" spans="1:12" x14ac:dyDescent="0.25">
      <c r="A6754"/>
      <c r="B6754"/>
      <c r="D6754"/>
      <c r="G6754"/>
      <c r="L6754"/>
    </row>
    <row r="6755" spans="1:12" x14ac:dyDescent="0.25">
      <c r="A6755"/>
      <c r="B6755"/>
      <c r="D6755"/>
      <c r="G6755"/>
      <c r="L6755"/>
    </row>
    <row r="6756" spans="1:12" x14ac:dyDescent="0.25">
      <c r="A6756"/>
      <c r="B6756"/>
      <c r="D6756"/>
      <c r="G6756"/>
      <c r="L6756"/>
    </row>
    <row r="6757" spans="1:12" x14ac:dyDescent="0.25">
      <c r="A6757"/>
      <c r="B6757"/>
      <c r="D6757"/>
      <c r="G6757"/>
      <c r="L6757"/>
    </row>
    <row r="6758" spans="1:12" x14ac:dyDescent="0.25">
      <c r="A6758"/>
      <c r="B6758"/>
      <c r="D6758"/>
      <c r="G6758"/>
      <c r="L6758"/>
    </row>
    <row r="6759" spans="1:12" x14ac:dyDescent="0.25">
      <c r="A6759"/>
      <c r="B6759"/>
      <c r="D6759"/>
      <c r="G6759"/>
      <c r="L6759"/>
    </row>
    <row r="6760" spans="1:12" x14ac:dyDescent="0.25">
      <c r="A6760"/>
      <c r="B6760"/>
      <c r="D6760"/>
      <c r="G6760"/>
      <c r="L6760"/>
    </row>
    <row r="6761" spans="1:12" x14ac:dyDescent="0.25">
      <c r="A6761"/>
      <c r="B6761"/>
      <c r="D6761"/>
      <c r="G6761"/>
      <c r="L6761"/>
    </row>
    <row r="6762" spans="1:12" x14ac:dyDescent="0.25">
      <c r="A6762"/>
      <c r="B6762"/>
      <c r="D6762"/>
      <c r="G6762"/>
      <c r="L6762"/>
    </row>
    <row r="6763" spans="1:12" x14ac:dyDescent="0.25">
      <c r="A6763"/>
      <c r="B6763"/>
      <c r="D6763"/>
      <c r="G6763"/>
      <c r="L6763"/>
    </row>
    <row r="6764" spans="1:12" x14ac:dyDescent="0.25">
      <c r="A6764"/>
      <c r="B6764"/>
      <c r="D6764"/>
      <c r="G6764"/>
      <c r="L6764"/>
    </row>
    <row r="6765" spans="1:12" x14ac:dyDescent="0.25">
      <c r="A6765"/>
      <c r="B6765"/>
      <c r="D6765"/>
      <c r="G6765"/>
      <c r="L6765"/>
    </row>
    <row r="6766" spans="1:12" x14ac:dyDescent="0.25">
      <c r="A6766"/>
      <c r="B6766"/>
      <c r="D6766"/>
      <c r="G6766"/>
      <c r="L6766"/>
    </row>
    <row r="6767" spans="1:12" x14ac:dyDescent="0.25">
      <c r="A6767"/>
      <c r="B6767"/>
      <c r="D6767"/>
      <c r="G6767"/>
      <c r="L6767"/>
    </row>
    <row r="6768" spans="1:12" x14ac:dyDescent="0.25">
      <c r="A6768"/>
      <c r="B6768"/>
      <c r="D6768"/>
      <c r="G6768"/>
      <c r="L6768"/>
    </row>
    <row r="6769" spans="1:12" x14ac:dyDescent="0.25">
      <c r="A6769"/>
      <c r="B6769"/>
      <c r="D6769"/>
      <c r="G6769"/>
      <c r="L6769"/>
    </row>
    <row r="6770" spans="1:12" x14ac:dyDescent="0.25">
      <c r="A6770"/>
      <c r="B6770"/>
      <c r="D6770"/>
      <c r="G6770"/>
      <c r="L6770"/>
    </row>
    <row r="6771" spans="1:12" x14ac:dyDescent="0.25">
      <c r="A6771"/>
      <c r="B6771"/>
      <c r="D6771"/>
      <c r="G6771"/>
      <c r="L6771"/>
    </row>
    <row r="6772" spans="1:12" x14ac:dyDescent="0.25">
      <c r="A6772"/>
      <c r="B6772"/>
      <c r="D6772"/>
      <c r="G6772"/>
      <c r="L6772"/>
    </row>
    <row r="6773" spans="1:12" x14ac:dyDescent="0.25">
      <c r="A6773"/>
      <c r="B6773"/>
      <c r="D6773"/>
      <c r="G6773"/>
      <c r="L6773"/>
    </row>
    <row r="6774" spans="1:12" x14ac:dyDescent="0.25">
      <c r="A6774"/>
      <c r="B6774"/>
      <c r="D6774"/>
      <c r="G6774"/>
      <c r="L6774"/>
    </row>
    <row r="6775" spans="1:12" x14ac:dyDescent="0.25">
      <c r="A6775"/>
      <c r="B6775"/>
      <c r="D6775"/>
      <c r="G6775"/>
      <c r="L6775"/>
    </row>
    <row r="6776" spans="1:12" x14ac:dyDescent="0.25">
      <c r="A6776"/>
      <c r="B6776"/>
      <c r="D6776"/>
      <c r="G6776"/>
      <c r="L6776"/>
    </row>
    <row r="6777" spans="1:12" x14ac:dyDescent="0.25">
      <c r="A6777"/>
      <c r="B6777"/>
      <c r="D6777"/>
      <c r="G6777"/>
      <c r="L6777"/>
    </row>
    <row r="6778" spans="1:12" x14ac:dyDescent="0.25">
      <c r="A6778"/>
      <c r="B6778"/>
      <c r="D6778"/>
      <c r="G6778"/>
      <c r="L6778"/>
    </row>
    <row r="6779" spans="1:12" x14ac:dyDescent="0.25">
      <c r="A6779"/>
      <c r="B6779"/>
      <c r="D6779"/>
      <c r="G6779"/>
      <c r="L6779"/>
    </row>
    <row r="6780" spans="1:12" x14ac:dyDescent="0.25">
      <c r="A6780"/>
      <c r="B6780"/>
      <c r="D6780"/>
      <c r="G6780"/>
      <c r="L6780"/>
    </row>
    <row r="6781" spans="1:12" x14ac:dyDescent="0.25">
      <c r="A6781"/>
      <c r="B6781"/>
      <c r="D6781"/>
      <c r="G6781"/>
      <c r="L6781"/>
    </row>
    <row r="6782" spans="1:12" x14ac:dyDescent="0.25">
      <c r="A6782"/>
      <c r="B6782"/>
      <c r="D6782"/>
      <c r="G6782"/>
      <c r="L6782"/>
    </row>
    <row r="6783" spans="1:12" x14ac:dyDescent="0.25">
      <c r="A6783"/>
      <c r="B6783"/>
      <c r="D6783"/>
      <c r="G6783"/>
      <c r="L6783"/>
    </row>
    <row r="6784" spans="1:12" x14ac:dyDescent="0.25">
      <c r="A6784"/>
      <c r="B6784"/>
      <c r="D6784"/>
      <c r="G6784"/>
      <c r="L6784"/>
    </row>
    <row r="6785" spans="1:12" x14ac:dyDescent="0.25">
      <c r="A6785"/>
      <c r="B6785"/>
      <c r="D6785"/>
      <c r="G6785"/>
      <c r="L6785"/>
    </row>
    <row r="6786" spans="1:12" x14ac:dyDescent="0.25">
      <c r="A6786"/>
      <c r="B6786"/>
      <c r="D6786"/>
      <c r="G6786"/>
      <c r="L6786"/>
    </row>
    <row r="6787" spans="1:12" x14ac:dyDescent="0.25">
      <c r="A6787"/>
      <c r="B6787"/>
      <c r="D6787"/>
      <c r="G6787"/>
      <c r="L6787"/>
    </row>
    <row r="6788" spans="1:12" x14ac:dyDescent="0.25">
      <c r="A6788"/>
      <c r="B6788"/>
      <c r="D6788"/>
      <c r="G6788"/>
      <c r="L6788"/>
    </row>
    <row r="6789" spans="1:12" x14ac:dyDescent="0.25">
      <c r="A6789"/>
      <c r="B6789"/>
      <c r="D6789"/>
      <c r="G6789"/>
      <c r="L6789"/>
    </row>
    <row r="6790" spans="1:12" x14ac:dyDescent="0.25">
      <c r="A6790"/>
      <c r="B6790"/>
      <c r="D6790"/>
      <c r="G6790"/>
      <c r="L6790"/>
    </row>
    <row r="6791" spans="1:12" x14ac:dyDescent="0.25">
      <c r="A6791"/>
      <c r="B6791"/>
      <c r="D6791"/>
      <c r="G6791"/>
      <c r="L6791"/>
    </row>
    <row r="6792" spans="1:12" x14ac:dyDescent="0.25">
      <c r="A6792"/>
      <c r="B6792"/>
      <c r="D6792"/>
      <c r="G6792"/>
      <c r="L6792"/>
    </row>
    <row r="6793" spans="1:12" x14ac:dyDescent="0.25">
      <c r="A6793"/>
      <c r="B6793"/>
      <c r="D6793"/>
      <c r="G6793"/>
      <c r="L6793"/>
    </row>
    <row r="6794" spans="1:12" x14ac:dyDescent="0.25">
      <c r="A6794"/>
      <c r="B6794"/>
      <c r="D6794"/>
      <c r="G6794"/>
      <c r="L6794"/>
    </row>
    <row r="6795" spans="1:12" x14ac:dyDescent="0.25">
      <c r="A6795"/>
      <c r="B6795"/>
      <c r="D6795"/>
      <c r="G6795"/>
      <c r="L6795"/>
    </row>
    <row r="6796" spans="1:12" x14ac:dyDescent="0.25">
      <c r="A6796"/>
      <c r="B6796"/>
      <c r="D6796"/>
      <c r="G6796"/>
      <c r="L6796"/>
    </row>
    <row r="6797" spans="1:12" x14ac:dyDescent="0.25">
      <c r="A6797"/>
      <c r="B6797"/>
      <c r="D6797"/>
      <c r="G6797"/>
      <c r="L6797"/>
    </row>
    <row r="6798" spans="1:12" x14ac:dyDescent="0.25">
      <c r="A6798"/>
      <c r="B6798"/>
      <c r="D6798"/>
      <c r="G6798"/>
      <c r="L6798"/>
    </row>
    <row r="6799" spans="1:12" x14ac:dyDescent="0.25">
      <c r="A6799"/>
      <c r="B6799"/>
      <c r="D6799"/>
      <c r="G6799"/>
      <c r="L6799"/>
    </row>
    <row r="6800" spans="1:12" x14ac:dyDescent="0.25">
      <c r="A6800"/>
      <c r="B6800"/>
      <c r="D6800"/>
      <c r="G6800"/>
      <c r="L6800"/>
    </row>
    <row r="6801" spans="1:12" x14ac:dyDescent="0.25">
      <c r="A6801"/>
      <c r="B6801"/>
      <c r="D6801"/>
      <c r="G6801"/>
      <c r="L6801"/>
    </row>
    <row r="6802" spans="1:12" x14ac:dyDescent="0.25">
      <c r="A6802"/>
      <c r="B6802"/>
      <c r="D6802"/>
      <c r="G6802"/>
      <c r="L6802"/>
    </row>
    <row r="6803" spans="1:12" x14ac:dyDescent="0.25">
      <c r="A6803"/>
      <c r="B6803"/>
      <c r="D6803"/>
      <c r="G6803"/>
      <c r="L6803"/>
    </row>
    <row r="6804" spans="1:12" x14ac:dyDescent="0.25">
      <c r="A6804"/>
      <c r="B6804"/>
      <c r="D6804"/>
      <c r="G6804"/>
      <c r="L6804"/>
    </row>
    <row r="6805" spans="1:12" x14ac:dyDescent="0.25">
      <c r="A6805"/>
      <c r="B6805"/>
      <c r="D6805"/>
      <c r="G6805"/>
      <c r="L6805"/>
    </row>
    <row r="6806" spans="1:12" x14ac:dyDescent="0.25">
      <c r="A6806"/>
      <c r="B6806"/>
      <c r="D6806"/>
      <c r="G6806"/>
      <c r="L6806"/>
    </row>
    <row r="6807" spans="1:12" x14ac:dyDescent="0.25">
      <c r="A6807"/>
      <c r="B6807"/>
      <c r="D6807"/>
      <c r="G6807"/>
      <c r="L6807"/>
    </row>
    <row r="6808" spans="1:12" x14ac:dyDescent="0.25">
      <c r="A6808"/>
      <c r="B6808"/>
      <c r="D6808"/>
      <c r="G6808"/>
      <c r="L6808"/>
    </row>
    <row r="6809" spans="1:12" x14ac:dyDescent="0.25">
      <c r="A6809"/>
      <c r="B6809"/>
      <c r="D6809"/>
      <c r="G6809"/>
      <c r="L6809"/>
    </row>
    <row r="6810" spans="1:12" x14ac:dyDescent="0.25">
      <c r="A6810"/>
      <c r="B6810"/>
      <c r="D6810"/>
      <c r="G6810"/>
      <c r="L6810"/>
    </row>
    <row r="6811" spans="1:12" x14ac:dyDescent="0.25">
      <c r="A6811"/>
      <c r="B6811"/>
      <c r="D6811"/>
      <c r="G6811"/>
      <c r="L6811"/>
    </row>
    <row r="6812" spans="1:12" x14ac:dyDescent="0.25">
      <c r="A6812"/>
      <c r="B6812"/>
      <c r="D6812"/>
      <c r="G6812"/>
      <c r="L6812"/>
    </row>
    <row r="6813" spans="1:12" x14ac:dyDescent="0.25">
      <c r="A6813"/>
      <c r="B6813"/>
      <c r="D6813"/>
      <c r="G6813"/>
      <c r="L6813"/>
    </row>
    <row r="6814" spans="1:12" x14ac:dyDescent="0.25">
      <c r="A6814"/>
      <c r="B6814"/>
      <c r="D6814"/>
      <c r="G6814"/>
      <c r="L6814"/>
    </row>
    <row r="6815" spans="1:12" x14ac:dyDescent="0.25">
      <c r="A6815"/>
      <c r="B6815"/>
      <c r="D6815"/>
      <c r="G6815"/>
      <c r="L6815"/>
    </row>
    <row r="6816" spans="1:12" x14ac:dyDescent="0.25">
      <c r="A6816"/>
      <c r="B6816"/>
      <c r="D6816"/>
      <c r="G6816"/>
      <c r="L6816"/>
    </row>
    <row r="6817" spans="1:12" x14ac:dyDescent="0.25">
      <c r="A6817"/>
      <c r="B6817"/>
      <c r="D6817"/>
      <c r="G6817"/>
      <c r="L6817"/>
    </row>
    <row r="6818" spans="1:12" x14ac:dyDescent="0.25">
      <c r="A6818"/>
      <c r="B6818"/>
      <c r="D6818"/>
      <c r="G6818"/>
      <c r="L6818"/>
    </row>
    <row r="6819" spans="1:12" x14ac:dyDescent="0.25">
      <c r="A6819"/>
      <c r="B6819"/>
      <c r="D6819"/>
      <c r="G6819"/>
      <c r="L6819"/>
    </row>
    <row r="6820" spans="1:12" x14ac:dyDescent="0.25">
      <c r="A6820"/>
      <c r="B6820"/>
      <c r="D6820"/>
      <c r="G6820"/>
      <c r="L6820"/>
    </row>
    <row r="6821" spans="1:12" x14ac:dyDescent="0.25">
      <c r="A6821"/>
      <c r="B6821"/>
      <c r="D6821"/>
      <c r="G6821"/>
      <c r="L6821"/>
    </row>
    <row r="6822" spans="1:12" x14ac:dyDescent="0.25">
      <c r="A6822"/>
      <c r="B6822"/>
      <c r="D6822"/>
      <c r="G6822"/>
      <c r="L6822"/>
    </row>
    <row r="6823" spans="1:12" x14ac:dyDescent="0.25">
      <c r="A6823"/>
      <c r="B6823"/>
      <c r="D6823"/>
      <c r="G6823"/>
      <c r="L6823"/>
    </row>
    <row r="6824" spans="1:12" x14ac:dyDescent="0.25">
      <c r="A6824"/>
      <c r="B6824"/>
      <c r="D6824"/>
      <c r="G6824"/>
      <c r="L6824"/>
    </row>
    <row r="6825" spans="1:12" x14ac:dyDescent="0.25">
      <c r="A6825"/>
      <c r="B6825"/>
      <c r="D6825"/>
      <c r="G6825"/>
      <c r="L6825"/>
    </row>
    <row r="6826" spans="1:12" x14ac:dyDescent="0.25">
      <c r="A6826"/>
      <c r="B6826"/>
      <c r="D6826"/>
      <c r="G6826"/>
      <c r="L6826"/>
    </row>
    <row r="6827" spans="1:12" x14ac:dyDescent="0.25">
      <c r="A6827"/>
      <c r="B6827"/>
      <c r="D6827"/>
      <c r="G6827"/>
      <c r="L6827"/>
    </row>
    <row r="6828" spans="1:12" x14ac:dyDescent="0.25">
      <c r="A6828"/>
      <c r="B6828"/>
      <c r="D6828"/>
      <c r="G6828"/>
      <c r="L6828"/>
    </row>
    <row r="6829" spans="1:12" x14ac:dyDescent="0.25">
      <c r="A6829"/>
      <c r="B6829"/>
      <c r="D6829"/>
      <c r="G6829"/>
      <c r="L6829"/>
    </row>
    <row r="6830" spans="1:12" x14ac:dyDescent="0.25">
      <c r="A6830"/>
      <c r="B6830"/>
      <c r="D6830"/>
      <c r="G6830"/>
      <c r="L6830"/>
    </row>
    <row r="6831" spans="1:12" x14ac:dyDescent="0.25">
      <c r="A6831"/>
      <c r="B6831"/>
      <c r="D6831"/>
      <c r="G6831"/>
      <c r="L6831"/>
    </row>
    <row r="6832" spans="1:12" x14ac:dyDescent="0.25">
      <c r="A6832"/>
      <c r="B6832"/>
      <c r="D6832"/>
      <c r="G6832"/>
      <c r="L6832"/>
    </row>
    <row r="6833" spans="1:12" x14ac:dyDescent="0.25">
      <c r="A6833"/>
      <c r="B6833"/>
      <c r="D6833"/>
      <c r="G6833"/>
      <c r="L6833"/>
    </row>
    <row r="6834" spans="1:12" x14ac:dyDescent="0.25">
      <c r="A6834"/>
      <c r="B6834"/>
      <c r="D6834"/>
      <c r="G6834"/>
      <c r="L6834"/>
    </row>
    <row r="6835" spans="1:12" x14ac:dyDescent="0.25">
      <c r="A6835"/>
      <c r="B6835"/>
      <c r="D6835"/>
      <c r="G6835"/>
      <c r="L6835"/>
    </row>
    <row r="6836" spans="1:12" x14ac:dyDescent="0.25">
      <c r="A6836"/>
      <c r="B6836"/>
      <c r="D6836"/>
      <c r="G6836"/>
      <c r="L6836"/>
    </row>
    <row r="6837" spans="1:12" x14ac:dyDescent="0.25">
      <c r="A6837"/>
      <c r="B6837"/>
      <c r="D6837"/>
      <c r="G6837"/>
      <c r="L6837"/>
    </row>
    <row r="6838" spans="1:12" x14ac:dyDescent="0.25">
      <c r="A6838"/>
      <c r="B6838"/>
      <c r="D6838"/>
      <c r="G6838"/>
      <c r="L6838"/>
    </row>
    <row r="6839" spans="1:12" x14ac:dyDescent="0.25">
      <c r="A6839"/>
      <c r="B6839"/>
      <c r="D6839"/>
      <c r="G6839"/>
      <c r="L6839"/>
    </row>
    <row r="6840" spans="1:12" x14ac:dyDescent="0.25">
      <c r="A6840"/>
      <c r="B6840"/>
      <c r="D6840"/>
      <c r="G6840"/>
      <c r="L6840"/>
    </row>
    <row r="6841" spans="1:12" x14ac:dyDescent="0.25">
      <c r="A6841"/>
      <c r="B6841"/>
      <c r="D6841"/>
      <c r="G6841"/>
      <c r="L6841"/>
    </row>
    <row r="6842" spans="1:12" x14ac:dyDescent="0.25">
      <c r="A6842"/>
      <c r="B6842"/>
      <c r="D6842"/>
      <c r="G6842"/>
      <c r="L6842"/>
    </row>
    <row r="6843" spans="1:12" x14ac:dyDescent="0.25">
      <c r="A6843"/>
      <c r="B6843"/>
      <c r="D6843"/>
      <c r="G6843"/>
      <c r="L6843"/>
    </row>
    <row r="6844" spans="1:12" x14ac:dyDescent="0.25">
      <c r="A6844"/>
      <c r="B6844"/>
      <c r="D6844"/>
      <c r="G6844"/>
      <c r="L6844"/>
    </row>
    <row r="6845" spans="1:12" x14ac:dyDescent="0.25">
      <c r="A6845"/>
      <c r="B6845"/>
      <c r="D6845"/>
      <c r="G6845"/>
      <c r="L6845"/>
    </row>
    <row r="6846" spans="1:12" x14ac:dyDescent="0.25">
      <c r="A6846"/>
      <c r="B6846"/>
      <c r="D6846"/>
      <c r="G6846"/>
      <c r="L6846"/>
    </row>
    <row r="6847" spans="1:12" x14ac:dyDescent="0.25">
      <c r="A6847"/>
      <c r="B6847"/>
      <c r="D6847"/>
      <c r="G6847"/>
      <c r="L6847"/>
    </row>
    <row r="6848" spans="1:12" x14ac:dyDescent="0.25">
      <c r="A6848"/>
      <c r="B6848"/>
      <c r="D6848"/>
      <c r="G6848"/>
      <c r="L6848"/>
    </row>
    <row r="6849" spans="1:12" x14ac:dyDescent="0.25">
      <c r="A6849"/>
      <c r="B6849"/>
      <c r="D6849"/>
      <c r="G6849"/>
      <c r="L6849"/>
    </row>
    <row r="6850" spans="1:12" x14ac:dyDescent="0.25">
      <c r="A6850"/>
      <c r="B6850"/>
      <c r="D6850"/>
      <c r="G6850"/>
      <c r="L6850"/>
    </row>
    <row r="6851" spans="1:12" x14ac:dyDescent="0.25">
      <c r="A6851"/>
      <c r="B6851"/>
      <c r="D6851"/>
      <c r="G6851"/>
      <c r="L6851"/>
    </row>
    <row r="6852" spans="1:12" x14ac:dyDescent="0.25">
      <c r="A6852"/>
      <c r="B6852"/>
      <c r="D6852"/>
      <c r="G6852"/>
      <c r="L6852"/>
    </row>
    <row r="6853" spans="1:12" x14ac:dyDescent="0.25">
      <c r="A6853"/>
      <c r="B6853"/>
      <c r="D6853"/>
      <c r="G6853"/>
      <c r="L6853"/>
    </row>
    <row r="6854" spans="1:12" x14ac:dyDescent="0.25">
      <c r="A6854"/>
      <c r="B6854"/>
      <c r="D6854"/>
      <c r="G6854"/>
      <c r="L6854"/>
    </row>
    <row r="6855" spans="1:12" x14ac:dyDescent="0.25">
      <c r="A6855"/>
      <c r="B6855"/>
      <c r="D6855"/>
      <c r="G6855"/>
      <c r="L6855"/>
    </row>
    <row r="6856" spans="1:12" x14ac:dyDescent="0.25">
      <c r="A6856"/>
      <c r="B6856"/>
      <c r="D6856"/>
      <c r="G6856"/>
      <c r="L6856"/>
    </row>
    <row r="6857" spans="1:12" x14ac:dyDescent="0.25">
      <c r="A6857"/>
      <c r="B6857"/>
      <c r="D6857"/>
      <c r="G6857"/>
      <c r="L6857"/>
    </row>
    <row r="6858" spans="1:12" x14ac:dyDescent="0.25">
      <c r="A6858"/>
      <c r="B6858"/>
      <c r="D6858"/>
      <c r="G6858"/>
      <c r="L6858"/>
    </row>
    <row r="6859" spans="1:12" x14ac:dyDescent="0.25">
      <c r="A6859"/>
      <c r="B6859"/>
      <c r="D6859"/>
      <c r="G6859"/>
      <c r="L6859"/>
    </row>
    <row r="6860" spans="1:12" x14ac:dyDescent="0.25">
      <c r="A6860"/>
      <c r="B6860"/>
      <c r="D6860"/>
      <c r="G6860"/>
      <c r="L6860"/>
    </row>
    <row r="6861" spans="1:12" x14ac:dyDescent="0.25">
      <c r="A6861"/>
      <c r="B6861"/>
      <c r="D6861"/>
      <c r="G6861"/>
      <c r="L6861"/>
    </row>
    <row r="6862" spans="1:12" x14ac:dyDescent="0.25">
      <c r="A6862"/>
      <c r="B6862"/>
      <c r="D6862"/>
      <c r="G6862"/>
      <c r="L6862"/>
    </row>
    <row r="6863" spans="1:12" x14ac:dyDescent="0.25">
      <c r="A6863"/>
      <c r="B6863"/>
      <c r="D6863"/>
      <c r="G6863"/>
      <c r="L6863"/>
    </row>
    <row r="6864" spans="1:12" x14ac:dyDescent="0.25">
      <c r="A6864"/>
      <c r="B6864"/>
      <c r="D6864"/>
      <c r="G6864"/>
      <c r="L6864"/>
    </row>
    <row r="6865" spans="1:12" x14ac:dyDescent="0.25">
      <c r="A6865"/>
      <c r="B6865"/>
      <c r="D6865"/>
      <c r="G6865"/>
      <c r="L6865"/>
    </row>
    <row r="6866" spans="1:12" x14ac:dyDescent="0.25">
      <c r="A6866"/>
      <c r="B6866"/>
      <c r="D6866"/>
      <c r="G6866"/>
      <c r="L6866"/>
    </row>
    <row r="6867" spans="1:12" x14ac:dyDescent="0.25">
      <c r="A6867"/>
      <c r="B6867"/>
      <c r="D6867"/>
      <c r="G6867"/>
      <c r="L6867"/>
    </row>
    <row r="6868" spans="1:12" x14ac:dyDescent="0.25">
      <c r="A6868"/>
      <c r="B6868"/>
      <c r="D6868"/>
      <c r="G6868"/>
      <c r="L6868"/>
    </row>
    <row r="6869" spans="1:12" x14ac:dyDescent="0.25">
      <c r="A6869"/>
      <c r="B6869"/>
      <c r="D6869"/>
      <c r="G6869"/>
      <c r="L6869"/>
    </row>
    <row r="6870" spans="1:12" x14ac:dyDescent="0.25">
      <c r="A6870"/>
      <c r="B6870"/>
      <c r="D6870"/>
      <c r="G6870"/>
      <c r="L6870"/>
    </row>
    <row r="6871" spans="1:12" x14ac:dyDescent="0.25">
      <c r="A6871"/>
      <c r="B6871"/>
      <c r="D6871"/>
      <c r="G6871"/>
      <c r="L6871"/>
    </row>
    <row r="6872" spans="1:12" x14ac:dyDescent="0.25">
      <c r="A6872"/>
      <c r="B6872"/>
      <c r="D6872"/>
      <c r="G6872"/>
      <c r="L6872"/>
    </row>
    <row r="6873" spans="1:12" x14ac:dyDescent="0.25">
      <c r="A6873"/>
      <c r="B6873"/>
      <c r="D6873"/>
      <c r="G6873"/>
      <c r="L6873"/>
    </row>
    <row r="6874" spans="1:12" x14ac:dyDescent="0.25">
      <c r="A6874"/>
      <c r="B6874"/>
      <c r="D6874"/>
      <c r="G6874"/>
      <c r="L6874"/>
    </row>
    <row r="6875" spans="1:12" x14ac:dyDescent="0.25">
      <c r="A6875"/>
      <c r="B6875"/>
      <c r="D6875"/>
      <c r="G6875"/>
      <c r="L6875"/>
    </row>
    <row r="6876" spans="1:12" x14ac:dyDescent="0.25">
      <c r="A6876"/>
      <c r="B6876"/>
      <c r="D6876"/>
      <c r="G6876"/>
      <c r="L6876"/>
    </row>
    <row r="6877" spans="1:12" x14ac:dyDescent="0.25">
      <c r="A6877"/>
      <c r="B6877"/>
      <c r="D6877"/>
      <c r="G6877"/>
      <c r="L6877"/>
    </row>
    <row r="6878" spans="1:12" x14ac:dyDescent="0.25">
      <c r="A6878"/>
      <c r="B6878"/>
      <c r="D6878"/>
      <c r="G6878"/>
      <c r="L6878"/>
    </row>
    <row r="6879" spans="1:12" x14ac:dyDescent="0.25">
      <c r="A6879"/>
      <c r="B6879"/>
      <c r="D6879"/>
      <c r="G6879"/>
      <c r="L6879"/>
    </row>
    <row r="6880" spans="1:12" x14ac:dyDescent="0.25">
      <c r="A6880"/>
      <c r="B6880"/>
      <c r="D6880"/>
      <c r="G6880"/>
      <c r="L6880"/>
    </row>
    <row r="6881" spans="1:12" x14ac:dyDescent="0.25">
      <c r="A6881"/>
      <c r="B6881"/>
      <c r="D6881"/>
      <c r="G6881"/>
      <c r="L6881"/>
    </row>
    <row r="6882" spans="1:12" x14ac:dyDescent="0.25">
      <c r="A6882"/>
      <c r="B6882"/>
      <c r="D6882"/>
      <c r="G6882"/>
      <c r="L6882"/>
    </row>
    <row r="6883" spans="1:12" x14ac:dyDescent="0.25">
      <c r="A6883"/>
      <c r="B6883"/>
      <c r="D6883"/>
      <c r="G6883"/>
      <c r="L6883"/>
    </row>
    <row r="6884" spans="1:12" x14ac:dyDescent="0.25">
      <c r="A6884"/>
      <c r="B6884"/>
      <c r="D6884"/>
      <c r="G6884"/>
      <c r="L6884"/>
    </row>
    <row r="6885" spans="1:12" x14ac:dyDescent="0.25">
      <c r="A6885"/>
      <c r="B6885"/>
      <c r="D6885"/>
      <c r="G6885"/>
      <c r="L6885"/>
    </row>
    <row r="6886" spans="1:12" x14ac:dyDescent="0.25">
      <c r="A6886"/>
      <c r="B6886"/>
      <c r="D6886"/>
      <c r="G6886"/>
      <c r="L6886"/>
    </row>
    <row r="6887" spans="1:12" x14ac:dyDescent="0.25">
      <c r="A6887"/>
      <c r="B6887"/>
      <c r="D6887"/>
      <c r="G6887"/>
      <c r="L6887"/>
    </row>
    <row r="6888" spans="1:12" x14ac:dyDescent="0.25">
      <c r="A6888"/>
      <c r="B6888"/>
      <c r="D6888"/>
      <c r="G6888"/>
      <c r="L6888"/>
    </row>
    <row r="6889" spans="1:12" x14ac:dyDescent="0.25">
      <c r="A6889"/>
      <c r="B6889"/>
      <c r="D6889"/>
      <c r="G6889"/>
      <c r="L6889"/>
    </row>
    <row r="6890" spans="1:12" x14ac:dyDescent="0.25">
      <c r="A6890"/>
      <c r="B6890"/>
      <c r="D6890"/>
      <c r="G6890"/>
      <c r="L6890"/>
    </row>
    <row r="6891" spans="1:12" x14ac:dyDescent="0.25">
      <c r="A6891"/>
      <c r="B6891"/>
      <c r="D6891"/>
      <c r="G6891"/>
      <c r="L6891"/>
    </row>
    <row r="6892" spans="1:12" x14ac:dyDescent="0.25">
      <c r="A6892"/>
      <c r="B6892"/>
      <c r="D6892"/>
      <c r="G6892"/>
      <c r="L6892"/>
    </row>
    <row r="6893" spans="1:12" x14ac:dyDescent="0.25">
      <c r="A6893"/>
      <c r="B6893"/>
      <c r="D6893"/>
      <c r="G6893"/>
      <c r="L6893"/>
    </row>
    <row r="6894" spans="1:12" x14ac:dyDescent="0.25">
      <c r="A6894"/>
      <c r="B6894"/>
      <c r="D6894"/>
      <c r="G6894"/>
      <c r="L6894"/>
    </row>
    <row r="6895" spans="1:12" x14ac:dyDescent="0.25">
      <c r="A6895"/>
      <c r="B6895"/>
      <c r="D6895"/>
      <c r="G6895"/>
      <c r="L6895"/>
    </row>
    <row r="6896" spans="1:12" x14ac:dyDescent="0.25">
      <c r="A6896"/>
      <c r="B6896"/>
      <c r="D6896"/>
      <c r="G6896"/>
      <c r="L6896"/>
    </row>
    <row r="6897" spans="1:12" x14ac:dyDescent="0.25">
      <c r="A6897"/>
      <c r="B6897"/>
      <c r="D6897"/>
      <c r="G6897"/>
      <c r="L6897"/>
    </row>
    <row r="6898" spans="1:12" x14ac:dyDescent="0.25">
      <c r="A6898"/>
      <c r="B6898"/>
      <c r="D6898"/>
      <c r="G6898"/>
      <c r="L6898"/>
    </row>
    <row r="6899" spans="1:12" x14ac:dyDescent="0.25">
      <c r="A6899"/>
      <c r="B6899"/>
      <c r="D6899"/>
      <c r="G6899"/>
      <c r="L6899"/>
    </row>
    <row r="6900" spans="1:12" x14ac:dyDescent="0.25">
      <c r="A6900"/>
      <c r="B6900"/>
      <c r="D6900"/>
      <c r="G6900"/>
      <c r="L6900"/>
    </row>
    <row r="6901" spans="1:12" x14ac:dyDescent="0.25">
      <c r="A6901"/>
      <c r="B6901"/>
      <c r="D6901"/>
      <c r="G6901"/>
      <c r="L6901"/>
    </row>
    <row r="6902" spans="1:12" x14ac:dyDescent="0.25">
      <c r="A6902"/>
      <c r="B6902"/>
      <c r="D6902"/>
      <c r="G6902"/>
      <c r="L6902"/>
    </row>
    <row r="6903" spans="1:12" x14ac:dyDescent="0.25">
      <c r="A6903"/>
      <c r="B6903"/>
      <c r="D6903"/>
      <c r="G6903"/>
      <c r="L6903"/>
    </row>
    <row r="6904" spans="1:12" x14ac:dyDescent="0.25">
      <c r="A6904"/>
      <c r="B6904"/>
      <c r="D6904"/>
      <c r="G6904"/>
      <c r="L6904"/>
    </row>
    <row r="6905" spans="1:12" x14ac:dyDescent="0.25">
      <c r="A6905"/>
      <c r="B6905"/>
      <c r="D6905"/>
      <c r="G6905"/>
      <c r="L6905"/>
    </row>
    <row r="6906" spans="1:12" x14ac:dyDescent="0.25">
      <c r="A6906"/>
      <c r="B6906"/>
      <c r="D6906"/>
      <c r="G6906"/>
      <c r="L6906"/>
    </row>
    <row r="6907" spans="1:12" x14ac:dyDescent="0.25">
      <c r="A6907"/>
      <c r="B6907"/>
      <c r="D6907"/>
      <c r="G6907"/>
      <c r="L6907"/>
    </row>
    <row r="6908" spans="1:12" x14ac:dyDescent="0.25">
      <c r="A6908"/>
      <c r="B6908"/>
      <c r="D6908"/>
      <c r="G6908"/>
      <c r="L6908"/>
    </row>
    <row r="6909" spans="1:12" x14ac:dyDescent="0.25">
      <c r="A6909"/>
      <c r="B6909"/>
      <c r="D6909"/>
      <c r="G6909"/>
      <c r="L6909"/>
    </row>
    <row r="6910" spans="1:12" x14ac:dyDescent="0.25">
      <c r="A6910"/>
      <c r="B6910"/>
      <c r="D6910"/>
      <c r="G6910"/>
      <c r="L6910"/>
    </row>
    <row r="6911" spans="1:12" x14ac:dyDescent="0.25">
      <c r="A6911"/>
      <c r="B6911"/>
      <c r="D6911"/>
      <c r="G6911"/>
      <c r="L6911"/>
    </row>
    <row r="6912" spans="1:12" x14ac:dyDescent="0.25">
      <c r="A6912"/>
      <c r="B6912"/>
      <c r="D6912"/>
      <c r="G6912"/>
      <c r="L6912"/>
    </row>
    <row r="6913" spans="1:12" x14ac:dyDescent="0.25">
      <c r="A6913"/>
      <c r="B6913"/>
      <c r="D6913"/>
      <c r="G6913"/>
      <c r="L6913"/>
    </row>
    <row r="6914" spans="1:12" x14ac:dyDescent="0.25">
      <c r="A6914"/>
      <c r="B6914"/>
      <c r="D6914"/>
      <c r="G6914"/>
      <c r="L6914"/>
    </row>
    <row r="6915" spans="1:12" x14ac:dyDescent="0.25">
      <c r="A6915"/>
      <c r="B6915"/>
      <c r="D6915"/>
      <c r="G6915"/>
      <c r="L6915"/>
    </row>
    <row r="6916" spans="1:12" x14ac:dyDescent="0.25">
      <c r="A6916"/>
      <c r="B6916"/>
      <c r="D6916"/>
      <c r="G6916"/>
      <c r="L6916"/>
    </row>
    <row r="6917" spans="1:12" x14ac:dyDescent="0.25">
      <c r="A6917"/>
      <c r="B6917"/>
      <c r="D6917"/>
      <c r="G6917"/>
      <c r="L6917"/>
    </row>
    <row r="6918" spans="1:12" x14ac:dyDescent="0.25">
      <c r="A6918"/>
      <c r="B6918"/>
      <c r="D6918"/>
      <c r="G6918"/>
      <c r="L6918"/>
    </row>
    <row r="6919" spans="1:12" x14ac:dyDescent="0.25">
      <c r="A6919"/>
      <c r="B6919"/>
      <c r="D6919"/>
      <c r="G6919"/>
      <c r="L6919"/>
    </row>
    <row r="6920" spans="1:12" x14ac:dyDescent="0.25">
      <c r="A6920"/>
      <c r="B6920"/>
      <c r="D6920"/>
      <c r="G6920"/>
      <c r="L6920"/>
    </row>
    <row r="6921" spans="1:12" x14ac:dyDescent="0.25">
      <c r="A6921"/>
      <c r="B6921"/>
      <c r="D6921"/>
      <c r="G6921"/>
      <c r="L6921"/>
    </row>
    <row r="6922" spans="1:12" x14ac:dyDescent="0.25">
      <c r="A6922"/>
      <c r="B6922"/>
      <c r="D6922"/>
      <c r="G6922"/>
      <c r="L6922"/>
    </row>
    <row r="6923" spans="1:12" x14ac:dyDescent="0.25">
      <c r="A6923"/>
      <c r="B6923"/>
      <c r="D6923"/>
      <c r="G6923"/>
      <c r="L6923"/>
    </row>
    <row r="6924" spans="1:12" x14ac:dyDescent="0.25">
      <c r="A6924"/>
      <c r="B6924"/>
      <c r="D6924"/>
      <c r="G6924"/>
      <c r="L6924"/>
    </row>
    <row r="6925" spans="1:12" x14ac:dyDescent="0.25">
      <c r="A6925"/>
      <c r="B6925"/>
      <c r="D6925"/>
      <c r="G6925"/>
      <c r="L6925"/>
    </row>
    <row r="6926" spans="1:12" x14ac:dyDescent="0.25">
      <c r="A6926"/>
      <c r="B6926"/>
      <c r="D6926"/>
      <c r="G6926"/>
      <c r="L6926"/>
    </row>
    <row r="6927" spans="1:12" x14ac:dyDescent="0.25">
      <c r="A6927"/>
      <c r="B6927"/>
      <c r="D6927"/>
      <c r="G6927"/>
      <c r="L6927"/>
    </row>
    <row r="6928" spans="1:12" x14ac:dyDescent="0.25">
      <c r="A6928"/>
      <c r="B6928"/>
      <c r="D6928"/>
      <c r="G6928"/>
      <c r="L6928"/>
    </row>
    <row r="6929" spans="1:12" x14ac:dyDescent="0.25">
      <c r="A6929"/>
      <c r="B6929"/>
      <c r="D6929"/>
      <c r="G6929"/>
      <c r="L6929"/>
    </row>
    <row r="6930" spans="1:12" x14ac:dyDescent="0.25">
      <c r="A6930"/>
      <c r="B6930"/>
      <c r="D6930"/>
      <c r="G6930"/>
      <c r="L6930"/>
    </row>
    <row r="6931" spans="1:12" x14ac:dyDescent="0.25">
      <c r="A6931"/>
      <c r="B6931"/>
      <c r="D6931"/>
      <c r="G6931"/>
      <c r="L6931"/>
    </row>
    <row r="6932" spans="1:12" x14ac:dyDescent="0.25">
      <c r="A6932"/>
      <c r="B6932"/>
      <c r="D6932"/>
      <c r="G6932"/>
      <c r="L6932"/>
    </row>
    <row r="6933" spans="1:12" x14ac:dyDescent="0.25">
      <c r="A6933"/>
      <c r="B6933"/>
      <c r="D6933"/>
      <c r="G6933"/>
      <c r="L6933"/>
    </row>
    <row r="6934" spans="1:12" x14ac:dyDescent="0.25">
      <c r="A6934"/>
      <c r="B6934"/>
      <c r="D6934"/>
      <c r="G6934"/>
      <c r="L6934"/>
    </row>
    <row r="6935" spans="1:12" x14ac:dyDescent="0.25">
      <c r="A6935"/>
      <c r="B6935"/>
      <c r="D6935"/>
      <c r="G6935"/>
      <c r="L6935"/>
    </row>
    <row r="6936" spans="1:12" x14ac:dyDescent="0.25">
      <c r="A6936"/>
      <c r="B6936"/>
      <c r="D6936"/>
      <c r="G6936"/>
      <c r="L6936"/>
    </row>
    <row r="6937" spans="1:12" x14ac:dyDescent="0.25">
      <c r="A6937"/>
      <c r="B6937"/>
      <c r="D6937"/>
      <c r="G6937"/>
      <c r="L6937"/>
    </row>
    <row r="6938" spans="1:12" x14ac:dyDescent="0.25">
      <c r="A6938"/>
      <c r="B6938"/>
      <c r="D6938"/>
      <c r="G6938"/>
      <c r="L6938"/>
    </row>
    <row r="6939" spans="1:12" x14ac:dyDescent="0.25">
      <c r="A6939"/>
      <c r="B6939"/>
      <c r="D6939"/>
      <c r="G6939"/>
      <c r="L6939"/>
    </row>
    <row r="6940" spans="1:12" x14ac:dyDescent="0.25">
      <c r="A6940"/>
      <c r="B6940"/>
      <c r="D6940"/>
      <c r="G6940"/>
      <c r="L6940"/>
    </row>
    <row r="6941" spans="1:12" x14ac:dyDescent="0.25">
      <c r="A6941"/>
      <c r="B6941"/>
      <c r="D6941"/>
      <c r="G6941"/>
      <c r="L6941"/>
    </row>
    <row r="6942" spans="1:12" x14ac:dyDescent="0.25">
      <c r="A6942"/>
      <c r="B6942"/>
      <c r="D6942"/>
      <c r="G6942"/>
      <c r="L6942"/>
    </row>
    <row r="6943" spans="1:12" x14ac:dyDescent="0.25">
      <c r="A6943"/>
      <c r="B6943"/>
      <c r="D6943"/>
      <c r="G6943"/>
      <c r="L6943"/>
    </row>
    <row r="6944" spans="1:12" x14ac:dyDescent="0.25">
      <c r="A6944"/>
      <c r="B6944"/>
      <c r="D6944"/>
      <c r="G6944"/>
      <c r="L6944"/>
    </row>
    <row r="6945" spans="1:12" x14ac:dyDescent="0.25">
      <c r="A6945"/>
      <c r="B6945"/>
      <c r="D6945"/>
      <c r="G6945"/>
      <c r="L6945"/>
    </row>
    <row r="6946" spans="1:12" x14ac:dyDescent="0.25">
      <c r="A6946"/>
      <c r="B6946"/>
      <c r="D6946"/>
      <c r="G6946"/>
      <c r="L6946"/>
    </row>
    <row r="6947" spans="1:12" x14ac:dyDescent="0.25">
      <c r="A6947"/>
      <c r="B6947"/>
      <c r="D6947"/>
      <c r="G6947"/>
      <c r="L6947"/>
    </row>
    <row r="6948" spans="1:12" x14ac:dyDescent="0.25">
      <c r="A6948"/>
      <c r="B6948"/>
      <c r="D6948"/>
      <c r="G6948"/>
      <c r="L6948"/>
    </row>
    <row r="6949" spans="1:12" x14ac:dyDescent="0.25">
      <c r="A6949"/>
      <c r="B6949"/>
      <c r="D6949"/>
      <c r="G6949"/>
      <c r="L6949"/>
    </row>
    <row r="6950" spans="1:12" x14ac:dyDescent="0.25">
      <c r="A6950"/>
      <c r="B6950"/>
      <c r="D6950"/>
      <c r="G6950"/>
      <c r="L6950"/>
    </row>
    <row r="6951" spans="1:12" x14ac:dyDescent="0.25">
      <c r="A6951"/>
      <c r="B6951"/>
      <c r="D6951"/>
      <c r="G6951"/>
      <c r="L6951"/>
    </row>
    <row r="6952" spans="1:12" x14ac:dyDescent="0.25">
      <c r="A6952"/>
      <c r="B6952"/>
      <c r="D6952"/>
      <c r="G6952"/>
      <c r="L6952"/>
    </row>
    <row r="6953" spans="1:12" x14ac:dyDescent="0.25">
      <c r="A6953"/>
      <c r="B6953"/>
      <c r="D6953"/>
      <c r="G6953"/>
      <c r="L6953"/>
    </row>
    <row r="6954" spans="1:12" x14ac:dyDescent="0.25">
      <c r="A6954"/>
      <c r="B6954"/>
      <c r="D6954"/>
      <c r="G6954"/>
      <c r="L6954"/>
    </row>
    <row r="6955" spans="1:12" x14ac:dyDescent="0.25">
      <c r="A6955"/>
      <c r="B6955"/>
      <c r="D6955"/>
      <c r="G6955"/>
      <c r="L6955"/>
    </row>
    <row r="6956" spans="1:12" x14ac:dyDescent="0.25">
      <c r="A6956"/>
      <c r="B6956"/>
      <c r="D6956"/>
      <c r="G6956"/>
      <c r="L6956"/>
    </row>
    <row r="6957" spans="1:12" x14ac:dyDescent="0.25">
      <c r="A6957"/>
      <c r="B6957"/>
      <c r="D6957"/>
      <c r="G6957"/>
      <c r="L6957"/>
    </row>
    <row r="6958" spans="1:12" x14ac:dyDescent="0.25">
      <c r="A6958"/>
      <c r="B6958"/>
      <c r="D6958"/>
      <c r="G6958"/>
      <c r="L6958"/>
    </row>
    <row r="6959" spans="1:12" x14ac:dyDescent="0.25">
      <c r="A6959"/>
      <c r="B6959"/>
      <c r="D6959"/>
      <c r="G6959"/>
      <c r="L6959"/>
    </row>
    <row r="6960" spans="1:12" x14ac:dyDescent="0.25">
      <c r="A6960"/>
      <c r="B6960"/>
      <c r="D6960"/>
      <c r="G6960"/>
      <c r="L6960"/>
    </row>
    <row r="6961" spans="1:12" x14ac:dyDescent="0.25">
      <c r="A6961"/>
      <c r="B6961"/>
      <c r="D6961"/>
      <c r="G6961"/>
      <c r="L6961"/>
    </row>
    <row r="6962" spans="1:12" x14ac:dyDescent="0.25">
      <c r="A6962"/>
      <c r="B6962"/>
      <c r="D6962"/>
      <c r="G6962"/>
      <c r="L6962"/>
    </row>
    <row r="6963" spans="1:12" x14ac:dyDescent="0.25">
      <c r="A6963"/>
      <c r="B6963"/>
      <c r="D6963"/>
      <c r="G6963"/>
      <c r="L6963"/>
    </row>
    <row r="6964" spans="1:12" x14ac:dyDescent="0.25">
      <c r="A6964"/>
      <c r="B6964"/>
      <c r="D6964"/>
      <c r="G6964"/>
      <c r="L6964"/>
    </row>
    <row r="6965" spans="1:12" x14ac:dyDescent="0.25">
      <c r="A6965"/>
      <c r="B6965"/>
      <c r="D6965"/>
      <c r="G6965"/>
      <c r="L6965"/>
    </row>
    <row r="6966" spans="1:12" x14ac:dyDescent="0.25">
      <c r="A6966"/>
      <c r="B6966"/>
      <c r="D6966"/>
      <c r="G6966"/>
      <c r="L6966"/>
    </row>
    <row r="6967" spans="1:12" x14ac:dyDescent="0.25">
      <c r="A6967"/>
      <c r="B6967"/>
      <c r="D6967"/>
      <c r="G6967"/>
      <c r="L6967"/>
    </row>
    <row r="6968" spans="1:12" x14ac:dyDescent="0.25">
      <c r="A6968"/>
      <c r="B6968"/>
      <c r="D6968"/>
      <c r="G6968"/>
      <c r="L6968"/>
    </row>
    <row r="6969" spans="1:12" x14ac:dyDescent="0.25">
      <c r="A6969"/>
      <c r="B6969"/>
      <c r="D6969"/>
      <c r="G6969"/>
      <c r="L6969"/>
    </row>
    <row r="6970" spans="1:12" x14ac:dyDescent="0.25">
      <c r="A6970"/>
      <c r="B6970"/>
      <c r="D6970"/>
      <c r="G6970"/>
      <c r="L6970"/>
    </row>
    <row r="6971" spans="1:12" x14ac:dyDescent="0.25">
      <c r="A6971"/>
      <c r="B6971"/>
      <c r="D6971"/>
      <c r="G6971"/>
      <c r="L6971"/>
    </row>
    <row r="6972" spans="1:12" x14ac:dyDescent="0.25">
      <c r="A6972"/>
      <c r="B6972"/>
      <c r="D6972"/>
      <c r="G6972"/>
      <c r="L6972"/>
    </row>
    <row r="6973" spans="1:12" x14ac:dyDescent="0.25">
      <c r="A6973"/>
      <c r="B6973"/>
      <c r="D6973"/>
      <c r="G6973"/>
      <c r="L6973"/>
    </row>
    <row r="6974" spans="1:12" x14ac:dyDescent="0.25">
      <c r="A6974"/>
      <c r="B6974"/>
      <c r="D6974"/>
      <c r="G6974"/>
      <c r="L6974"/>
    </row>
    <row r="6975" spans="1:12" x14ac:dyDescent="0.25">
      <c r="A6975"/>
      <c r="B6975"/>
      <c r="D6975"/>
      <c r="G6975"/>
      <c r="L6975"/>
    </row>
    <row r="6976" spans="1:12" x14ac:dyDescent="0.25">
      <c r="A6976"/>
      <c r="B6976"/>
      <c r="D6976"/>
      <c r="G6976"/>
      <c r="L6976"/>
    </row>
    <row r="6977" spans="1:12" x14ac:dyDescent="0.25">
      <c r="A6977"/>
      <c r="B6977"/>
      <c r="D6977"/>
      <c r="G6977"/>
      <c r="L6977"/>
    </row>
    <row r="6978" spans="1:12" x14ac:dyDescent="0.25">
      <c r="A6978"/>
      <c r="B6978"/>
      <c r="D6978"/>
      <c r="G6978"/>
      <c r="L6978"/>
    </row>
    <row r="6979" spans="1:12" x14ac:dyDescent="0.25">
      <c r="A6979"/>
      <c r="B6979"/>
      <c r="D6979"/>
      <c r="G6979"/>
      <c r="L6979"/>
    </row>
    <row r="6980" spans="1:12" x14ac:dyDescent="0.25">
      <c r="A6980"/>
      <c r="B6980"/>
      <c r="D6980"/>
      <c r="G6980"/>
      <c r="L6980"/>
    </row>
    <row r="6981" spans="1:12" x14ac:dyDescent="0.25">
      <c r="A6981"/>
      <c r="B6981"/>
      <c r="D6981"/>
      <c r="G6981"/>
      <c r="L6981"/>
    </row>
    <row r="6982" spans="1:12" x14ac:dyDescent="0.25">
      <c r="A6982"/>
      <c r="B6982"/>
      <c r="D6982"/>
      <c r="G6982"/>
      <c r="L6982"/>
    </row>
    <row r="6983" spans="1:12" x14ac:dyDescent="0.25">
      <c r="A6983"/>
      <c r="B6983"/>
      <c r="D6983"/>
      <c r="G6983"/>
      <c r="L6983"/>
    </row>
    <row r="6984" spans="1:12" x14ac:dyDescent="0.25">
      <c r="A6984"/>
      <c r="B6984"/>
      <c r="D6984"/>
      <c r="G6984"/>
      <c r="L6984"/>
    </row>
    <row r="6985" spans="1:12" x14ac:dyDescent="0.25">
      <c r="A6985"/>
      <c r="B6985"/>
      <c r="D6985"/>
      <c r="G6985"/>
      <c r="L6985"/>
    </row>
    <row r="6986" spans="1:12" x14ac:dyDescent="0.25">
      <c r="A6986"/>
      <c r="B6986"/>
      <c r="D6986"/>
      <c r="G6986"/>
      <c r="L6986"/>
    </row>
    <row r="6987" spans="1:12" x14ac:dyDescent="0.25">
      <c r="A6987"/>
      <c r="B6987"/>
      <c r="D6987"/>
      <c r="G6987"/>
      <c r="L6987"/>
    </row>
    <row r="6988" spans="1:12" x14ac:dyDescent="0.25">
      <c r="A6988"/>
      <c r="B6988"/>
      <c r="D6988"/>
      <c r="G6988"/>
      <c r="L6988"/>
    </row>
    <row r="6989" spans="1:12" x14ac:dyDescent="0.25">
      <c r="A6989"/>
      <c r="B6989"/>
      <c r="D6989"/>
      <c r="G6989"/>
      <c r="L6989"/>
    </row>
    <row r="6990" spans="1:12" x14ac:dyDescent="0.25">
      <c r="A6990"/>
      <c r="B6990"/>
      <c r="D6990"/>
      <c r="G6990"/>
      <c r="L6990"/>
    </row>
    <row r="6991" spans="1:12" x14ac:dyDescent="0.25">
      <c r="A6991"/>
      <c r="B6991"/>
      <c r="D6991"/>
      <c r="G6991"/>
      <c r="L6991"/>
    </row>
    <row r="6992" spans="1:12" x14ac:dyDescent="0.25">
      <c r="A6992"/>
      <c r="B6992"/>
      <c r="D6992"/>
      <c r="G6992"/>
      <c r="L6992"/>
    </row>
    <row r="6993" spans="1:12" x14ac:dyDescent="0.25">
      <c r="A6993"/>
      <c r="B6993"/>
      <c r="D6993"/>
      <c r="G6993"/>
      <c r="L6993"/>
    </row>
    <row r="6994" spans="1:12" x14ac:dyDescent="0.25">
      <c r="A6994"/>
      <c r="B6994"/>
      <c r="D6994"/>
      <c r="G6994"/>
      <c r="L6994"/>
    </row>
    <row r="6995" spans="1:12" x14ac:dyDescent="0.25">
      <c r="A6995"/>
      <c r="B6995"/>
      <c r="D6995"/>
      <c r="G6995"/>
      <c r="L6995"/>
    </row>
    <row r="6996" spans="1:12" x14ac:dyDescent="0.25">
      <c r="A6996"/>
      <c r="B6996"/>
      <c r="D6996"/>
      <c r="G6996"/>
      <c r="L6996"/>
    </row>
    <row r="6997" spans="1:12" x14ac:dyDescent="0.25">
      <c r="A6997"/>
      <c r="B6997"/>
      <c r="D6997"/>
      <c r="G6997"/>
      <c r="L6997"/>
    </row>
    <row r="6998" spans="1:12" x14ac:dyDescent="0.25">
      <c r="A6998"/>
      <c r="B6998"/>
      <c r="D6998"/>
      <c r="G6998"/>
      <c r="L6998"/>
    </row>
    <row r="6999" spans="1:12" x14ac:dyDescent="0.25">
      <c r="A6999"/>
      <c r="B6999"/>
      <c r="D6999"/>
      <c r="G6999"/>
      <c r="L6999"/>
    </row>
    <row r="7000" spans="1:12" x14ac:dyDescent="0.25">
      <c r="A7000"/>
      <c r="B7000"/>
      <c r="D7000"/>
      <c r="G7000"/>
      <c r="L7000"/>
    </row>
    <row r="7001" spans="1:12" x14ac:dyDescent="0.25">
      <c r="A7001"/>
      <c r="B7001"/>
      <c r="D7001"/>
      <c r="G7001"/>
      <c r="L7001"/>
    </row>
    <row r="7002" spans="1:12" x14ac:dyDescent="0.25">
      <c r="A7002"/>
      <c r="B7002"/>
      <c r="D7002"/>
      <c r="G7002"/>
      <c r="L7002"/>
    </row>
    <row r="7003" spans="1:12" x14ac:dyDescent="0.25">
      <c r="A7003"/>
      <c r="B7003"/>
      <c r="D7003"/>
      <c r="G7003"/>
      <c r="L7003"/>
    </row>
    <row r="7004" spans="1:12" x14ac:dyDescent="0.25">
      <c r="A7004"/>
      <c r="B7004"/>
      <c r="D7004"/>
      <c r="G7004"/>
      <c r="L7004"/>
    </row>
    <row r="7005" spans="1:12" x14ac:dyDescent="0.25">
      <c r="A7005"/>
      <c r="B7005"/>
      <c r="D7005"/>
      <c r="G7005"/>
      <c r="L7005"/>
    </row>
    <row r="7006" spans="1:12" x14ac:dyDescent="0.25">
      <c r="A7006"/>
      <c r="B7006"/>
      <c r="D7006"/>
      <c r="G7006"/>
      <c r="L7006"/>
    </row>
    <row r="7007" spans="1:12" x14ac:dyDescent="0.25">
      <c r="A7007"/>
      <c r="B7007"/>
      <c r="D7007"/>
      <c r="G7007"/>
      <c r="L7007"/>
    </row>
    <row r="7008" spans="1:12" x14ac:dyDescent="0.25">
      <c r="A7008"/>
      <c r="B7008"/>
      <c r="D7008"/>
      <c r="G7008"/>
      <c r="L7008"/>
    </row>
    <row r="7009" spans="1:12" x14ac:dyDescent="0.25">
      <c r="A7009"/>
      <c r="B7009"/>
      <c r="D7009"/>
      <c r="G7009"/>
      <c r="L7009"/>
    </row>
    <row r="7010" spans="1:12" x14ac:dyDescent="0.25">
      <c r="A7010"/>
      <c r="B7010"/>
      <c r="D7010"/>
      <c r="G7010"/>
      <c r="L7010"/>
    </row>
    <row r="7011" spans="1:12" x14ac:dyDescent="0.25">
      <c r="A7011"/>
      <c r="B7011"/>
      <c r="D7011"/>
      <c r="G7011"/>
      <c r="L7011"/>
    </row>
    <row r="7012" spans="1:12" x14ac:dyDescent="0.25">
      <c r="A7012"/>
      <c r="B7012"/>
      <c r="D7012"/>
      <c r="G7012"/>
      <c r="L7012"/>
    </row>
    <row r="7013" spans="1:12" x14ac:dyDescent="0.25">
      <c r="A7013"/>
      <c r="B7013"/>
      <c r="D7013"/>
      <c r="G7013"/>
      <c r="L7013"/>
    </row>
    <row r="7014" spans="1:12" x14ac:dyDescent="0.25">
      <c r="A7014"/>
      <c r="B7014"/>
      <c r="D7014"/>
      <c r="G7014"/>
      <c r="L7014"/>
    </row>
    <row r="7015" spans="1:12" x14ac:dyDescent="0.25">
      <c r="A7015"/>
      <c r="B7015"/>
      <c r="D7015"/>
      <c r="G7015"/>
      <c r="L7015"/>
    </row>
    <row r="7016" spans="1:12" x14ac:dyDescent="0.25">
      <c r="A7016"/>
      <c r="B7016"/>
      <c r="D7016"/>
      <c r="G7016"/>
      <c r="L7016"/>
    </row>
    <row r="7017" spans="1:12" x14ac:dyDescent="0.25">
      <c r="A7017"/>
      <c r="B7017"/>
      <c r="D7017"/>
      <c r="G7017"/>
      <c r="L7017"/>
    </row>
    <row r="7018" spans="1:12" x14ac:dyDescent="0.25">
      <c r="A7018"/>
      <c r="B7018"/>
      <c r="D7018"/>
      <c r="G7018"/>
      <c r="L7018"/>
    </row>
    <row r="7019" spans="1:12" x14ac:dyDescent="0.25">
      <c r="A7019"/>
      <c r="B7019"/>
      <c r="D7019"/>
      <c r="G7019"/>
      <c r="L7019"/>
    </row>
    <row r="7020" spans="1:12" x14ac:dyDescent="0.25">
      <c r="A7020"/>
      <c r="B7020"/>
      <c r="D7020"/>
      <c r="G7020"/>
      <c r="L7020"/>
    </row>
    <row r="7021" spans="1:12" x14ac:dyDescent="0.25">
      <c r="A7021"/>
      <c r="B7021"/>
      <c r="D7021"/>
      <c r="G7021"/>
      <c r="L7021"/>
    </row>
    <row r="7022" spans="1:12" x14ac:dyDescent="0.25">
      <c r="A7022"/>
      <c r="B7022"/>
      <c r="D7022"/>
      <c r="G7022"/>
      <c r="L7022"/>
    </row>
    <row r="7023" spans="1:12" x14ac:dyDescent="0.25">
      <c r="A7023"/>
      <c r="B7023"/>
      <c r="D7023"/>
      <c r="G7023"/>
      <c r="L7023"/>
    </row>
    <row r="7024" spans="1:12" x14ac:dyDescent="0.25">
      <c r="A7024"/>
      <c r="B7024"/>
      <c r="D7024"/>
      <c r="G7024"/>
      <c r="L7024"/>
    </row>
    <row r="7025" spans="1:12" x14ac:dyDescent="0.25">
      <c r="A7025"/>
      <c r="B7025"/>
      <c r="D7025"/>
      <c r="G7025"/>
      <c r="L7025"/>
    </row>
    <row r="7026" spans="1:12" x14ac:dyDescent="0.25">
      <c r="A7026"/>
      <c r="B7026"/>
      <c r="D7026"/>
      <c r="G7026"/>
      <c r="L7026"/>
    </row>
    <row r="7027" spans="1:12" x14ac:dyDescent="0.25">
      <c r="A7027"/>
      <c r="B7027"/>
      <c r="D7027"/>
      <c r="G7027"/>
      <c r="L7027"/>
    </row>
    <row r="7028" spans="1:12" x14ac:dyDescent="0.25">
      <c r="A7028"/>
      <c r="B7028"/>
      <c r="D7028"/>
      <c r="G7028"/>
      <c r="L7028"/>
    </row>
    <row r="7029" spans="1:12" x14ac:dyDescent="0.25">
      <c r="A7029"/>
      <c r="B7029"/>
      <c r="D7029"/>
      <c r="G7029"/>
      <c r="L7029"/>
    </row>
    <row r="7030" spans="1:12" x14ac:dyDescent="0.25">
      <c r="A7030"/>
      <c r="B7030"/>
      <c r="D7030"/>
      <c r="G7030"/>
      <c r="L7030"/>
    </row>
    <row r="7031" spans="1:12" x14ac:dyDescent="0.25">
      <c r="A7031"/>
      <c r="B7031"/>
      <c r="D7031"/>
      <c r="G7031"/>
      <c r="L7031"/>
    </row>
    <row r="7032" spans="1:12" x14ac:dyDescent="0.25">
      <c r="A7032"/>
      <c r="B7032"/>
      <c r="D7032"/>
      <c r="G7032"/>
      <c r="L7032"/>
    </row>
    <row r="7033" spans="1:12" x14ac:dyDescent="0.25">
      <c r="A7033"/>
      <c r="B7033"/>
      <c r="D7033"/>
      <c r="G7033"/>
      <c r="L7033"/>
    </row>
    <row r="7034" spans="1:12" x14ac:dyDescent="0.25">
      <c r="A7034"/>
      <c r="B7034"/>
      <c r="D7034"/>
      <c r="G7034"/>
      <c r="L7034"/>
    </row>
    <row r="7035" spans="1:12" x14ac:dyDescent="0.25">
      <c r="A7035"/>
      <c r="B7035"/>
      <c r="D7035"/>
      <c r="G7035"/>
      <c r="L7035"/>
    </row>
    <row r="7036" spans="1:12" x14ac:dyDescent="0.25">
      <c r="A7036"/>
      <c r="B7036"/>
      <c r="D7036"/>
      <c r="G7036"/>
      <c r="L7036"/>
    </row>
    <row r="7037" spans="1:12" x14ac:dyDescent="0.25">
      <c r="A7037"/>
      <c r="B7037"/>
      <c r="D7037"/>
      <c r="G7037"/>
      <c r="L7037"/>
    </row>
    <row r="7038" spans="1:12" x14ac:dyDescent="0.25">
      <c r="A7038"/>
      <c r="B7038"/>
      <c r="D7038"/>
      <c r="G7038"/>
      <c r="L7038"/>
    </row>
    <row r="7039" spans="1:12" x14ac:dyDescent="0.25">
      <c r="A7039"/>
      <c r="B7039"/>
      <c r="D7039"/>
      <c r="G7039"/>
      <c r="L7039"/>
    </row>
    <row r="7040" spans="1:12" x14ac:dyDescent="0.25">
      <c r="A7040"/>
      <c r="B7040"/>
      <c r="D7040"/>
      <c r="G7040"/>
      <c r="L7040"/>
    </row>
    <row r="7041" spans="1:12" x14ac:dyDescent="0.25">
      <c r="A7041"/>
      <c r="B7041"/>
      <c r="D7041"/>
      <c r="G7041"/>
      <c r="L7041"/>
    </row>
    <row r="7042" spans="1:12" x14ac:dyDescent="0.25">
      <c r="A7042"/>
      <c r="B7042"/>
      <c r="D7042"/>
      <c r="G7042"/>
      <c r="L7042"/>
    </row>
    <row r="7043" spans="1:12" x14ac:dyDescent="0.25">
      <c r="A7043"/>
      <c r="B7043"/>
      <c r="D7043"/>
      <c r="G7043"/>
      <c r="L7043"/>
    </row>
    <row r="7044" spans="1:12" x14ac:dyDescent="0.25">
      <c r="A7044"/>
      <c r="B7044"/>
      <c r="D7044"/>
      <c r="G7044"/>
      <c r="L7044"/>
    </row>
    <row r="7045" spans="1:12" x14ac:dyDescent="0.25">
      <c r="A7045"/>
      <c r="B7045"/>
      <c r="D7045"/>
      <c r="G7045"/>
      <c r="L7045"/>
    </row>
    <row r="7046" spans="1:12" x14ac:dyDescent="0.25">
      <c r="A7046"/>
      <c r="B7046"/>
      <c r="D7046"/>
      <c r="G7046"/>
      <c r="L7046"/>
    </row>
    <row r="7047" spans="1:12" x14ac:dyDescent="0.25">
      <c r="A7047"/>
      <c r="B7047"/>
      <c r="D7047"/>
      <c r="G7047"/>
      <c r="L7047"/>
    </row>
    <row r="7048" spans="1:12" x14ac:dyDescent="0.25">
      <c r="A7048"/>
      <c r="B7048"/>
      <c r="D7048"/>
      <c r="G7048"/>
      <c r="L7048"/>
    </row>
    <row r="7049" spans="1:12" x14ac:dyDescent="0.25">
      <c r="A7049"/>
      <c r="B7049"/>
      <c r="D7049"/>
      <c r="G7049"/>
      <c r="L7049"/>
    </row>
    <row r="7050" spans="1:12" x14ac:dyDescent="0.25">
      <c r="A7050"/>
      <c r="B7050"/>
      <c r="D7050"/>
      <c r="G7050"/>
      <c r="L7050"/>
    </row>
    <row r="7051" spans="1:12" x14ac:dyDescent="0.25">
      <c r="A7051"/>
      <c r="B7051"/>
      <c r="D7051"/>
      <c r="G7051"/>
      <c r="L7051"/>
    </row>
    <row r="7052" spans="1:12" x14ac:dyDescent="0.25">
      <c r="A7052"/>
      <c r="B7052"/>
      <c r="D7052"/>
      <c r="G7052"/>
      <c r="L7052"/>
    </row>
    <row r="7053" spans="1:12" x14ac:dyDescent="0.25">
      <c r="A7053"/>
      <c r="B7053"/>
      <c r="D7053"/>
      <c r="G7053"/>
      <c r="L7053"/>
    </row>
    <row r="7054" spans="1:12" x14ac:dyDescent="0.25">
      <c r="A7054"/>
      <c r="B7054"/>
      <c r="D7054"/>
      <c r="G7054"/>
      <c r="L7054"/>
    </row>
    <row r="7055" spans="1:12" x14ac:dyDescent="0.25">
      <c r="A7055"/>
      <c r="B7055"/>
      <c r="D7055"/>
      <c r="G7055"/>
      <c r="L7055"/>
    </row>
    <row r="7056" spans="1:12" x14ac:dyDescent="0.25">
      <c r="A7056"/>
      <c r="B7056"/>
      <c r="D7056"/>
      <c r="G7056"/>
      <c r="L7056"/>
    </row>
    <row r="7057" spans="1:12" x14ac:dyDescent="0.25">
      <c r="A7057"/>
      <c r="B7057"/>
      <c r="D7057"/>
      <c r="G7057"/>
      <c r="L7057"/>
    </row>
    <row r="7058" spans="1:12" x14ac:dyDescent="0.25">
      <c r="A7058"/>
      <c r="B7058"/>
      <c r="D7058"/>
      <c r="G7058"/>
      <c r="L7058"/>
    </row>
    <row r="7059" spans="1:12" x14ac:dyDescent="0.25">
      <c r="A7059"/>
      <c r="B7059"/>
      <c r="D7059"/>
      <c r="G7059"/>
      <c r="L7059"/>
    </row>
    <row r="7060" spans="1:12" x14ac:dyDescent="0.25">
      <c r="A7060"/>
      <c r="B7060"/>
      <c r="D7060"/>
      <c r="G7060"/>
      <c r="L7060"/>
    </row>
    <row r="7061" spans="1:12" x14ac:dyDescent="0.25">
      <c r="A7061"/>
      <c r="B7061"/>
      <c r="D7061"/>
      <c r="G7061"/>
      <c r="L7061"/>
    </row>
    <row r="7062" spans="1:12" x14ac:dyDescent="0.25">
      <c r="A7062"/>
      <c r="B7062"/>
      <c r="D7062"/>
      <c r="G7062"/>
      <c r="L7062"/>
    </row>
    <row r="7063" spans="1:12" x14ac:dyDescent="0.25">
      <c r="A7063"/>
      <c r="B7063"/>
      <c r="D7063"/>
      <c r="G7063"/>
      <c r="L7063"/>
    </row>
    <row r="7064" spans="1:12" x14ac:dyDescent="0.25">
      <c r="A7064"/>
      <c r="B7064"/>
      <c r="D7064"/>
      <c r="G7064"/>
      <c r="L7064"/>
    </row>
    <row r="7065" spans="1:12" x14ac:dyDescent="0.25">
      <c r="A7065"/>
      <c r="B7065"/>
      <c r="D7065"/>
      <c r="G7065"/>
      <c r="L7065"/>
    </row>
    <row r="7066" spans="1:12" x14ac:dyDescent="0.25">
      <c r="A7066"/>
      <c r="B7066"/>
      <c r="D7066"/>
      <c r="G7066"/>
      <c r="L7066"/>
    </row>
    <row r="7067" spans="1:12" x14ac:dyDescent="0.25">
      <c r="A7067"/>
      <c r="B7067"/>
      <c r="D7067"/>
      <c r="G7067"/>
      <c r="L7067"/>
    </row>
    <row r="7068" spans="1:12" x14ac:dyDescent="0.25">
      <c r="A7068"/>
      <c r="B7068"/>
      <c r="D7068"/>
      <c r="G7068"/>
      <c r="L7068"/>
    </row>
    <row r="7069" spans="1:12" x14ac:dyDescent="0.25">
      <c r="A7069"/>
      <c r="B7069"/>
      <c r="D7069"/>
      <c r="G7069"/>
      <c r="L7069"/>
    </row>
    <row r="7070" spans="1:12" x14ac:dyDescent="0.25">
      <c r="A7070"/>
      <c r="B7070"/>
      <c r="D7070"/>
      <c r="G7070"/>
      <c r="L7070"/>
    </row>
    <row r="7071" spans="1:12" x14ac:dyDescent="0.25">
      <c r="A7071"/>
      <c r="B7071"/>
      <c r="D7071"/>
      <c r="G7071"/>
      <c r="L7071"/>
    </row>
    <row r="7072" spans="1:12" x14ac:dyDescent="0.25">
      <c r="A7072"/>
      <c r="B7072"/>
      <c r="D7072"/>
      <c r="G7072"/>
      <c r="L7072"/>
    </row>
    <row r="7073" spans="1:12" x14ac:dyDescent="0.25">
      <c r="A7073"/>
      <c r="B7073"/>
      <c r="D7073"/>
      <c r="G7073"/>
      <c r="L7073"/>
    </row>
    <row r="7074" spans="1:12" x14ac:dyDescent="0.25">
      <c r="A7074"/>
      <c r="B7074"/>
      <c r="D7074"/>
      <c r="G7074"/>
      <c r="L7074"/>
    </row>
    <row r="7075" spans="1:12" x14ac:dyDescent="0.25">
      <c r="A7075"/>
      <c r="B7075"/>
      <c r="D7075"/>
      <c r="G7075"/>
      <c r="L7075"/>
    </row>
    <row r="7076" spans="1:12" x14ac:dyDescent="0.25">
      <c r="A7076"/>
      <c r="B7076"/>
      <c r="D7076"/>
      <c r="G7076"/>
      <c r="L7076"/>
    </row>
    <row r="7077" spans="1:12" x14ac:dyDescent="0.25">
      <c r="A7077"/>
      <c r="B7077"/>
      <c r="D7077"/>
      <c r="G7077"/>
      <c r="L7077"/>
    </row>
    <row r="7078" spans="1:12" x14ac:dyDescent="0.25">
      <c r="A7078"/>
      <c r="B7078"/>
      <c r="D7078"/>
      <c r="G7078"/>
      <c r="L7078"/>
    </row>
    <row r="7079" spans="1:12" x14ac:dyDescent="0.25">
      <c r="A7079"/>
      <c r="B7079"/>
      <c r="D7079"/>
      <c r="G7079"/>
      <c r="L7079"/>
    </row>
    <row r="7080" spans="1:12" x14ac:dyDescent="0.25">
      <c r="A7080"/>
      <c r="B7080"/>
      <c r="D7080"/>
      <c r="G7080"/>
      <c r="L7080"/>
    </row>
    <row r="7081" spans="1:12" x14ac:dyDescent="0.25">
      <c r="A7081"/>
      <c r="B7081"/>
      <c r="D7081"/>
      <c r="G7081"/>
      <c r="L7081"/>
    </row>
    <row r="7082" spans="1:12" x14ac:dyDescent="0.25">
      <c r="A7082"/>
      <c r="B7082"/>
      <c r="D7082"/>
      <c r="G7082"/>
      <c r="L7082"/>
    </row>
    <row r="7083" spans="1:12" x14ac:dyDescent="0.25">
      <c r="A7083"/>
      <c r="B7083"/>
      <c r="D7083"/>
      <c r="G7083"/>
      <c r="L7083"/>
    </row>
    <row r="7084" spans="1:12" x14ac:dyDescent="0.25">
      <c r="A7084"/>
      <c r="B7084"/>
      <c r="D7084"/>
      <c r="G7084"/>
      <c r="L7084"/>
    </row>
    <row r="7085" spans="1:12" x14ac:dyDescent="0.25">
      <c r="A7085"/>
      <c r="B7085"/>
      <c r="D7085"/>
      <c r="G7085"/>
      <c r="L7085"/>
    </row>
    <row r="7086" spans="1:12" x14ac:dyDescent="0.25">
      <c r="A7086"/>
      <c r="B7086"/>
      <c r="D7086"/>
      <c r="G7086"/>
      <c r="L7086"/>
    </row>
    <row r="7087" spans="1:12" x14ac:dyDescent="0.25">
      <c r="A7087"/>
      <c r="B7087"/>
      <c r="D7087"/>
      <c r="G7087"/>
      <c r="L7087"/>
    </row>
    <row r="7088" spans="1:12" x14ac:dyDescent="0.25">
      <c r="A7088"/>
      <c r="B7088"/>
      <c r="D7088"/>
      <c r="G7088"/>
      <c r="L7088"/>
    </row>
    <row r="7089" spans="1:12" x14ac:dyDescent="0.25">
      <c r="A7089"/>
      <c r="B7089"/>
      <c r="D7089"/>
      <c r="G7089"/>
      <c r="L7089"/>
    </row>
    <row r="7090" spans="1:12" x14ac:dyDescent="0.25">
      <c r="A7090"/>
      <c r="B7090"/>
      <c r="D7090"/>
      <c r="G7090"/>
      <c r="L7090"/>
    </row>
    <row r="7091" spans="1:12" x14ac:dyDescent="0.25">
      <c r="A7091"/>
      <c r="B7091"/>
      <c r="D7091"/>
      <c r="G7091"/>
      <c r="L7091"/>
    </row>
    <row r="7092" spans="1:12" x14ac:dyDescent="0.25">
      <c r="A7092"/>
      <c r="B7092"/>
      <c r="D7092"/>
      <c r="G7092"/>
      <c r="L7092"/>
    </row>
    <row r="7093" spans="1:12" x14ac:dyDescent="0.25">
      <c r="A7093"/>
      <c r="B7093"/>
      <c r="D7093"/>
      <c r="G7093"/>
      <c r="L7093"/>
    </row>
    <row r="7094" spans="1:12" x14ac:dyDescent="0.25">
      <c r="A7094"/>
      <c r="B7094"/>
      <c r="D7094"/>
      <c r="G7094"/>
      <c r="L7094"/>
    </row>
    <row r="7095" spans="1:12" x14ac:dyDescent="0.25">
      <c r="A7095"/>
      <c r="B7095"/>
      <c r="D7095"/>
      <c r="G7095"/>
      <c r="L7095"/>
    </row>
    <row r="7096" spans="1:12" x14ac:dyDescent="0.25">
      <c r="A7096"/>
      <c r="B7096"/>
      <c r="D7096"/>
      <c r="G7096"/>
      <c r="L7096"/>
    </row>
    <row r="7097" spans="1:12" x14ac:dyDescent="0.25">
      <c r="A7097"/>
      <c r="B7097"/>
      <c r="D7097"/>
      <c r="G7097"/>
      <c r="L7097"/>
    </row>
    <row r="7098" spans="1:12" x14ac:dyDescent="0.25">
      <c r="A7098"/>
      <c r="B7098"/>
      <c r="D7098"/>
      <c r="G7098"/>
      <c r="L7098"/>
    </row>
    <row r="7099" spans="1:12" x14ac:dyDescent="0.25">
      <c r="A7099"/>
      <c r="B7099"/>
      <c r="D7099"/>
      <c r="G7099"/>
      <c r="L7099"/>
    </row>
    <row r="7100" spans="1:12" x14ac:dyDescent="0.25">
      <c r="A7100"/>
      <c r="B7100"/>
      <c r="D7100"/>
      <c r="G7100"/>
      <c r="L7100"/>
    </row>
    <row r="7101" spans="1:12" x14ac:dyDescent="0.25">
      <c r="A7101"/>
      <c r="B7101"/>
      <c r="D7101"/>
      <c r="G7101"/>
      <c r="L7101"/>
    </row>
    <row r="7102" spans="1:12" x14ac:dyDescent="0.25">
      <c r="A7102"/>
      <c r="B7102"/>
      <c r="D7102"/>
      <c r="G7102"/>
      <c r="L7102"/>
    </row>
    <row r="7103" spans="1:12" x14ac:dyDescent="0.25">
      <c r="A7103"/>
      <c r="B7103"/>
      <c r="D7103"/>
      <c r="G7103"/>
      <c r="L7103"/>
    </row>
    <row r="7104" spans="1:12" x14ac:dyDescent="0.25">
      <c r="A7104"/>
      <c r="B7104"/>
      <c r="D7104"/>
      <c r="G7104"/>
      <c r="L7104"/>
    </row>
    <row r="7105" spans="1:12" x14ac:dyDescent="0.25">
      <c r="A7105"/>
      <c r="B7105"/>
      <c r="D7105"/>
      <c r="G7105"/>
      <c r="L7105"/>
    </row>
    <row r="7106" spans="1:12" x14ac:dyDescent="0.25">
      <c r="A7106"/>
      <c r="B7106"/>
      <c r="D7106"/>
      <c r="G7106"/>
      <c r="L7106"/>
    </row>
    <row r="7107" spans="1:12" x14ac:dyDescent="0.25">
      <c r="A7107"/>
      <c r="B7107"/>
      <c r="D7107"/>
      <c r="G7107"/>
      <c r="L7107"/>
    </row>
    <row r="7108" spans="1:12" x14ac:dyDescent="0.25">
      <c r="A7108"/>
      <c r="B7108"/>
      <c r="D7108"/>
      <c r="G7108"/>
      <c r="L7108"/>
    </row>
    <row r="7109" spans="1:12" x14ac:dyDescent="0.25">
      <c r="A7109"/>
      <c r="B7109"/>
      <c r="D7109"/>
      <c r="G7109"/>
      <c r="L7109"/>
    </row>
    <row r="7110" spans="1:12" x14ac:dyDescent="0.25">
      <c r="A7110"/>
      <c r="B7110"/>
      <c r="D7110"/>
      <c r="G7110"/>
      <c r="L7110"/>
    </row>
    <row r="7111" spans="1:12" x14ac:dyDescent="0.25">
      <c r="A7111"/>
      <c r="B7111"/>
      <c r="D7111"/>
      <c r="G7111"/>
      <c r="L7111"/>
    </row>
    <row r="7112" spans="1:12" x14ac:dyDescent="0.25">
      <c r="A7112"/>
      <c r="B7112"/>
      <c r="D7112"/>
      <c r="G7112"/>
      <c r="L7112"/>
    </row>
    <row r="7113" spans="1:12" x14ac:dyDescent="0.25">
      <c r="A7113"/>
      <c r="B7113"/>
      <c r="D7113"/>
      <c r="G7113"/>
      <c r="L7113"/>
    </row>
    <row r="7114" spans="1:12" x14ac:dyDescent="0.25">
      <c r="A7114"/>
      <c r="B7114"/>
      <c r="D7114"/>
      <c r="G7114"/>
      <c r="L7114"/>
    </row>
    <row r="7115" spans="1:12" x14ac:dyDescent="0.25">
      <c r="A7115"/>
      <c r="B7115"/>
      <c r="D7115"/>
      <c r="G7115"/>
      <c r="L7115"/>
    </row>
    <row r="7116" spans="1:12" x14ac:dyDescent="0.25">
      <c r="A7116"/>
      <c r="B7116"/>
      <c r="D7116"/>
      <c r="G7116"/>
      <c r="L7116"/>
    </row>
    <row r="7117" spans="1:12" x14ac:dyDescent="0.25">
      <c r="A7117"/>
      <c r="B7117"/>
      <c r="D7117"/>
      <c r="G7117"/>
      <c r="L7117"/>
    </row>
    <row r="7118" spans="1:12" x14ac:dyDescent="0.25">
      <c r="A7118"/>
      <c r="B7118"/>
      <c r="D7118"/>
      <c r="G7118"/>
      <c r="L7118"/>
    </row>
    <row r="7119" spans="1:12" x14ac:dyDescent="0.25">
      <c r="A7119"/>
      <c r="B7119"/>
      <c r="D7119"/>
      <c r="G7119"/>
      <c r="L7119"/>
    </row>
    <row r="7120" spans="1:12" x14ac:dyDescent="0.25">
      <c r="A7120"/>
      <c r="B7120"/>
      <c r="D7120"/>
      <c r="G7120"/>
      <c r="L7120"/>
    </row>
    <row r="7121" spans="1:12" x14ac:dyDescent="0.25">
      <c r="A7121"/>
      <c r="B7121"/>
      <c r="D7121"/>
      <c r="G7121"/>
      <c r="L7121"/>
    </row>
    <row r="7122" spans="1:12" x14ac:dyDescent="0.25">
      <c r="A7122"/>
      <c r="B7122"/>
      <c r="D7122"/>
      <c r="G7122"/>
      <c r="L7122"/>
    </row>
    <row r="7123" spans="1:12" x14ac:dyDescent="0.25">
      <c r="A7123"/>
      <c r="B7123"/>
      <c r="D7123"/>
      <c r="G7123"/>
      <c r="L7123"/>
    </row>
    <row r="7124" spans="1:12" x14ac:dyDescent="0.25">
      <c r="A7124"/>
      <c r="B7124"/>
      <c r="D7124"/>
      <c r="G7124"/>
      <c r="L7124"/>
    </row>
    <row r="7125" spans="1:12" x14ac:dyDescent="0.25">
      <c r="A7125"/>
      <c r="B7125"/>
      <c r="D7125"/>
      <c r="G7125"/>
      <c r="L7125"/>
    </row>
    <row r="7126" spans="1:12" x14ac:dyDescent="0.25">
      <c r="A7126"/>
      <c r="B7126"/>
      <c r="D7126"/>
      <c r="G7126"/>
      <c r="L7126"/>
    </row>
    <row r="7127" spans="1:12" x14ac:dyDescent="0.25">
      <c r="A7127"/>
      <c r="B7127"/>
      <c r="D7127"/>
      <c r="G7127"/>
      <c r="L7127"/>
    </row>
    <row r="7128" spans="1:12" x14ac:dyDescent="0.25">
      <c r="A7128"/>
      <c r="B7128"/>
      <c r="D7128"/>
      <c r="G7128"/>
      <c r="L7128"/>
    </row>
    <row r="7129" spans="1:12" x14ac:dyDescent="0.25">
      <c r="A7129"/>
      <c r="B7129"/>
      <c r="D7129"/>
      <c r="G7129"/>
      <c r="L7129"/>
    </row>
    <row r="7130" spans="1:12" x14ac:dyDescent="0.25">
      <c r="A7130"/>
      <c r="B7130"/>
      <c r="D7130"/>
      <c r="G7130"/>
      <c r="L7130"/>
    </row>
    <row r="7131" spans="1:12" x14ac:dyDescent="0.25">
      <c r="A7131"/>
      <c r="B7131"/>
      <c r="D7131"/>
      <c r="G7131"/>
      <c r="L7131"/>
    </row>
    <row r="7132" spans="1:12" x14ac:dyDescent="0.25">
      <c r="A7132"/>
      <c r="B7132"/>
      <c r="D7132"/>
      <c r="G7132"/>
      <c r="L7132"/>
    </row>
    <row r="7133" spans="1:12" x14ac:dyDescent="0.25">
      <c r="A7133"/>
      <c r="B7133"/>
      <c r="D7133"/>
      <c r="G7133"/>
      <c r="L7133"/>
    </row>
    <row r="7134" spans="1:12" x14ac:dyDescent="0.25">
      <c r="A7134"/>
      <c r="B7134"/>
      <c r="D7134"/>
      <c r="G7134"/>
      <c r="L7134"/>
    </row>
    <row r="7135" spans="1:12" x14ac:dyDescent="0.25">
      <c r="A7135"/>
      <c r="B7135"/>
      <c r="D7135"/>
      <c r="G7135"/>
      <c r="L7135"/>
    </row>
    <row r="7136" spans="1:12" x14ac:dyDescent="0.25">
      <c r="A7136"/>
      <c r="B7136"/>
      <c r="D7136"/>
      <c r="G7136"/>
      <c r="L7136"/>
    </row>
    <row r="7137" spans="1:12" x14ac:dyDescent="0.25">
      <c r="A7137"/>
      <c r="B7137"/>
      <c r="D7137"/>
      <c r="G7137"/>
      <c r="L7137"/>
    </row>
    <row r="7138" spans="1:12" x14ac:dyDescent="0.25">
      <c r="A7138"/>
      <c r="B7138"/>
      <c r="D7138"/>
      <c r="G7138"/>
      <c r="L7138"/>
    </row>
    <row r="7139" spans="1:12" x14ac:dyDescent="0.25">
      <c r="A7139"/>
      <c r="B7139"/>
      <c r="D7139"/>
      <c r="G7139"/>
      <c r="L7139"/>
    </row>
    <row r="7140" spans="1:12" x14ac:dyDescent="0.25">
      <c r="A7140"/>
      <c r="B7140"/>
      <c r="D7140"/>
      <c r="G7140"/>
      <c r="L7140"/>
    </row>
    <row r="7141" spans="1:12" x14ac:dyDescent="0.25">
      <c r="A7141"/>
      <c r="B7141"/>
      <c r="D7141"/>
      <c r="G7141"/>
      <c r="L7141"/>
    </row>
    <row r="7142" spans="1:12" x14ac:dyDescent="0.25">
      <c r="A7142"/>
      <c r="B7142"/>
      <c r="D7142"/>
      <c r="G7142"/>
      <c r="L7142"/>
    </row>
    <row r="7143" spans="1:12" x14ac:dyDescent="0.25">
      <c r="A7143"/>
      <c r="B7143"/>
      <c r="D7143"/>
      <c r="G7143"/>
      <c r="L7143"/>
    </row>
    <row r="7144" spans="1:12" x14ac:dyDescent="0.25">
      <c r="A7144"/>
      <c r="B7144"/>
      <c r="D7144"/>
      <c r="G7144"/>
      <c r="L7144"/>
    </row>
    <row r="7145" spans="1:12" x14ac:dyDescent="0.25">
      <c r="A7145"/>
      <c r="B7145"/>
      <c r="D7145"/>
      <c r="G7145"/>
      <c r="L7145"/>
    </row>
    <row r="7146" spans="1:12" x14ac:dyDescent="0.25">
      <c r="A7146"/>
      <c r="B7146"/>
      <c r="D7146"/>
      <c r="G7146"/>
      <c r="L7146"/>
    </row>
    <row r="7147" spans="1:12" x14ac:dyDescent="0.25">
      <c r="A7147"/>
      <c r="B7147"/>
      <c r="D7147"/>
      <c r="G7147"/>
      <c r="L7147"/>
    </row>
    <row r="7148" spans="1:12" x14ac:dyDescent="0.25">
      <c r="A7148"/>
      <c r="B7148"/>
      <c r="D7148"/>
      <c r="G7148"/>
      <c r="L7148"/>
    </row>
    <row r="7149" spans="1:12" x14ac:dyDescent="0.25">
      <c r="A7149"/>
      <c r="B7149"/>
      <c r="D7149"/>
      <c r="G7149"/>
      <c r="L7149"/>
    </row>
    <row r="7150" spans="1:12" x14ac:dyDescent="0.25">
      <c r="A7150"/>
      <c r="B7150"/>
      <c r="D7150"/>
      <c r="G7150"/>
      <c r="L7150"/>
    </row>
    <row r="7151" spans="1:12" x14ac:dyDescent="0.25">
      <c r="A7151"/>
      <c r="B7151"/>
      <c r="D7151"/>
      <c r="G7151"/>
      <c r="L7151"/>
    </row>
    <row r="7152" spans="1:12" x14ac:dyDescent="0.25">
      <c r="A7152"/>
      <c r="B7152"/>
      <c r="D7152"/>
      <c r="G7152"/>
      <c r="L7152"/>
    </row>
    <row r="7153" spans="1:12" x14ac:dyDescent="0.25">
      <c r="A7153"/>
      <c r="B7153"/>
      <c r="D7153"/>
      <c r="G7153"/>
      <c r="L7153"/>
    </row>
    <row r="7154" spans="1:12" x14ac:dyDescent="0.25">
      <c r="A7154"/>
      <c r="B7154"/>
      <c r="D7154"/>
      <c r="G7154"/>
      <c r="L7154"/>
    </row>
    <row r="7155" spans="1:12" x14ac:dyDescent="0.25">
      <c r="A7155"/>
      <c r="B7155"/>
      <c r="D7155"/>
      <c r="G7155"/>
      <c r="L7155"/>
    </row>
    <row r="7156" spans="1:12" x14ac:dyDescent="0.25">
      <c r="A7156"/>
      <c r="B7156"/>
      <c r="D7156"/>
      <c r="G7156"/>
      <c r="L7156"/>
    </row>
    <row r="7157" spans="1:12" x14ac:dyDescent="0.25">
      <c r="A7157"/>
      <c r="B7157"/>
      <c r="D7157"/>
      <c r="G7157"/>
      <c r="L7157"/>
    </row>
    <row r="7158" spans="1:12" x14ac:dyDescent="0.25">
      <c r="A7158"/>
      <c r="B7158"/>
      <c r="D7158"/>
      <c r="G7158"/>
      <c r="L7158"/>
    </row>
    <row r="7159" spans="1:12" x14ac:dyDescent="0.25">
      <c r="A7159"/>
      <c r="B7159"/>
      <c r="D7159"/>
      <c r="G7159"/>
      <c r="L7159"/>
    </row>
    <row r="7160" spans="1:12" x14ac:dyDescent="0.25">
      <c r="A7160"/>
      <c r="B7160"/>
      <c r="D7160"/>
      <c r="G7160"/>
      <c r="L7160"/>
    </row>
    <row r="7161" spans="1:12" x14ac:dyDescent="0.25">
      <c r="A7161"/>
      <c r="B7161"/>
      <c r="D7161"/>
      <c r="G7161"/>
      <c r="L7161"/>
    </row>
    <row r="7162" spans="1:12" x14ac:dyDescent="0.25">
      <c r="A7162"/>
      <c r="B7162"/>
      <c r="D7162"/>
      <c r="G7162"/>
      <c r="L7162"/>
    </row>
    <row r="7163" spans="1:12" x14ac:dyDescent="0.25">
      <c r="A7163"/>
      <c r="B7163"/>
      <c r="D7163"/>
      <c r="G7163"/>
      <c r="L7163"/>
    </row>
    <row r="7164" spans="1:12" x14ac:dyDescent="0.25">
      <c r="A7164"/>
      <c r="B7164"/>
      <c r="D7164"/>
      <c r="G7164"/>
      <c r="L7164"/>
    </row>
    <row r="7165" spans="1:12" x14ac:dyDescent="0.25">
      <c r="A7165"/>
      <c r="B7165"/>
      <c r="D7165"/>
      <c r="G7165"/>
      <c r="L7165"/>
    </row>
    <row r="7166" spans="1:12" x14ac:dyDescent="0.25">
      <c r="A7166"/>
      <c r="B7166"/>
      <c r="D7166"/>
      <c r="G7166"/>
      <c r="L7166"/>
    </row>
    <row r="7167" spans="1:12" x14ac:dyDescent="0.25">
      <c r="A7167"/>
      <c r="B7167"/>
      <c r="D7167"/>
      <c r="G7167"/>
      <c r="L7167"/>
    </row>
    <row r="7168" spans="1:12" x14ac:dyDescent="0.25">
      <c r="A7168"/>
      <c r="B7168"/>
      <c r="D7168"/>
      <c r="G7168"/>
      <c r="L7168"/>
    </row>
    <row r="7169" spans="1:12" x14ac:dyDescent="0.25">
      <c r="A7169"/>
      <c r="B7169"/>
      <c r="D7169"/>
      <c r="G7169"/>
      <c r="L7169"/>
    </row>
    <row r="7170" spans="1:12" x14ac:dyDescent="0.25">
      <c r="A7170"/>
      <c r="B7170"/>
      <c r="D7170"/>
      <c r="G7170"/>
      <c r="L7170"/>
    </row>
    <row r="7171" spans="1:12" x14ac:dyDescent="0.25">
      <c r="A7171"/>
      <c r="B7171"/>
      <c r="D7171"/>
      <c r="G7171"/>
      <c r="L7171"/>
    </row>
    <row r="7172" spans="1:12" x14ac:dyDescent="0.25">
      <c r="A7172"/>
      <c r="B7172"/>
      <c r="D7172"/>
      <c r="G7172"/>
      <c r="L7172"/>
    </row>
    <row r="7173" spans="1:12" x14ac:dyDescent="0.25">
      <c r="A7173"/>
      <c r="B7173"/>
      <c r="D7173"/>
      <c r="G7173"/>
      <c r="L7173"/>
    </row>
    <row r="7174" spans="1:12" x14ac:dyDescent="0.25">
      <c r="A7174"/>
      <c r="B7174"/>
      <c r="D7174"/>
      <c r="G7174"/>
      <c r="L7174"/>
    </row>
    <row r="7175" spans="1:12" x14ac:dyDescent="0.25">
      <c r="A7175"/>
      <c r="B7175"/>
      <c r="D7175"/>
      <c r="G7175"/>
      <c r="L7175"/>
    </row>
    <row r="7176" spans="1:12" x14ac:dyDescent="0.25">
      <c r="A7176"/>
      <c r="B7176"/>
      <c r="D7176"/>
      <c r="G7176"/>
      <c r="L7176"/>
    </row>
    <row r="7177" spans="1:12" x14ac:dyDescent="0.25">
      <c r="A7177"/>
      <c r="B7177"/>
      <c r="D7177"/>
      <c r="G7177"/>
      <c r="L7177"/>
    </row>
    <row r="7178" spans="1:12" x14ac:dyDescent="0.25">
      <c r="A7178"/>
      <c r="B7178"/>
      <c r="D7178"/>
      <c r="G7178"/>
      <c r="L7178"/>
    </row>
    <row r="7179" spans="1:12" x14ac:dyDescent="0.25">
      <c r="A7179"/>
      <c r="B7179"/>
      <c r="D7179"/>
      <c r="G7179"/>
      <c r="L7179"/>
    </row>
    <row r="7180" spans="1:12" x14ac:dyDescent="0.25">
      <c r="A7180"/>
      <c r="B7180"/>
      <c r="D7180"/>
      <c r="G7180"/>
      <c r="L7180"/>
    </row>
    <row r="7181" spans="1:12" x14ac:dyDescent="0.25">
      <c r="A7181"/>
      <c r="B7181"/>
      <c r="D7181"/>
      <c r="G7181"/>
      <c r="L7181"/>
    </row>
    <row r="7182" spans="1:12" x14ac:dyDescent="0.25">
      <c r="A7182"/>
      <c r="B7182"/>
      <c r="D7182"/>
      <c r="G7182"/>
      <c r="L7182"/>
    </row>
    <row r="7183" spans="1:12" x14ac:dyDescent="0.25">
      <c r="A7183"/>
      <c r="B7183"/>
      <c r="D7183"/>
      <c r="G7183"/>
      <c r="L7183"/>
    </row>
    <row r="7184" spans="1:12" x14ac:dyDescent="0.25">
      <c r="A7184"/>
      <c r="B7184"/>
      <c r="D7184"/>
      <c r="G7184"/>
      <c r="L7184"/>
    </row>
    <row r="7185" spans="1:12" x14ac:dyDescent="0.25">
      <c r="A7185"/>
      <c r="B7185"/>
      <c r="D7185"/>
      <c r="G7185"/>
      <c r="L7185"/>
    </row>
    <row r="7186" spans="1:12" x14ac:dyDescent="0.25">
      <c r="A7186"/>
      <c r="B7186"/>
      <c r="D7186"/>
      <c r="G7186"/>
      <c r="L7186"/>
    </row>
    <row r="7187" spans="1:12" x14ac:dyDescent="0.25">
      <c r="A7187"/>
      <c r="B7187"/>
      <c r="D7187"/>
      <c r="G7187"/>
      <c r="L7187"/>
    </row>
    <row r="7188" spans="1:12" x14ac:dyDescent="0.25">
      <c r="A7188"/>
      <c r="B7188"/>
      <c r="D7188"/>
      <c r="G7188"/>
      <c r="L7188"/>
    </row>
    <row r="7189" spans="1:12" x14ac:dyDescent="0.25">
      <c r="A7189"/>
      <c r="B7189"/>
      <c r="D7189"/>
      <c r="G7189"/>
      <c r="L7189"/>
    </row>
    <row r="7190" spans="1:12" x14ac:dyDescent="0.25">
      <c r="A7190"/>
      <c r="B7190"/>
      <c r="D7190"/>
      <c r="G7190"/>
      <c r="L7190"/>
    </row>
    <row r="7191" spans="1:12" x14ac:dyDescent="0.25">
      <c r="A7191"/>
      <c r="B7191"/>
      <c r="D7191"/>
      <c r="G7191"/>
      <c r="L7191"/>
    </row>
    <row r="7192" spans="1:12" x14ac:dyDescent="0.25">
      <c r="A7192"/>
      <c r="B7192"/>
      <c r="D7192"/>
      <c r="G7192"/>
      <c r="L7192"/>
    </row>
    <row r="7193" spans="1:12" x14ac:dyDescent="0.25">
      <c r="A7193"/>
      <c r="B7193"/>
      <c r="D7193"/>
      <c r="G7193"/>
      <c r="L7193"/>
    </row>
    <row r="7194" spans="1:12" x14ac:dyDescent="0.25">
      <c r="A7194"/>
      <c r="B7194"/>
      <c r="D7194"/>
      <c r="G7194"/>
      <c r="L7194"/>
    </row>
    <row r="7195" spans="1:12" x14ac:dyDescent="0.25">
      <c r="A7195"/>
      <c r="B7195"/>
      <c r="D7195"/>
      <c r="G7195"/>
      <c r="L7195"/>
    </row>
    <row r="7196" spans="1:12" x14ac:dyDescent="0.25">
      <c r="A7196"/>
      <c r="B7196"/>
      <c r="D7196"/>
      <c r="G7196"/>
      <c r="L7196"/>
    </row>
    <row r="7197" spans="1:12" x14ac:dyDescent="0.25">
      <c r="A7197"/>
      <c r="B7197"/>
      <c r="D7197"/>
      <c r="G7197"/>
      <c r="L7197"/>
    </row>
    <row r="7198" spans="1:12" x14ac:dyDescent="0.25">
      <c r="A7198"/>
      <c r="B7198"/>
      <c r="D7198"/>
      <c r="G7198"/>
      <c r="L7198"/>
    </row>
    <row r="7199" spans="1:12" x14ac:dyDescent="0.25">
      <c r="A7199"/>
      <c r="B7199"/>
      <c r="D7199"/>
      <c r="G7199"/>
      <c r="L7199"/>
    </row>
    <row r="7200" spans="1:12" x14ac:dyDescent="0.25">
      <c r="A7200"/>
      <c r="B7200"/>
      <c r="D7200"/>
      <c r="G7200"/>
      <c r="L7200"/>
    </row>
    <row r="7201" spans="1:12" x14ac:dyDescent="0.25">
      <c r="A7201"/>
      <c r="B7201"/>
      <c r="D7201"/>
      <c r="G7201"/>
      <c r="L7201"/>
    </row>
    <row r="7202" spans="1:12" x14ac:dyDescent="0.25">
      <c r="A7202"/>
      <c r="B7202"/>
      <c r="D7202"/>
      <c r="G7202"/>
      <c r="L7202"/>
    </row>
    <row r="7203" spans="1:12" x14ac:dyDescent="0.25">
      <c r="A7203"/>
      <c r="B7203"/>
      <c r="D7203"/>
      <c r="G7203"/>
      <c r="L7203"/>
    </row>
    <row r="7204" spans="1:12" x14ac:dyDescent="0.25">
      <c r="A7204"/>
      <c r="B7204"/>
      <c r="D7204"/>
      <c r="G7204"/>
      <c r="L7204"/>
    </row>
    <row r="7205" spans="1:12" x14ac:dyDescent="0.25">
      <c r="A7205"/>
      <c r="B7205"/>
      <c r="D7205"/>
      <c r="G7205"/>
      <c r="L7205"/>
    </row>
    <row r="7206" spans="1:12" x14ac:dyDescent="0.25">
      <c r="A7206"/>
      <c r="B7206"/>
      <c r="D7206"/>
      <c r="G7206"/>
      <c r="L7206"/>
    </row>
    <row r="7207" spans="1:12" x14ac:dyDescent="0.25">
      <c r="A7207"/>
      <c r="B7207"/>
      <c r="D7207"/>
      <c r="G7207"/>
      <c r="L7207"/>
    </row>
    <row r="7208" spans="1:12" x14ac:dyDescent="0.25">
      <c r="A7208"/>
      <c r="B7208"/>
      <c r="D7208"/>
      <c r="G7208"/>
      <c r="L7208"/>
    </row>
    <row r="7209" spans="1:12" x14ac:dyDescent="0.25">
      <c r="A7209"/>
      <c r="B7209"/>
      <c r="D7209"/>
      <c r="G7209"/>
      <c r="L7209"/>
    </row>
    <row r="7210" spans="1:12" x14ac:dyDescent="0.25">
      <c r="A7210"/>
      <c r="B7210"/>
      <c r="D7210"/>
      <c r="G7210"/>
      <c r="L7210"/>
    </row>
    <row r="7211" spans="1:12" x14ac:dyDescent="0.25">
      <c r="A7211"/>
      <c r="B7211"/>
      <c r="D7211"/>
      <c r="G7211"/>
      <c r="L7211"/>
    </row>
    <row r="7212" spans="1:12" x14ac:dyDescent="0.25">
      <c r="A7212"/>
      <c r="B7212"/>
      <c r="D7212"/>
      <c r="G7212"/>
      <c r="L7212"/>
    </row>
    <row r="7213" spans="1:12" x14ac:dyDescent="0.25">
      <c r="A7213"/>
      <c r="B7213"/>
      <c r="D7213"/>
      <c r="G7213"/>
      <c r="L7213"/>
    </row>
    <row r="7214" spans="1:12" x14ac:dyDescent="0.25">
      <c r="A7214"/>
      <c r="B7214"/>
      <c r="D7214"/>
      <c r="G7214"/>
      <c r="L7214"/>
    </row>
    <row r="7215" spans="1:12" x14ac:dyDescent="0.25">
      <c r="A7215"/>
      <c r="B7215"/>
      <c r="D7215"/>
      <c r="G7215"/>
      <c r="L7215"/>
    </row>
    <row r="7216" spans="1:12" x14ac:dyDescent="0.25">
      <c r="A7216"/>
      <c r="B7216"/>
      <c r="D7216"/>
      <c r="G7216"/>
      <c r="L7216"/>
    </row>
    <row r="7217" spans="1:12" x14ac:dyDescent="0.25">
      <c r="A7217"/>
      <c r="B7217"/>
      <c r="D7217"/>
      <c r="G7217"/>
      <c r="L7217"/>
    </row>
    <row r="7218" spans="1:12" x14ac:dyDescent="0.25">
      <c r="A7218"/>
      <c r="B7218"/>
      <c r="D7218"/>
      <c r="G7218"/>
      <c r="L7218"/>
    </row>
    <row r="7219" spans="1:12" x14ac:dyDescent="0.25">
      <c r="A7219"/>
      <c r="B7219"/>
      <c r="D7219"/>
      <c r="G7219"/>
      <c r="L7219"/>
    </row>
    <row r="7220" spans="1:12" x14ac:dyDescent="0.25">
      <c r="A7220"/>
      <c r="B7220"/>
      <c r="D7220"/>
      <c r="G7220"/>
      <c r="L7220"/>
    </row>
    <row r="7221" spans="1:12" x14ac:dyDescent="0.25">
      <c r="A7221"/>
      <c r="B7221"/>
      <c r="D7221"/>
      <c r="G7221"/>
      <c r="L7221"/>
    </row>
    <row r="7222" spans="1:12" x14ac:dyDescent="0.25">
      <c r="A7222"/>
      <c r="B7222"/>
      <c r="D7222"/>
      <c r="G7222"/>
      <c r="L7222"/>
    </row>
    <row r="7223" spans="1:12" x14ac:dyDescent="0.25">
      <c r="A7223"/>
      <c r="B7223"/>
      <c r="D7223"/>
      <c r="G7223"/>
      <c r="L7223"/>
    </row>
    <row r="7224" spans="1:12" x14ac:dyDescent="0.25">
      <c r="A7224"/>
      <c r="B7224"/>
      <c r="D7224"/>
      <c r="G7224"/>
      <c r="L7224"/>
    </row>
    <row r="7225" spans="1:12" x14ac:dyDescent="0.25">
      <c r="A7225"/>
      <c r="B7225"/>
      <c r="D7225"/>
      <c r="G7225"/>
      <c r="L7225"/>
    </row>
    <row r="7226" spans="1:12" x14ac:dyDescent="0.25">
      <c r="A7226"/>
      <c r="B7226"/>
      <c r="D7226"/>
      <c r="G7226"/>
      <c r="L7226"/>
    </row>
    <row r="7227" spans="1:12" x14ac:dyDescent="0.25">
      <c r="A7227"/>
      <c r="B7227"/>
      <c r="D7227"/>
      <c r="G7227"/>
      <c r="L7227"/>
    </row>
    <row r="7228" spans="1:12" x14ac:dyDescent="0.25">
      <c r="A7228"/>
      <c r="B7228"/>
      <c r="D7228"/>
      <c r="G7228"/>
      <c r="L7228"/>
    </row>
    <row r="7229" spans="1:12" x14ac:dyDescent="0.25">
      <c r="A7229"/>
      <c r="B7229"/>
      <c r="D7229"/>
      <c r="G7229"/>
      <c r="L7229"/>
    </row>
    <row r="7230" spans="1:12" x14ac:dyDescent="0.25">
      <c r="A7230"/>
      <c r="B7230"/>
      <c r="D7230"/>
      <c r="G7230"/>
      <c r="L7230"/>
    </row>
    <row r="7231" spans="1:12" x14ac:dyDescent="0.25">
      <c r="A7231"/>
      <c r="B7231"/>
      <c r="D7231"/>
      <c r="G7231"/>
      <c r="L7231"/>
    </row>
    <row r="7232" spans="1:12" x14ac:dyDescent="0.25">
      <c r="A7232"/>
      <c r="B7232"/>
      <c r="D7232"/>
      <c r="G7232"/>
      <c r="L7232"/>
    </row>
    <row r="7233" spans="1:12" x14ac:dyDescent="0.25">
      <c r="A7233"/>
      <c r="B7233"/>
      <c r="D7233"/>
      <c r="G7233"/>
      <c r="L7233"/>
    </row>
    <row r="7234" spans="1:12" x14ac:dyDescent="0.25">
      <c r="A7234"/>
      <c r="B7234"/>
      <c r="D7234"/>
      <c r="G7234"/>
      <c r="L7234"/>
    </row>
    <row r="7235" spans="1:12" x14ac:dyDescent="0.25">
      <c r="A7235"/>
      <c r="B7235"/>
      <c r="D7235"/>
      <c r="G7235"/>
      <c r="L7235"/>
    </row>
    <row r="7236" spans="1:12" x14ac:dyDescent="0.25">
      <c r="A7236"/>
      <c r="B7236"/>
      <c r="D7236"/>
      <c r="G7236"/>
      <c r="L7236"/>
    </row>
    <row r="7237" spans="1:12" x14ac:dyDescent="0.25">
      <c r="A7237"/>
      <c r="B7237"/>
      <c r="D7237"/>
      <c r="G7237"/>
      <c r="L7237"/>
    </row>
    <row r="7238" spans="1:12" x14ac:dyDescent="0.25">
      <c r="A7238"/>
      <c r="B7238"/>
      <c r="D7238"/>
      <c r="G7238"/>
      <c r="L7238"/>
    </row>
    <row r="7239" spans="1:12" x14ac:dyDescent="0.25">
      <c r="A7239"/>
      <c r="B7239"/>
      <c r="D7239"/>
      <c r="G7239"/>
      <c r="L7239"/>
    </row>
    <row r="7240" spans="1:12" x14ac:dyDescent="0.25">
      <c r="A7240"/>
      <c r="B7240"/>
      <c r="D7240"/>
      <c r="G7240"/>
      <c r="L7240"/>
    </row>
    <row r="7241" spans="1:12" x14ac:dyDescent="0.25">
      <c r="A7241"/>
      <c r="B7241"/>
      <c r="D7241"/>
      <c r="G7241"/>
      <c r="L7241"/>
    </row>
    <row r="7242" spans="1:12" x14ac:dyDescent="0.25">
      <c r="A7242"/>
      <c r="B7242"/>
      <c r="D7242"/>
      <c r="G7242"/>
      <c r="L7242"/>
    </row>
    <row r="7243" spans="1:12" x14ac:dyDescent="0.25">
      <c r="A7243"/>
      <c r="B7243"/>
      <c r="D7243"/>
      <c r="G7243"/>
      <c r="L7243"/>
    </row>
    <row r="7244" spans="1:12" x14ac:dyDescent="0.25">
      <c r="A7244"/>
      <c r="B7244"/>
      <c r="D7244"/>
      <c r="G7244"/>
      <c r="L7244"/>
    </row>
    <row r="7245" spans="1:12" x14ac:dyDescent="0.25">
      <c r="A7245"/>
      <c r="B7245"/>
      <c r="D7245"/>
      <c r="G7245"/>
      <c r="L7245"/>
    </row>
    <row r="7246" spans="1:12" x14ac:dyDescent="0.25">
      <c r="A7246"/>
      <c r="B7246"/>
      <c r="D7246"/>
      <c r="G7246"/>
      <c r="L7246"/>
    </row>
    <row r="7247" spans="1:12" x14ac:dyDescent="0.25">
      <c r="A7247"/>
      <c r="B7247"/>
      <c r="D7247"/>
      <c r="G7247"/>
      <c r="L7247"/>
    </row>
    <row r="7248" spans="1:12" x14ac:dyDescent="0.25">
      <c r="A7248"/>
      <c r="B7248"/>
      <c r="D7248"/>
      <c r="G7248"/>
      <c r="L7248"/>
    </row>
    <row r="7249" spans="1:12" x14ac:dyDescent="0.25">
      <c r="A7249"/>
      <c r="B7249"/>
      <c r="D7249"/>
      <c r="G7249"/>
      <c r="L7249"/>
    </row>
    <row r="7250" spans="1:12" x14ac:dyDescent="0.25">
      <c r="A7250"/>
      <c r="B7250"/>
      <c r="D7250"/>
      <c r="G7250"/>
      <c r="L7250"/>
    </row>
    <row r="7251" spans="1:12" x14ac:dyDescent="0.25">
      <c r="A7251"/>
      <c r="B7251"/>
      <c r="D7251"/>
      <c r="G7251"/>
      <c r="L7251"/>
    </row>
    <row r="7252" spans="1:12" x14ac:dyDescent="0.25">
      <c r="A7252"/>
      <c r="B7252"/>
      <c r="D7252"/>
      <c r="G7252"/>
      <c r="L7252"/>
    </row>
    <row r="7253" spans="1:12" x14ac:dyDescent="0.25">
      <c r="A7253"/>
      <c r="B7253"/>
      <c r="D7253"/>
      <c r="G7253"/>
      <c r="L7253"/>
    </row>
    <row r="7254" spans="1:12" x14ac:dyDescent="0.25">
      <c r="A7254"/>
      <c r="B7254"/>
      <c r="D7254"/>
      <c r="G7254"/>
      <c r="L7254"/>
    </row>
    <row r="7255" spans="1:12" x14ac:dyDescent="0.25">
      <c r="A7255"/>
      <c r="B7255"/>
      <c r="D7255"/>
      <c r="G7255"/>
      <c r="L7255"/>
    </row>
    <row r="7256" spans="1:12" x14ac:dyDescent="0.25">
      <c r="A7256"/>
      <c r="B7256"/>
      <c r="D7256"/>
      <c r="G7256"/>
      <c r="L7256"/>
    </row>
    <row r="7257" spans="1:12" x14ac:dyDescent="0.25">
      <c r="A7257"/>
      <c r="B7257"/>
      <c r="D7257"/>
      <c r="G7257"/>
      <c r="L7257"/>
    </row>
    <row r="7258" spans="1:12" x14ac:dyDescent="0.25">
      <c r="A7258"/>
      <c r="B7258"/>
      <c r="D7258"/>
      <c r="G7258"/>
      <c r="L7258"/>
    </row>
    <row r="7259" spans="1:12" x14ac:dyDescent="0.25">
      <c r="A7259"/>
      <c r="B7259"/>
      <c r="D7259"/>
      <c r="G7259"/>
      <c r="L7259"/>
    </row>
    <row r="7260" spans="1:12" x14ac:dyDescent="0.25">
      <c r="A7260"/>
      <c r="B7260"/>
      <c r="D7260"/>
      <c r="G7260"/>
      <c r="L7260"/>
    </row>
    <row r="7261" spans="1:12" x14ac:dyDescent="0.25">
      <c r="A7261"/>
      <c r="B7261"/>
      <c r="D7261"/>
      <c r="G7261"/>
      <c r="L7261"/>
    </row>
    <row r="7262" spans="1:12" x14ac:dyDescent="0.25">
      <c r="A7262"/>
      <c r="B7262"/>
      <c r="D7262"/>
      <c r="G7262"/>
      <c r="L7262"/>
    </row>
    <row r="7263" spans="1:12" x14ac:dyDescent="0.25">
      <c r="A7263"/>
      <c r="B7263"/>
      <c r="D7263"/>
      <c r="G7263"/>
      <c r="L7263"/>
    </row>
    <row r="7264" spans="1:12" x14ac:dyDescent="0.25">
      <c r="A7264"/>
      <c r="B7264"/>
      <c r="D7264"/>
      <c r="G7264"/>
      <c r="L7264"/>
    </row>
    <row r="7265" spans="1:12" x14ac:dyDescent="0.25">
      <c r="A7265"/>
      <c r="B7265"/>
      <c r="D7265"/>
      <c r="G7265"/>
      <c r="L7265"/>
    </row>
    <row r="7266" spans="1:12" x14ac:dyDescent="0.25">
      <c r="A7266"/>
      <c r="B7266"/>
      <c r="D7266"/>
      <c r="G7266"/>
      <c r="L7266"/>
    </row>
    <row r="7267" spans="1:12" x14ac:dyDescent="0.25">
      <c r="A7267"/>
      <c r="B7267"/>
      <c r="D7267"/>
      <c r="G7267"/>
      <c r="L7267"/>
    </row>
    <row r="7268" spans="1:12" x14ac:dyDescent="0.25">
      <c r="A7268"/>
      <c r="B7268"/>
      <c r="D7268"/>
      <c r="G7268"/>
      <c r="L7268"/>
    </row>
    <row r="7269" spans="1:12" x14ac:dyDescent="0.25">
      <c r="A7269"/>
      <c r="B7269"/>
      <c r="D7269"/>
      <c r="G7269"/>
      <c r="L7269"/>
    </row>
    <row r="7270" spans="1:12" x14ac:dyDescent="0.25">
      <c r="A7270"/>
      <c r="B7270"/>
      <c r="D7270"/>
      <c r="G7270"/>
      <c r="L7270"/>
    </row>
    <row r="7271" spans="1:12" x14ac:dyDescent="0.25">
      <c r="A7271"/>
      <c r="B7271"/>
      <c r="D7271"/>
      <c r="G7271"/>
      <c r="L7271"/>
    </row>
    <row r="7272" spans="1:12" x14ac:dyDescent="0.25">
      <c r="A7272"/>
      <c r="B7272"/>
      <c r="D7272"/>
      <c r="G7272"/>
      <c r="L7272"/>
    </row>
    <row r="7273" spans="1:12" x14ac:dyDescent="0.25">
      <c r="A7273"/>
      <c r="B7273"/>
      <c r="D7273"/>
      <c r="G7273"/>
      <c r="L7273"/>
    </row>
    <row r="7274" spans="1:12" x14ac:dyDescent="0.25">
      <c r="A7274"/>
      <c r="B7274"/>
      <c r="D7274"/>
      <c r="G7274"/>
      <c r="L7274"/>
    </row>
    <row r="7275" spans="1:12" x14ac:dyDescent="0.25">
      <c r="A7275"/>
      <c r="B7275"/>
      <c r="D7275"/>
      <c r="G7275"/>
      <c r="L7275"/>
    </row>
    <row r="7276" spans="1:12" x14ac:dyDescent="0.25">
      <c r="A7276"/>
      <c r="B7276"/>
      <c r="D7276"/>
      <c r="G7276"/>
      <c r="L7276"/>
    </row>
    <row r="7277" spans="1:12" x14ac:dyDescent="0.25">
      <c r="A7277"/>
      <c r="B7277"/>
      <c r="D7277"/>
      <c r="G7277"/>
      <c r="L7277"/>
    </row>
    <row r="7278" spans="1:12" x14ac:dyDescent="0.25">
      <c r="A7278"/>
      <c r="B7278"/>
      <c r="D7278"/>
      <c r="G7278"/>
      <c r="L7278"/>
    </row>
    <row r="7279" spans="1:12" x14ac:dyDescent="0.25">
      <c r="A7279"/>
      <c r="B7279"/>
      <c r="D7279"/>
      <c r="G7279"/>
      <c r="L7279"/>
    </row>
    <row r="7280" spans="1:12" x14ac:dyDescent="0.25">
      <c r="A7280"/>
      <c r="B7280"/>
      <c r="D7280"/>
      <c r="G7280"/>
      <c r="L7280"/>
    </row>
    <row r="7281" spans="1:12" x14ac:dyDescent="0.25">
      <c r="A7281"/>
      <c r="B7281"/>
      <c r="D7281"/>
      <c r="G7281"/>
      <c r="L7281"/>
    </row>
    <row r="7282" spans="1:12" x14ac:dyDescent="0.25">
      <c r="A7282"/>
      <c r="B7282"/>
      <c r="D7282"/>
      <c r="G7282"/>
      <c r="L7282"/>
    </row>
    <row r="7283" spans="1:12" x14ac:dyDescent="0.25">
      <c r="A7283"/>
      <c r="B7283"/>
      <c r="D7283"/>
      <c r="G7283"/>
      <c r="L7283"/>
    </row>
    <row r="7284" spans="1:12" x14ac:dyDescent="0.25">
      <c r="A7284"/>
      <c r="B7284"/>
      <c r="D7284"/>
      <c r="G7284"/>
      <c r="L7284"/>
    </row>
    <row r="7285" spans="1:12" x14ac:dyDescent="0.25">
      <c r="A7285"/>
      <c r="B7285"/>
      <c r="D7285"/>
      <c r="G7285"/>
      <c r="L7285"/>
    </row>
    <row r="7286" spans="1:12" x14ac:dyDescent="0.25">
      <c r="A7286"/>
      <c r="B7286"/>
      <c r="D7286"/>
      <c r="G7286"/>
      <c r="L7286"/>
    </row>
    <row r="7287" spans="1:12" x14ac:dyDescent="0.25">
      <c r="A7287"/>
      <c r="B7287"/>
      <c r="D7287"/>
      <c r="G7287"/>
      <c r="L7287"/>
    </row>
    <row r="7288" spans="1:12" x14ac:dyDescent="0.25">
      <c r="A7288"/>
      <c r="B7288"/>
      <c r="D7288"/>
      <c r="G7288"/>
      <c r="L7288"/>
    </row>
    <row r="7289" spans="1:12" x14ac:dyDescent="0.25">
      <c r="A7289"/>
      <c r="B7289"/>
      <c r="D7289"/>
      <c r="G7289"/>
      <c r="L7289"/>
    </row>
    <row r="7290" spans="1:12" x14ac:dyDescent="0.25">
      <c r="A7290"/>
      <c r="B7290"/>
      <c r="D7290"/>
      <c r="G7290"/>
      <c r="L7290"/>
    </row>
    <row r="7291" spans="1:12" x14ac:dyDescent="0.25">
      <c r="A7291"/>
      <c r="B7291"/>
      <c r="D7291"/>
      <c r="G7291"/>
      <c r="L7291"/>
    </row>
    <row r="7292" spans="1:12" x14ac:dyDescent="0.25">
      <c r="A7292"/>
      <c r="B7292"/>
      <c r="D7292"/>
      <c r="G7292"/>
      <c r="L7292"/>
    </row>
    <row r="7293" spans="1:12" x14ac:dyDescent="0.25">
      <c r="A7293"/>
      <c r="B7293"/>
      <c r="D7293"/>
      <c r="G7293"/>
      <c r="L7293"/>
    </row>
    <row r="7294" spans="1:12" x14ac:dyDescent="0.25">
      <c r="A7294"/>
      <c r="B7294"/>
      <c r="D7294"/>
      <c r="G7294"/>
      <c r="L7294"/>
    </row>
    <row r="7295" spans="1:12" x14ac:dyDescent="0.25">
      <c r="A7295"/>
      <c r="B7295"/>
      <c r="D7295"/>
      <c r="G7295"/>
      <c r="L7295"/>
    </row>
    <row r="7296" spans="1:12" x14ac:dyDescent="0.25">
      <c r="A7296"/>
      <c r="B7296"/>
      <c r="D7296"/>
      <c r="G7296"/>
      <c r="L7296"/>
    </row>
    <row r="7297" spans="1:12" x14ac:dyDescent="0.25">
      <c r="A7297"/>
      <c r="B7297"/>
      <c r="D7297"/>
      <c r="G7297"/>
      <c r="L7297"/>
    </row>
    <row r="7298" spans="1:12" x14ac:dyDescent="0.25">
      <c r="A7298"/>
      <c r="B7298"/>
      <c r="D7298"/>
      <c r="G7298"/>
      <c r="L7298"/>
    </row>
    <row r="7299" spans="1:12" x14ac:dyDescent="0.25">
      <c r="A7299"/>
      <c r="B7299"/>
      <c r="D7299"/>
      <c r="G7299"/>
      <c r="L7299"/>
    </row>
    <row r="7300" spans="1:12" x14ac:dyDescent="0.25">
      <c r="A7300"/>
      <c r="B7300"/>
      <c r="D7300"/>
      <c r="G7300"/>
      <c r="L7300"/>
    </row>
    <row r="7301" spans="1:12" x14ac:dyDescent="0.25">
      <c r="A7301"/>
      <c r="B7301"/>
      <c r="D7301"/>
      <c r="G7301"/>
      <c r="L7301"/>
    </row>
    <row r="7302" spans="1:12" x14ac:dyDescent="0.25">
      <c r="A7302"/>
      <c r="B7302"/>
      <c r="D7302"/>
      <c r="G7302"/>
      <c r="L7302"/>
    </row>
    <row r="7303" spans="1:12" x14ac:dyDescent="0.25">
      <c r="A7303"/>
      <c r="B7303"/>
      <c r="D7303"/>
      <c r="G7303"/>
      <c r="L7303"/>
    </row>
    <row r="7304" spans="1:12" x14ac:dyDescent="0.25">
      <c r="A7304"/>
      <c r="B7304"/>
      <c r="D7304"/>
      <c r="G7304"/>
      <c r="L7304"/>
    </row>
    <row r="7305" spans="1:12" x14ac:dyDescent="0.25">
      <c r="A7305"/>
      <c r="B7305"/>
      <c r="D7305"/>
      <c r="G7305"/>
      <c r="L7305"/>
    </row>
    <row r="7306" spans="1:12" x14ac:dyDescent="0.25">
      <c r="A7306"/>
      <c r="B7306"/>
      <c r="D7306"/>
      <c r="G7306"/>
      <c r="L7306"/>
    </row>
    <row r="7307" spans="1:12" x14ac:dyDescent="0.25">
      <c r="A7307"/>
      <c r="B7307"/>
      <c r="D7307"/>
      <c r="G7307"/>
      <c r="L7307"/>
    </row>
    <row r="7308" spans="1:12" x14ac:dyDescent="0.25">
      <c r="A7308"/>
      <c r="B7308"/>
      <c r="D7308"/>
      <c r="G7308"/>
      <c r="L7308"/>
    </row>
    <row r="7309" spans="1:12" x14ac:dyDescent="0.25">
      <c r="A7309"/>
      <c r="B7309"/>
      <c r="D7309"/>
      <c r="G7309"/>
      <c r="L7309"/>
    </row>
    <row r="7310" spans="1:12" x14ac:dyDescent="0.25">
      <c r="A7310"/>
      <c r="B7310"/>
      <c r="D7310"/>
      <c r="G7310"/>
      <c r="L7310"/>
    </row>
    <row r="7311" spans="1:12" x14ac:dyDescent="0.25">
      <c r="A7311"/>
      <c r="B7311"/>
      <c r="D7311"/>
      <c r="G7311"/>
      <c r="L7311"/>
    </row>
    <row r="7312" spans="1:12" x14ac:dyDescent="0.25">
      <c r="A7312"/>
      <c r="B7312"/>
      <c r="D7312"/>
      <c r="G7312"/>
      <c r="L7312"/>
    </row>
    <row r="7313" spans="1:12" x14ac:dyDescent="0.25">
      <c r="A7313"/>
      <c r="B7313"/>
      <c r="D7313"/>
      <c r="G7313"/>
      <c r="L7313"/>
    </row>
    <row r="7314" spans="1:12" x14ac:dyDescent="0.25">
      <c r="A7314"/>
      <c r="B7314"/>
      <c r="D7314"/>
      <c r="G7314"/>
      <c r="L7314"/>
    </row>
    <row r="7315" spans="1:12" x14ac:dyDescent="0.25">
      <c r="A7315"/>
      <c r="B7315"/>
      <c r="D7315"/>
      <c r="G7315"/>
      <c r="L7315"/>
    </row>
    <row r="7316" spans="1:12" x14ac:dyDescent="0.25">
      <c r="A7316"/>
      <c r="B7316"/>
      <c r="D7316"/>
      <c r="G7316"/>
      <c r="L7316"/>
    </row>
    <row r="7317" spans="1:12" x14ac:dyDescent="0.25">
      <c r="A7317"/>
      <c r="B7317"/>
      <c r="D7317"/>
      <c r="G7317"/>
      <c r="L7317"/>
    </row>
    <row r="7318" spans="1:12" x14ac:dyDescent="0.25">
      <c r="A7318"/>
      <c r="B7318"/>
      <c r="D7318"/>
      <c r="G7318"/>
      <c r="L7318"/>
    </row>
    <row r="7319" spans="1:12" x14ac:dyDescent="0.25">
      <c r="A7319"/>
      <c r="B7319"/>
      <c r="D7319"/>
      <c r="G7319"/>
      <c r="L7319"/>
    </row>
    <row r="7320" spans="1:12" x14ac:dyDescent="0.25">
      <c r="A7320"/>
      <c r="B7320"/>
      <c r="D7320"/>
      <c r="G7320"/>
      <c r="L7320"/>
    </row>
    <row r="7321" spans="1:12" x14ac:dyDescent="0.25">
      <c r="A7321"/>
      <c r="B7321"/>
      <c r="D7321"/>
      <c r="G7321"/>
      <c r="L7321"/>
    </row>
    <row r="7322" spans="1:12" x14ac:dyDescent="0.25">
      <c r="A7322"/>
      <c r="B7322"/>
      <c r="D7322"/>
      <c r="G7322"/>
      <c r="L7322"/>
    </row>
    <row r="7323" spans="1:12" x14ac:dyDescent="0.25">
      <c r="A7323"/>
      <c r="B7323"/>
      <c r="D7323"/>
      <c r="G7323"/>
      <c r="L7323"/>
    </row>
    <row r="7324" spans="1:12" x14ac:dyDescent="0.25">
      <c r="A7324"/>
      <c r="B7324"/>
      <c r="D7324"/>
      <c r="G7324"/>
      <c r="L7324"/>
    </row>
    <row r="7325" spans="1:12" x14ac:dyDescent="0.25">
      <c r="A7325"/>
      <c r="B7325"/>
      <c r="D7325"/>
      <c r="G7325"/>
      <c r="L7325"/>
    </row>
    <row r="7326" spans="1:12" x14ac:dyDescent="0.25">
      <c r="A7326"/>
      <c r="B7326"/>
      <c r="D7326"/>
      <c r="G7326"/>
      <c r="L7326"/>
    </row>
    <row r="7327" spans="1:12" x14ac:dyDescent="0.25">
      <c r="A7327"/>
      <c r="B7327"/>
      <c r="D7327"/>
      <c r="G7327"/>
      <c r="L7327"/>
    </row>
    <row r="7328" spans="1:12" x14ac:dyDescent="0.25">
      <c r="A7328"/>
      <c r="B7328"/>
      <c r="D7328"/>
      <c r="G7328"/>
      <c r="L7328"/>
    </row>
    <row r="7329" spans="1:12" x14ac:dyDescent="0.25">
      <c r="A7329"/>
      <c r="B7329"/>
      <c r="D7329"/>
      <c r="G7329"/>
      <c r="L7329"/>
    </row>
    <row r="7330" spans="1:12" x14ac:dyDescent="0.25">
      <c r="A7330"/>
      <c r="B7330"/>
      <c r="D7330"/>
      <c r="G7330"/>
      <c r="L7330"/>
    </row>
    <row r="7331" spans="1:12" x14ac:dyDescent="0.25">
      <c r="A7331"/>
      <c r="B7331"/>
      <c r="D7331"/>
      <c r="G7331"/>
      <c r="L7331"/>
    </row>
    <row r="7332" spans="1:12" x14ac:dyDescent="0.25">
      <c r="A7332"/>
      <c r="B7332"/>
      <c r="D7332"/>
      <c r="G7332"/>
      <c r="L7332"/>
    </row>
    <row r="7333" spans="1:12" x14ac:dyDescent="0.25">
      <c r="A7333"/>
      <c r="B7333"/>
      <c r="D7333"/>
      <c r="G7333"/>
      <c r="L7333"/>
    </row>
    <row r="7334" spans="1:12" x14ac:dyDescent="0.25">
      <c r="A7334"/>
      <c r="B7334"/>
      <c r="D7334"/>
      <c r="G7334"/>
      <c r="L7334"/>
    </row>
    <row r="7335" spans="1:12" x14ac:dyDescent="0.25">
      <c r="A7335"/>
      <c r="B7335"/>
      <c r="D7335"/>
      <c r="G7335"/>
      <c r="L7335"/>
    </row>
    <row r="7336" spans="1:12" x14ac:dyDescent="0.25">
      <c r="A7336"/>
      <c r="B7336"/>
      <c r="D7336"/>
      <c r="G7336"/>
      <c r="L7336"/>
    </row>
    <row r="7337" spans="1:12" x14ac:dyDescent="0.25">
      <c r="A7337"/>
      <c r="B7337"/>
      <c r="D7337"/>
      <c r="G7337"/>
      <c r="L7337"/>
    </row>
    <row r="7338" spans="1:12" x14ac:dyDescent="0.25">
      <c r="A7338"/>
      <c r="B7338"/>
      <c r="D7338"/>
      <c r="G7338"/>
      <c r="L7338"/>
    </row>
    <row r="7339" spans="1:12" x14ac:dyDescent="0.25">
      <c r="A7339"/>
      <c r="B7339"/>
      <c r="D7339"/>
      <c r="G7339"/>
      <c r="L7339"/>
    </row>
    <row r="7340" spans="1:12" x14ac:dyDescent="0.25">
      <c r="A7340"/>
      <c r="B7340"/>
      <c r="D7340"/>
      <c r="G7340"/>
      <c r="L7340"/>
    </row>
    <row r="7341" spans="1:12" x14ac:dyDescent="0.25">
      <c r="A7341"/>
      <c r="B7341"/>
      <c r="D7341"/>
      <c r="G7341"/>
      <c r="L7341"/>
    </row>
    <row r="7342" spans="1:12" x14ac:dyDescent="0.25">
      <c r="A7342"/>
      <c r="B7342"/>
      <c r="D7342"/>
      <c r="G7342"/>
      <c r="L7342"/>
    </row>
    <row r="7343" spans="1:12" x14ac:dyDescent="0.25">
      <c r="A7343"/>
      <c r="B7343"/>
      <c r="D7343"/>
      <c r="G7343"/>
      <c r="L7343"/>
    </row>
    <row r="7344" spans="1:12" x14ac:dyDescent="0.25">
      <c r="A7344"/>
      <c r="B7344"/>
      <c r="D7344"/>
      <c r="G7344"/>
      <c r="L7344"/>
    </row>
    <row r="7345" spans="1:12" x14ac:dyDescent="0.25">
      <c r="A7345"/>
      <c r="B7345"/>
      <c r="D7345"/>
      <c r="G7345"/>
      <c r="L7345"/>
    </row>
    <row r="7346" spans="1:12" x14ac:dyDescent="0.25">
      <c r="A7346"/>
      <c r="B7346"/>
      <c r="D7346"/>
      <c r="G7346"/>
      <c r="L7346"/>
    </row>
    <row r="7347" spans="1:12" x14ac:dyDescent="0.25">
      <c r="A7347"/>
      <c r="B7347"/>
      <c r="D7347"/>
      <c r="G7347"/>
      <c r="L7347"/>
    </row>
    <row r="7348" spans="1:12" x14ac:dyDescent="0.25">
      <c r="A7348"/>
      <c r="B7348"/>
      <c r="D7348"/>
      <c r="G7348"/>
      <c r="L7348"/>
    </row>
    <row r="7349" spans="1:12" x14ac:dyDescent="0.25">
      <c r="A7349"/>
      <c r="B7349"/>
      <c r="D7349"/>
      <c r="G7349"/>
      <c r="L7349"/>
    </row>
    <row r="7350" spans="1:12" x14ac:dyDescent="0.25">
      <c r="A7350"/>
      <c r="B7350"/>
      <c r="D7350"/>
      <c r="G7350"/>
      <c r="L7350"/>
    </row>
    <row r="7351" spans="1:12" x14ac:dyDescent="0.25">
      <c r="A7351"/>
      <c r="B7351"/>
      <c r="D7351"/>
      <c r="G7351"/>
      <c r="L7351"/>
    </row>
    <row r="7352" spans="1:12" x14ac:dyDescent="0.25">
      <c r="A7352"/>
      <c r="B7352"/>
      <c r="D7352"/>
      <c r="G7352"/>
      <c r="L7352"/>
    </row>
    <row r="7353" spans="1:12" x14ac:dyDescent="0.25">
      <c r="A7353"/>
      <c r="B7353"/>
      <c r="D7353"/>
      <c r="G7353"/>
      <c r="L7353"/>
    </row>
    <row r="7354" spans="1:12" x14ac:dyDescent="0.25">
      <c r="A7354"/>
      <c r="B7354"/>
      <c r="D7354"/>
      <c r="G7354"/>
      <c r="L7354"/>
    </row>
    <row r="7355" spans="1:12" x14ac:dyDescent="0.25">
      <c r="A7355"/>
      <c r="B7355"/>
      <c r="D7355"/>
      <c r="G7355"/>
      <c r="L7355"/>
    </row>
    <row r="7356" spans="1:12" x14ac:dyDescent="0.25">
      <c r="A7356"/>
      <c r="B7356"/>
      <c r="D7356"/>
      <c r="G7356"/>
      <c r="L7356"/>
    </row>
    <row r="7357" spans="1:12" x14ac:dyDescent="0.25">
      <c r="A7357"/>
      <c r="B7357"/>
      <c r="D7357"/>
      <c r="G7357"/>
      <c r="L7357"/>
    </row>
    <row r="7358" spans="1:12" x14ac:dyDescent="0.25">
      <c r="A7358"/>
      <c r="B7358"/>
      <c r="D7358"/>
      <c r="G7358"/>
      <c r="L7358"/>
    </row>
    <row r="7359" spans="1:12" x14ac:dyDescent="0.25">
      <c r="A7359"/>
      <c r="B7359"/>
      <c r="D7359"/>
      <c r="G7359"/>
      <c r="L7359"/>
    </row>
    <row r="7360" spans="1:12" x14ac:dyDescent="0.25">
      <c r="A7360"/>
      <c r="B7360"/>
      <c r="D7360"/>
      <c r="G7360"/>
      <c r="L7360"/>
    </row>
    <row r="7361" spans="1:12" x14ac:dyDescent="0.25">
      <c r="A7361"/>
      <c r="B7361"/>
      <c r="D7361"/>
      <c r="G7361"/>
      <c r="L7361"/>
    </row>
    <row r="7362" spans="1:12" x14ac:dyDescent="0.25">
      <c r="A7362"/>
      <c r="B7362"/>
      <c r="D7362"/>
      <c r="G7362"/>
      <c r="L7362"/>
    </row>
    <row r="7363" spans="1:12" x14ac:dyDescent="0.25">
      <c r="A7363"/>
      <c r="B7363"/>
      <c r="D7363"/>
      <c r="G7363"/>
      <c r="L7363"/>
    </row>
    <row r="7364" spans="1:12" x14ac:dyDescent="0.25">
      <c r="A7364"/>
      <c r="B7364"/>
      <c r="D7364"/>
      <c r="G7364"/>
      <c r="L7364"/>
    </row>
    <row r="7365" spans="1:12" x14ac:dyDescent="0.25">
      <c r="A7365"/>
      <c r="B7365"/>
      <c r="D7365"/>
      <c r="G7365"/>
      <c r="L7365"/>
    </row>
    <row r="7366" spans="1:12" x14ac:dyDescent="0.25">
      <c r="A7366"/>
      <c r="B7366"/>
      <c r="D7366"/>
      <c r="G7366"/>
      <c r="L7366"/>
    </row>
    <row r="7367" spans="1:12" x14ac:dyDescent="0.25">
      <c r="A7367"/>
      <c r="B7367"/>
      <c r="D7367"/>
      <c r="G7367"/>
      <c r="L7367"/>
    </row>
    <row r="7368" spans="1:12" x14ac:dyDescent="0.25">
      <c r="A7368"/>
      <c r="B7368"/>
      <c r="D7368"/>
      <c r="G7368"/>
      <c r="L7368"/>
    </row>
    <row r="7369" spans="1:12" x14ac:dyDescent="0.25">
      <c r="A7369"/>
      <c r="B7369"/>
      <c r="D7369"/>
      <c r="G7369"/>
      <c r="L7369"/>
    </row>
    <row r="7370" spans="1:12" x14ac:dyDescent="0.25">
      <c r="A7370"/>
      <c r="B7370"/>
      <c r="D7370"/>
      <c r="G7370"/>
      <c r="L7370"/>
    </row>
    <row r="7371" spans="1:12" x14ac:dyDescent="0.25">
      <c r="A7371"/>
      <c r="B7371"/>
      <c r="D7371"/>
      <c r="G7371"/>
      <c r="L7371"/>
    </row>
    <row r="7372" spans="1:12" x14ac:dyDescent="0.25">
      <c r="A7372"/>
      <c r="B7372"/>
      <c r="D7372"/>
      <c r="G7372"/>
      <c r="L7372"/>
    </row>
    <row r="7373" spans="1:12" x14ac:dyDescent="0.25">
      <c r="A7373"/>
      <c r="B7373"/>
      <c r="D7373"/>
      <c r="G7373"/>
      <c r="L7373"/>
    </row>
    <row r="7374" spans="1:12" x14ac:dyDescent="0.25">
      <c r="A7374"/>
      <c r="B7374"/>
      <c r="D7374"/>
      <c r="G7374"/>
      <c r="L7374"/>
    </row>
    <row r="7375" spans="1:12" x14ac:dyDescent="0.25">
      <c r="A7375"/>
      <c r="B7375"/>
      <c r="D7375"/>
      <c r="G7375"/>
      <c r="L7375"/>
    </row>
    <row r="7376" spans="1:12" x14ac:dyDescent="0.25">
      <c r="A7376"/>
      <c r="B7376"/>
      <c r="D7376"/>
      <c r="G7376"/>
      <c r="L7376"/>
    </row>
    <row r="7377" spans="1:12" x14ac:dyDescent="0.25">
      <c r="A7377"/>
      <c r="B7377"/>
      <c r="D7377"/>
      <c r="G7377"/>
      <c r="L7377"/>
    </row>
    <row r="7378" spans="1:12" x14ac:dyDescent="0.25">
      <c r="A7378"/>
      <c r="B7378"/>
      <c r="D7378"/>
      <c r="G7378"/>
      <c r="L7378"/>
    </row>
    <row r="7379" spans="1:12" x14ac:dyDescent="0.25">
      <c r="A7379"/>
      <c r="B7379"/>
      <c r="D7379"/>
      <c r="G7379"/>
      <c r="L7379"/>
    </row>
    <row r="7380" spans="1:12" x14ac:dyDescent="0.25">
      <c r="A7380"/>
      <c r="B7380"/>
      <c r="D7380"/>
      <c r="G7380"/>
      <c r="L7380"/>
    </row>
    <row r="7381" spans="1:12" x14ac:dyDescent="0.25">
      <c r="A7381"/>
      <c r="B7381"/>
      <c r="D7381"/>
      <c r="G7381"/>
      <c r="L7381"/>
    </row>
    <row r="7382" spans="1:12" x14ac:dyDescent="0.25">
      <c r="A7382"/>
      <c r="B7382"/>
      <c r="D7382"/>
      <c r="G7382"/>
      <c r="L7382"/>
    </row>
    <row r="7383" spans="1:12" x14ac:dyDescent="0.25">
      <c r="A7383"/>
      <c r="B7383"/>
      <c r="D7383"/>
      <c r="G7383"/>
      <c r="L7383"/>
    </row>
    <row r="7384" spans="1:12" x14ac:dyDescent="0.25">
      <c r="A7384"/>
      <c r="B7384"/>
      <c r="D7384"/>
      <c r="G7384"/>
      <c r="L7384"/>
    </row>
    <row r="7385" spans="1:12" x14ac:dyDescent="0.25">
      <c r="A7385"/>
      <c r="B7385"/>
      <c r="D7385"/>
      <c r="G7385"/>
      <c r="L7385"/>
    </row>
    <row r="7386" spans="1:12" x14ac:dyDescent="0.25">
      <c r="A7386"/>
      <c r="B7386"/>
      <c r="D7386"/>
      <c r="G7386"/>
      <c r="L7386"/>
    </row>
    <row r="7387" spans="1:12" x14ac:dyDescent="0.25">
      <c r="A7387"/>
      <c r="B7387"/>
      <c r="D7387"/>
      <c r="G7387"/>
      <c r="L7387"/>
    </row>
    <row r="7388" spans="1:12" x14ac:dyDescent="0.25">
      <c r="A7388"/>
      <c r="B7388"/>
      <c r="D7388"/>
      <c r="G7388"/>
      <c r="L7388"/>
    </row>
    <row r="7389" spans="1:12" x14ac:dyDescent="0.25">
      <c r="A7389"/>
      <c r="B7389"/>
      <c r="D7389"/>
      <c r="G7389"/>
      <c r="L7389"/>
    </row>
    <row r="7390" spans="1:12" x14ac:dyDescent="0.25">
      <c r="A7390"/>
      <c r="B7390"/>
      <c r="D7390"/>
      <c r="G7390"/>
      <c r="L7390"/>
    </row>
    <row r="7391" spans="1:12" x14ac:dyDescent="0.25">
      <c r="A7391"/>
      <c r="B7391"/>
      <c r="D7391"/>
      <c r="G7391"/>
      <c r="L7391"/>
    </row>
    <row r="7392" spans="1:12" x14ac:dyDescent="0.25">
      <c r="A7392"/>
      <c r="B7392"/>
      <c r="D7392"/>
      <c r="G7392"/>
      <c r="L7392"/>
    </row>
    <row r="7393" spans="1:12" x14ac:dyDescent="0.25">
      <c r="A7393"/>
      <c r="B7393"/>
      <c r="D7393"/>
      <c r="G7393"/>
      <c r="L7393"/>
    </row>
    <row r="7394" spans="1:12" x14ac:dyDescent="0.25">
      <c r="A7394"/>
      <c r="B7394"/>
      <c r="D7394"/>
      <c r="G7394"/>
      <c r="L7394"/>
    </row>
    <row r="7395" spans="1:12" x14ac:dyDescent="0.25">
      <c r="A7395"/>
      <c r="B7395"/>
      <c r="D7395"/>
      <c r="G7395"/>
      <c r="L7395"/>
    </row>
    <row r="7396" spans="1:12" x14ac:dyDescent="0.25">
      <c r="A7396"/>
      <c r="B7396"/>
      <c r="D7396"/>
      <c r="G7396"/>
      <c r="L7396"/>
    </row>
    <row r="7397" spans="1:12" x14ac:dyDescent="0.25">
      <c r="A7397"/>
      <c r="B7397"/>
      <c r="D7397"/>
      <c r="G7397"/>
      <c r="L7397"/>
    </row>
    <row r="7398" spans="1:12" x14ac:dyDescent="0.25">
      <c r="A7398"/>
      <c r="B7398"/>
      <c r="D7398"/>
      <c r="G7398"/>
      <c r="L7398"/>
    </row>
    <row r="7399" spans="1:12" x14ac:dyDescent="0.25">
      <c r="A7399"/>
      <c r="B7399"/>
      <c r="D7399"/>
      <c r="G7399"/>
      <c r="L7399"/>
    </row>
    <row r="7400" spans="1:12" x14ac:dyDescent="0.25">
      <c r="A7400"/>
      <c r="B7400"/>
      <c r="D7400"/>
      <c r="G7400"/>
      <c r="L7400"/>
    </row>
    <row r="7401" spans="1:12" x14ac:dyDescent="0.25">
      <c r="A7401"/>
      <c r="B7401"/>
      <c r="D7401"/>
      <c r="G7401"/>
      <c r="L7401"/>
    </row>
    <row r="7402" spans="1:12" x14ac:dyDescent="0.25">
      <c r="A7402"/>
      <c r="B7402"/>
      <c r="D7402"/>
      <c r="G7402"/>
      <c r="L7402"/>
    </row>
    <row r="7403" spans="1:12" x14ac:dyDescent="0.25">
      <c r="A7403"/>
      <c r="B7403"/>
      <c r="D7403"/>
      <c r="G7403"/>
      <c r="L7403"/>
    </row>
    <row r="7404" spans="1:12" x14ac:dyDescent="0.25">
      <c r="A7404"/>
      <c r="B7404"/>
      <c r="D7404"/>
      <c r="G7404"/>
      <c r="L7404"/>
    </row>
    <row r="7405" spans="1:12" x14ac:dyDescent="0.25">
      <c r="A7405"/>
      <c r="B7405"/>
      <c r="D7405"/>
      <c r="G7405"/>
      <c r="L7405"/>
    </row>
    <row r="7406" spans="1:12" x14ac:dyDescent="0.25">
      <c r="A7406"/>
      <c r="B7406"/>
      <c r="D7406"/>
      <c r="G7406"/>
      <c r="L7406"/>
    </row>
    <row r="7407" spans="1:12" x14ac:dyDescent="0.25">
      <c r="A7407"/>
      <c r="B7407"/>
      <c r="D7407"/>
      <c r="G7407"/>
      <c r="L7407"/>
    </row>
    <row r="7408" spans="1:12" x14ac:dyDescent="0.25">
      <c r="A7408"/>
      <c r="B7408"/>
      <c r="D7408"/>
      <c r="G7408"/>
      <c r="L7408"/>
    </row>
    <row r="7409" spans="1:12" x14ac:dyDescent="0.25">
      <c r="A7409"/>
      <c r="B7409"/>
      <c r="D7409"/>
      <c r="G7409"/>
      <c r="L7409"/>
    </row>
    <row r="7410" spans="1:12" x14ac:dyDescent="0.25">
      <c r="A7410"/>
      <c r="B7410"/>
      <c r="D7410"/>
      <c r="G7410"/>
      <c r="L7410"/>
    </row>
    <row r="7411" spans="1:12" x14ac:dyDescent="0.25">
      <c r="A7411"/>
      <c r="B7411"/>
      <c r="D7411"/>
      <c r="G7411"/>
      <c r="L7411"/>
    </row>
    <row r="7412" spans="1:12" x14ac:dyDescent="0.25">
      <c r="A7412"/>
      <c r="B7412"/>
      <c r="D7412"/>
      <c r="G7412"/>
      <c r="L7412"/>
    </row>
    <row r="7413" spans="1:12" x14ac:dyDescent="0.25">
      <c r="A7413"/>
      <c r="B7413"/>
      <c r="D7413"/>
      <c r="G7413"/>
      <c r="L7413"/>
    </row>
    <row r="7414" spans="1:12" x14ac:dyDescent="0.25">
      <c r="A7414"/>
      <c r="B7414"/>
      <c r="D7414"/>
      <c r="G7414"/>
      <c r="L7414"/>
    </row>
    <row r="7415" spans="1:12" x14ac:dyDescent="0.25">
      <c r="A7415"/>
      <c r="B7415"/>
      <c r="D7415"/>
      <c r="G7415"/>
      <c r="L7415"/>
    </row>
    <row r="7416" spans="1:12" x14ac:dyDescent="0.25">
      <c r="A7416"/>
      <c r="B7416"/>
      <c r="D7416"/>
      <c r="G7416"/>
      <c r="L7416"/>
    </row>
    <row r="7417" spans="1:12" x14ac:dyDescent="0.25">
      <c r="A7417"/>
      <c r="B7417"/>
      <c r="D7417"/>
      <c r="G7417"/>
      <c r="L7417"/>
    </row>
    <row r="7418" spans="1:12" x14ac:dyDescent="0.25">
      <c r="A7418"/>
      <c r="B7418"/>
      <c r="D7418"/>
      <c r="G7418"/>
      <c r="L7418"/>
    </row>
    <row r="7419" spans="1:12" x14ac:dyDescent="0.25">
      <c r="A7419"/>
      <c r="B7419"/>
      <c r="D7419"/>
      <c r="G7419"/>
      <c r="L7419"/>
    </row>
    <row r="7420" spans="1:12" x14ac:dyDescent="0.25">
      <c r="A7420"/>
      <c r="B7420"/>
      <c r="D7420"/>
      <c r="G7420"/>
      <c r="L7420"/>
    </row>
    <row r="7421" spans="1:12" x14ac:dyDescent="0.25">
      <c r="A7421"/>
      <c r="B7421"/>
      <c r="D7421"/>
      <c r="G7421"/>
      <c r="L7421"/>
    </row>
    <row r="7422" spans="1:12" x14ac:dyDescent="0.25">
      <c r="A7422"/>
      <c r="B7422"/>
      <c r="D7422"/>
      <c r="G7422"/>
      <c r="L7422"/>
    </row>
    <row r="7423" spans="1:12" x14ac:dyDescent="0.25">
      <c r="A7423"/>
      <c r="B7423"/>
      <c r="D7423"/>
      <c r="G7423"/>
      <c r="L7423"/>
    </row>
    <row r="7424" spans="1:12" x14ac:dyDescent="0.25">
      <c r="A7424"/>
      <c r="B7424"/>
      <c r="D7424"/>
      <c r="G7424"/>
      <c r="L7424"/>
    </row>
    <row r="7425" spans="1:12" x14ac:dyDescent="0.25">
      <c r="A7425"/>
      <c r="B7425"/>
      <c r="D7425"/>
      <c r="G7425"/>
      <c r="L7425"/>
    </row>
    <row r="7426" spans="1:12" x14ac:dyDescent="0.25">
      <c r="A7426"/>
      <c r="B7426"/>
      <c r="D7426"/>
      <c r="G7426"/>
      <c r="L7426"/>
    </row>
    <row r="7427" spans="1:12" x14ac:dyDescent="0.25">
      <c r="A7427"/>
      <c r="B7427"/>
      <c r="D7427"/>
      <c r="G7427"/>
      <c r="L7427"/>
    </row>
    <row r="7428" spans="1:12" x14ac:dyDescent="0.25">
      <c r="A7428"/>
      <c r="B7428"/>
      <c r="D7428"/>
      <c r="G7428"/>
      <c r="L7428"/>
    </row>
    <row r="7429" spans="1:12" x14ac:dyDescent="0.25">
      <c r="A7429"/>
      <c r="B7429"/>
      <c r="D7429"/>
      <c r="G7429"/>
      <c r="L7429"/>
    </row>
    <row r="7430" spans="1:12" x14ac:dyDescent="0.25">
      <c r="A7430"/>
      <c r="B7430"/>
      <c r="D7430"/>
      <c r="G7430"/>
      <c r="L7430"/>
    </row>
    <row r="7431" spans="1:12" x14ac:dyDescent="0.25">
      <c r="A7431"/>
      <c r="B7431"/>
      <c r="D7431"/>
      <c r="G7431"/>
      <c r="L7431"/>
    </row>
    <row r="7432" spans="1:12" x14ac:dyDescent="0.25">
      <c r="A7432"/>
      <c r="B7432"/>
      <c r="D7432"/>
      <c r="G7432"/>
      <c r="L7432"/>
    </row>
    <row r="7433" spans="1:12" x14ac:dyDescent="0.25">
      <c r="A7433"/>
      <c r="B7433"/>
      <c r="D7433"/>
      <c r="G7433"/>
      <c r="L7433"/>
    </row>
    <row r="7434" spans="1:12" x14ac:dyDescent="0.25">
      <c r="A7434"/>
      <c r="B7434"/>
      <c r="D7434"/>
      <c r="G7434"/>
      <c r="L7434"/>
    </row>
    <row r="7435" spans="1:12" x14ac:dyDescent="0.25">
      <c r="A7435"/>
      <c r="B7435"/>
      <c r="D7435"/>
      <c r="G7435"/>
      <c r="L7435"/>
    </row>
    <row r="7436" spans="1:12" x14ac:dyDescent="0.25">
      <c r="A7436"/>
      <c r="B7436"/>
      <c r="D7436"/>
      <c r="G7436"/>
      <c r="L7436"/>
    </row>
    <row r="7437" spans="1:12" x14ac:dyDescent="0.25">
      <c r="A7437"/>
      <c r="B7437"/>
      <c r="D7437"/>
      <c r="G7437"/>
      <c r="L7437"/>
    </row>
    <row r="7438" spans="1:12" x14ac:dyDescent="0.25">
      <c r="A7438"/>
      <c r="B7438"/>
      <c r="D7438"/>
      <c r="G7438"/>
      <c r="L7438"/>
    </row>
    <row r="7439" spans="1:12" x14ac:dyDescent="0.25">
      <c r="A7439"/>
      <c r="B7439"/>
      <c r="D7439"/>
      <c r="G7439"/>
      <c r="L7439"/>
    </row>
    <row r="7440" spans="1:12" x14ac:dyDescent="0.25">
      <c r="A7440"/>
      <c r="B7440"/>
      <c r="D7440"/>
      <c r="G7440"/>
      <c r="L7440"/>
    </row>
    <row r="7441" spans="1:12" x14ac:dyDescent="0.25">
      <c r="A7441"/>
      <c r="B7441"/>
      <c r="D7441"/>
      <c r="G7441"/>
      <c r="L7441"/>
    </row>
    <row r="7442" spans="1:12" x14ac:dyDescent="0.25">
      <c r="A7442"/>
      <c r="B7442"/>
      <c r="D7442"/>
      <c r="G7442"/>
      <c r="L7442"/>
    </row>
    <row r="7443" spans="1:12" x14ac:dyDescent="0.25">
      <c r="A7443"/>
      <c r="B7443"/>
      <c r="D7443"/>
      <c r="G7443"/>
      <c r="L7443"/>
    </row>
    <row r="7444" spans="1:12" x14ac:dyDescent="0.25">
      <c r="A7444"/>
      <c r="B7444"/>
      <c r="D7444"/>
      <c r="G7444"/>
      <c r="L7444"/>
    </row>
    <row r="7445" spans="1:12" x14ac:dyDescent="0.25">
      <c r="A7445"/>
      <c r="B7445"/>
      <c r="D7445"/>
      <c r="G7445"/>
      <c r="L7445"/>
    </row>
    <row r="7446" spans="1:12" x14ac:dyDescent="0.25">
      <c r="A7446"/>
      <c r="B7446"/>
      <c r="D7446"/>
      <c r="G7446"/>
      <c r="L7446"/>
    </row>
    <row r="7447" spans="1:12" x14ac:dyDescent="0.25">
      <c r="A7447"/>
      <c r="B7447"/>
      <c r="D7447"/>
      <c r="G7447"/>
      <c r="L7447"/>
    </row>
    <row r="7448" spans="1:12" x14ac:dyDescent="0.25">
      <c r="A7448"/>
      <c r="B7448"/>
      <c r="D7448"/>
      <c r="G7448"/>
      <c r="L7448"/>
    </row>
    <row r="7449" spans="1:12" x14ac:dyDescent="0.25">
      <c r="A7449"/>
      <c r="B7449"/>
      <c r="D7449"/>
      <c r="G7449"/>
      <c r="L7449"/>
    </row>
    <row r="7450" spans="1:12" x14ac:dyDescent="0.25">
      <c r="A7450"/>
      <c r="B7450"/>
      <c r="D7450"/>
      <c r="G7450"/>
      <c r="L7450"/>
    </row>
    <row r="7451" spans="1:12" x14ac:dyDescent="0.25">
      <c r="A7451"/>
      <c r="B7451"/>
      <c r="D7451"/>
      <c r="G7451"/>
      <c r="L7451"/>
    </row>
    <row r="7452" spans="1:12" x14ac:dyDescent="0.25">
      <c r="A7452"/>
      <c r="B7452"/>
      <c r="D7452"/>
      <c r="G7452"/>
      <c r="L7452"/>
    </row>
    <row r="7453" spans="1:12" x14ac:dyDescent="0.25">
      <c r="A7453"/>
      <c r="B7453"/>
      <c r="D7453"/>
      <c r="G7453"/>
      <c r="L7453"/>
    </row>
    <row r="7454" spans="1:12" x14ac:dyDescent="0.25">
      <c r="A7454"/>
      <c r="B7454"/>
      <c r="D7454"/>
      <c r="G7454"/>
      <c r="L7454"/>
    </row>
    <row r="7455" spans="1:12" x14ac:dyDescent="0.25">
      <c r="A7455"/>
      <c r="B7455"/>
      <c r="D7455"/>
      <c r="G7455"/>
      <c r="L7455"/>
    </row>
    <row r="7456" spans="1:12" x14ac:dyDescent="0.25">
      <c r="A7456"/>
      <c r="B7456"/>
      <c r="D7456"/>
      <c r="G7456"/>
      <c r="L7456"/>
    </row>
    <row r="7457" spans="1:12" x14ac:dyDescent="0.25">
      <c r="A7457"/>
      <c r="B7457"/>
      <c r="D7457"/>
      <c r="G7457"/>
      <c r="L7457"/>
    </row>
    <row r="7458" spans="1:12" x14ac:dyDescent="0.25">
      <c r="A7458"/>
      <c r="B7458"/>
      <c r="D7458"/>
      <c r="G7458"/>
      <c r="L7458"/>
    </row>
    <row r="7459" spans="1:12" x14ac:dyDescent="0.25">
      <c r="A7459"/>
      <c r="B7459"/>
      <c r="D7459"/>
      <c r="G7459"/>
      <c r="L7459"/>
    </row>
    <row r="7460" spans="1:12" x14ac:dyDescent="0.25">
      <c r="A7460"/>
      <c r="B7460"/>
      <c r="D7460"/>
      <c r="G7460"/>
      <c r="L7460"/>
    </row>
    <row r="7461" spans="1:12" x14ac:dyDescent="0.25">
      <c r="A7461"/>
      <c r="B7461"/>
      <c r="D7461"/>
      <c r="G7461"/>
      <c r="L7461"/>
    </row>
    <row r="7462" spans="1:12" x14ac:dyDescent="0.25">
      <c r="A7462"/>
      <c r="B7462"/>
      <c r="D7462"/>
      <c r="G7462"/>
      <c r="L7462"/>
    </row>
    <row r="7463" spans="1:12" x14ac:dyDescent="0.25">
      <c r="A7463"/>
      <c r="B7463"/>
      <c r="D7463"/>
      <c r="G7463"/>
      <c r="L7463"/>
    </row>
    <row r="7464" spans="1:12" x14ac:dyDescent="0.25">
      <c r="A7464"/>
      <c r="B7464"/>
      <c r="D7464"/>
      <c r="G7464"/>
      <c r="L7464"/>
    </row>
    <row r="7465" spans="1:12" x14ac:dyDescent="0.25">
      <c r="A7465"/>
      <c r="B7465"/>
      <c r="D7465"/>
      <c r="G7465"/>
      <c r="L7465"/>
    </row>
    <row r="7466" spans="1:12" x14ac:dyDescent="0.25">
      <c r="A7466"/>
      <c r="B7466"/>
      <c r="D7466"/>
      <c r="G7466"/>
      <c r="L7466"/>
    </row>
    <row r="7467" spans="1:12" x14ac:dyDescent="0.25">
      <c r="A7467"/>
      <c r="B7467"/>
      <c r="D7467"/>
      <c r="G7467"/>
      <c r="L7467"/>
    </row>
    <row r="7468" spans="1:12" x14ac:dyDescent="0.25">
      <c r="A7468"/>
      <c r="B7468"/>
      <c r="D7468"/>
      <c r="G7468"/>
      <c r="L7468"/>
    </row>
    <row r="7469" spans="1:12" x14ac:dyDescent="0.25">
      <c r="A7469"/>
      <c r="B7469"/>
      <c r="D7469"/>
      <c r="G7469"/>
      <c r="L7469"/>
    </row>
    <row r="7470" spans="1:12" x14ac:dyDescent="0.25">
      <c r="A7470"/>
      <c r="B7470"/>
      <c r="D7470"/>
      <c r="G7470"/>
      <c r="L7470"/>
    </row>
    <row r="7471" spans="1:12" x14ac:dyDescent="0.25">
      <c r="A7471"/>
      <c r="B7471"/>
      <c r="D7471"/>
      <c r="G7471"/>
      <c r="L7471"/>
    </row>
    <row r="7472" spans="1:12" x14ac:dyDescent="0.25">
      <c r="A7472"/>
      <c r="B7472"/>
      <c r="D7472"/>
      <c r="G7472"/>
      <c r="L7472"/>
    </row>
    <row r="7473" spans="1:12" x14ac:dyDescent="0.25">
      <c r="A7473"/>
      <c r="B7473"/>
      <c r="D7473"/>
      <c r="G7473"/>
      <c r="L7473"/>
    </row>
    <row r="7474" spans="1:12" x14ac:dyDescent="0.25">
      <c r="A7474"/>
      <c r="B7474"/>
      <c r="D7474"/>
      <c r="G7474"/>
      <c r="L7474"/>
    </row>
    <row r="7475" spans="1:12" x14ac:dyDescent="0.25">
      <c r="A7475"/>
      <c r="B7475"/>
      <c r="D7475"/>
      <c r="G7475"/>
      <c r="L7475"/>
    </row>
    <row r="7476" spans="1:12" x14ac:dyDescent="0.25">
      <c r="A7476"/>
      <c r="B7476"/>
      <c r="D7476"/>
      <c r="G7476"/>
      <c r="L7476"/>
    </row>
    <row r="7477" spans="1:12" x14ac:dyDescent="0.25">
      <c r="A7477"/>
      <c r="B7477"/>
      <c r="D7477"/>
      <c r="G7477"/>
      <c r="L7477"/>
    </row>
    <row r="7478" spans="1:12" x14ac:dyDescent="0.25">
      <c r="A7478"/>
      <c r="B7478"/>
      <c r="D7478"/>
      <c r="G7478"/>
      <c r="L7478"/>
    </row>
    <row r="7479" spans="1:12" x14ac:dyDescent="0.25">
      <c r="A7479"/>
      <c r="B7479"/>
      <c r="D7479"/>
      <c r="G7479"/>
      <c r="L7479"/>
    </row>
    <row r="7480" spans="1:12" x14ac:dyDescent="0.25">
      <c r="A7480"/>
      <c r="B7480"/>
      <c r="D7480"/>
      <c r="G7480"/>
      <c r="L7480"/>
    </row>
    <row r="7481" spans="1:12" x14ac:dyDescent="0.25">
      <c r="A7481"/>
      <c r="B7481"/>
      <c r="D7481"/>
      <c r="G7481"/>
      <c r="L7481"/>
    </row>
    <row r="7482" spans="1:12" x14ac:dyDescent="0.25">
      <c r="A7482"/>
      <c r="B7482"/>
      <c r="D7482"/>
      <c r="G7482"/>
      <c r="L7482"/>
    </row>
    <row r="7483" spans="1:12" x14ac:dyDescent="0.25">
      <c r="A7483"/>
      <c r="B7483"/>
      <c r="D7483"/>
      <c r="G7483"/>
      <c r="L7483"/>
    </row>
    <row r="7484" spans="1:12" x14ac:dyDescent="0.25">
      <c r="A7484"/>
      <c r="B7484"/>
      <c r="D7484"/>
      <c r="G7484"/>
      <c r="L7484"/>
    </row>
    <row r="7485" spans="1:12" x14ac:dyDescent="0.25">
      <c r="A7485"/>
      <c r="B7485"/>
      <c r="D7485"/>
      <c r="G7485"/>
      <c r="L7485"/>
    </row>
    <row r="7486" spans="1:12" x14ac:dyDescent="0.25">
      <c r="A7486"/>
      <c r="B7486"/>
      <c r="D7486"/>
      <c r="G7486"/>
      <c r="L7486"/>
    </row>
    <row r="7487" spans="1:12" x14ac:dyDescent="0.25">
      <c r="A7487"/>
      <c r="B7487"/>
      <c r="D7487"/>
      <c r="G7487"/>
      <c r="L7487"/>
    </row>
    <row r="7488" spans="1:12" x14ac:dyDescent="0.25">
      <c r="A7488"/>
      <c r="B7488"/>
      <c r="D7488"/>
      <c r="G7488"/>
      <c r="L7488"/>
    </row>
    <row r="7489" spans="1:12" x14ac:dyDescent="0.25">
      <c r="A7489"/>
      <c r="B7489"/>
      <c r="D7489"/>
      <c r="G7489"/>
      <c r="L7489"/>
    </row>
    <row r="7490" spans="1:12" x14ac:dyDescent="0.25">
      <c r="A7490"/>
      <c r="B7490"/>
      <c r="D7490"/>
      <c r="G7490"/>
      <c r="L7490"/>
    </row>
    <row r="7491" spans="1:12" x14ac:dyDescent="0.25">
      <c r="A7491"/>
      <c r="B7491"/>
      <c r="D7491"/>
      <c r="G7491"/>
      <c r="L7491"/>
    </row>
    <row r="7492" spans="1:12" x14ac:dyDescent="0.25">
      <c r="A7492"/>
      <c r="B7492"/>
      <c r="D7492"/>
      <c r="G7492"/>
      <c r="L7492"/>
    </row>
    <row r="7493" spans="1:12" x14ac:dyDescent="0.25">
      <c r="A7493"/>
      <c r="B7493"/>
      <c r="D7493"/>
      <c r="G7493"/>
      <c r="L7493"/>
    </row>
    <row r="7494" spans="1:12" x14ac:dyDescent="0.25">
      <c r="A7494"/>
      <c r="B7494"/>
      <c r="D7494"/>
      <c r="G7494"/>
      <c r="L7494"/>
    </row>
    <row r="7495" spans="1:12" x14ac:dyDescent="0.25">
      <c r="A7495"/>
      <c r="B7495"/>
      <c r="D7495"/>
      <c r="G7495"/>
      <c r="L7495"/>
    </row>
    <row r="7496" spans="1:12" x14ac:dyDescent="0.25">
      <c r="A7496"/>
      <c r="B7496"/>
      <c r="D7496"/>
      <c r="G7496"/>
      <c r="L7496"/>
    </row>
    <row r="7497" spans="1:12" x14ac:dyDescent="0.25">
      <c r="A7497"/>
      <c r="B7497"/>
      <c r="D7497"/>
      <c r="G7497"/>
      <c r="L7497"/>
    </row>
    <row r="7498" spans="1:12" x14ac:dyDescent="0.25">
      <c r="A7498"/>
      <c r="B7498"/>
      <c r="D7498"/>
      <c r="G7498"/>
      <c r="L7498"/>
    </row>
    <row r="7499" spans="1:12" x14ac:dyDescent="0.25">
      <c r="A7499"/>
      <c r="B7499"/>
      <c r="D7499"/>
      <c r="G7499"/>
      <c r="L7499"/>
    </row>
    <row r="7500" spans="1:12" x14ac:dyDescent="0.25">
      <c r="A7500"/>
      <c r="B7500"/>
      <c r="D7500"/>
      <c r="G7500"/>
      <c r="L7500"/>
    </row>
    <row r="7501" spans="1:12" x14ac:dyDescent="0.25">
      <c r="A7501"/>
      <c r="B7501"/>
      <c r="D7501"/>
      <c r="G7501"/>
      <c r="L7501"/>
    </row>
    <row r="7502" spans="1:12" x14ac:dyDescent="0.25">
      <c r="A7502"/>
      <c r="B7502"/>
      <c r="D7502"/>
      <c r="G7502"/>
      <c r="L7502"/>
    </row>
    <row r="7503" spans="1:12" x14ac:dyDescent="0.25">
      <c r="A7503"/>
      <c r="B7503"/>
      <c r="D7503"/>
      <c r="G7503"/>
      <c r="L7503"/>
    </row>
    <row r="7504" spans="1:12" x14ac:dyDescent="0.25">
      <c r="A7504"/>
      <c r="B7504"/>
      <c r="D7504"/>
      <c r="G7504"/>
      <c r="L7504"/>
    </row>
    <row r="7505" spans="1:12" x14ac:dyDescent="0.25">
      <c r="A7505"/>
      <c r="B7505"/>
      <c r="D7505"/>
      <c r="G7505"/>
      <c r="L7505"/>
    </row>
    <row r="7506" spans="1:12" x14ac:dyDescent="0.25">
      <c r="A7506"/>
      <c r="B7506"/>
      <c r="D7506"/>
      <c r="G7506"/>
      <c r="L7506"/>
    </row>
    <row r="7507" spans="1:12" x14ac:dyDescent="0.25">
      <c r="A7507"/>
      <c r="B7507"/>
      <c r="D7507"/>
      <c r="G7507"/>
      <c r="L7507"/>
    </row>
    <row r="7508" spans="1:12" x14ac:dyDescent="0.25">
      <c r="A7508"/>
      <c r="B7508"/>
      <c r="D7508"/>
      <c r="G7508"/>
      <c r="L7508"/>
    </row>
    <row r="7509" spans="1:12" x14ac:dyDescent="0.25">
      <c r="A7509"/>
      <c r="B7509"/>
      <c r="D7509"/>
      <c r="G7509"/>
      <c r="L7509"/>
    </row>
    <row r="7510" spans="1:12" x14ac:dyDescent="0.25">
      <c r="A7510"/>
      <c r="B7510"/>
      <c r="D7510"/>
      <c r="G7510"/>
      <c r="L7510"/>
    </row>
    <row r="7511" spans="1:12" x14ac:dyDescent="0.25">
      <c r="A7511"/>
      <c r="B7511"/>
      <c r="D7511"/>
      <c r="G7511"/>
      <c r="L7511"/>
    </row>
    <row r="7512" spans="1:12" x14ac:dyDescent="0.25">
      <c r="A7512"/>
      <c r="B7512"/>
      <c r="D7512"/>
      <c r="G7512"/>
      <c r="L7512"/>
    </row>
    <row r="7513" spans="1:12" x14ac:dyDescent="0.25">
      <c r="A7513"/>
      <c r="B7513"/>
      <c r="D7513"/>
      <c r="G7513"/>
      <c r="L7513"/>
    </row>
    <row r="7514" spans="1:12" x14ac:dyDescent="0.25">
      <c r="A7514"/>
      <c r="B7514"/>
      <c r="D7514"/>
      <c r="G7514"/>
      <c r="L7514"/>
    </row>
    <row r="7515" spans="1:12" x14ac:dyDescent="0.25">
      <c r="A7515"/>
      <c r="B7515"/>
      <c r="D7515"/>
      <c r="G7515"/>
      <c r="L7515"/>
    </row>
    <row r="7516" spans="1:12" x14ac:dyDescent="0.25">
      <c r="A7516"/>
      <c r="B7516"/>
      <c r="D7516"/>
      <c r="G7516"/>
      <c r="L7516"/>
    </row>
    <row r="7517" spans="1:12" x14ac:dyDescent="0.25">
      <c r="A7517"/>
      <c r="B7517"/>
      <c r="D7517"/>
      <c r="G7517"/>
      <c r="L7517"/>
    </row>
    <row r="7518" spans="1:12" x14ac:dyDescent="0.25">
      <c r="A7518"/>
      <c r="B7518"/>
      <c r="D7518"/>
      <c r="G7518"/>
      <c r="L7518"/>
    </row>
    <row r="7519" spans="1:12" x14ac:dyDescent="0.25">
      <c r="A7519"/>
      <c r="B7519"/>
      <c r="D7519"/>
      <c r="G7519"/>
      <c r="L7519"/>
    </row>
    <row r="7520" spans="1:12" x14ac:dyDescent="0.25">
      <c r="A7520"/>
      <c r="B7520"/>
      <c r="D7520"/>
      <c r="G7520"/>
      <c r="L7520"/>
    </row>
    <row r="7521" spans="1:12" x14ac:dyDescent="0.25">
      <c r="A7521"/>
      <c r="B7521"/>
      <c r="D7521"/>
      <c r="G7521"/>
      <c r="L7521"/>
    </row>
    <row r="7522" spans="1:12" x14ac:dyDescent="0.25">
      <c r="A7522"/>
      <c r="B7522"/>
      <c r="D7522"/>
      <c r="G7522"/>
      <c r="L7522"/>
    </row>
    <row r="7523" spans="1:12" x14ac:dyDescent="0.25">
      <c r="A7523"/>
      <c r="B7523"/>
      <c r="D7523"/>
      <c r="G7523"/>
      <c r="L7523"/>
    </row>
    <row r="7524" spans="1:12" x14ac:dyDescent="0.25">
      <c r="A7524"/>
      <c r="B7524"/>
      <c r="D7524"/>
      <c r="G7524"/>
      <c r="L7524"/>
    </row>
    <row r="7525" spans="1:12" x14ac:dyDescent="0.25">
      <c r="A7525"/>
      <c r="B7525"/>
      <c r="D7525"/>
      <c r="G7525"/>
      <c r="L7525"/>
    </row>
    <row r="7526" spans="1:12" x14ac:dyDescent="0.25">
      <c r="A7526"/>
      <c r="B7526"/>
      <c r="D7526"/>
      <c r="G7526"/>
      <c r="L7526"/>
    </row>
    <row r="7527" spans="1:12" x14ac:dyDescent="0.25">
      <c r="A7527"/>
      <c r="B7527"/>
      <c r="D7527"/>
      <c r="G7527"/>
      <c r="L7527"/>
    </row>
    <row r="7528" spans="1:12" x14ac:dyDescent="0.25">
      <c r="A7528"/>
      <c r="B7528"/>
      <c r="D7528"/>
      <c r="G7528"/>
      <c r="L7528"/>
    </row>
    <row r="7529" spans="1:12" x14ac:dyDescent="0.25">
      <c r="A7529"/>
      <c r="B7529"/>
      <c r="D7529"/>
      <c r="G7529"/>
      <c r="L7529"/>
    </row>
    <row r="7530" spans="1:12" x14ac:dyDescent="0.25">
      <c r="A7530"/>
      <c r="B7530"/>
      <c r="D7530"/>
      <c r="G7530"/>
      <c r="L7530"/>
    </row>
    <row r="7531" spans="1:12" x14ac:dyDescent="0.25">
      <c r="A7531"/>
      <c r="B7531"/>
      <c r="D7531"/>
      <c r="G7531"/>
      <c r="L7531"/>
    </row>
    <row r="7532" spans="1:12" x14ac:dyDescent="0.25">
      <c r="A7532"/>
      <c r="B7532"/>
      <c r="D7532"/>
      <c r="G7532"/>
      <c r="L7532"/>
    </row>
    <row r="7533" spans="1:12" x14ac:dyDescent="0.25">
      <c r="A7533"/>
      <c r="B7533"/>
      <c r="D7533"/>
      <c r="G7533"/>
      <c r="L7533"/>
    </row>
    <row r="7534" spans="1:12" x14ac:dyDescent="0.25">
      <c r="A7534"/>
      <c r="B7534"/>
      <c r="D7534"/>
      <c r="G7534"/>
      <c r="L7534"/>
    </row>
    <row r="7535" spans="1:12" x14ac:dyDescent="0.25">
      <c r="A7535"/>
      <c r="B7535"/>
      <c r="D7535"/>
      <c r="G7535"/>
      <c r="L7535"/>
    </row>
    <row r="7536" spans="1:12" x14ac:dyDescent="0.25">
      <c r="A7536"/>
      <c r="B7536"/>
      <c r="D7536"/>
      <c r="G7536"/>
      <c r="L7536"/>
    </row>
    <row r="7537" spans="1:12" x14ac:dyDescent="0.25">
      <c r="A7537"/>
      <c r="B7537"/>
      <c r="D7537"/>
      <c r="G7537"/>
      <c r="L7537"/>
    </row>
    <row r="7538" spans="1:12" x14ac:dyDescent="0.25">
      <c r="A7538"/>
      <c r="B7538"/>
      <c r="D7538"/>
      <c r="G7538"/>
      <c r="L7538"/>
    </row>
    <row r="7539" spans="1:12" x14ac:dyDescent="0.25">
      <c r="A7539"/>
      <c r="B7539"/>
      <c r="D7539"/>
      <c r="G7539"/>
      <c r="L7539"/>
    </row>
    <row r="7540" spans="1:12" x14ac:dyDescent="0.25">
      <c r="A7540"/>
      <c r="B7540"/>
      <c r="D7540"/>
      <c r="G7540"/>
      <c r="L7540"/>
    </row>
    <row r="7541" spans="1:12" x14ac:dyDescent="0.25">
      <c r="A7541"/>
      <c r="B7541"/>
      <c r="D7541"/>
      <c r="G7541"/>
      <c r="L7541"/>
    </row>
    <row r="7542" spans="1:12" x14ac:dyDescent="0.25">
      <c r="A7542"/>
      <c r="B7542"/>
      <c r="D7542"/>
      <c r="G7542"/>
      <c r="L7542"/>
    </row>
    <row r="7543" spans="1:12" x14ac:dyDescent="0.25">
      <c r="A7543"/>
      <c r="B7543"/>
      <c r="D7543"/>
      <c r="G7543"/>
      <c r="L7543"/>
    </row>
    <row r="7544" spans="1:12" x14ac:dyDescent="0.25">
      <c r="A7544"/>
      <c r="B7544"/>
      <c r="D7544"/>
      <c r="G7544"/>
      <c r="L7544"/>
    </row>
    <row r="7545" spans="1:12" x14ac:dyDescent="0.25">
      <c r="A7545"/>
      <c r="B7545"/>
      <c r="D7545"/>
      <c r="G7545"/>
      <c r="L7545"/>
    </row>
    <row r="7546" spans="1:12" x14ac:dyDescent="0.25">
      <c r="A7546"/>
      <c r="B7546"/>
      <c r="D7546"/>
      <c r="G7546"/>
      <c r="L7546"/>
    </row>
    <row r="7547" spans="1:12" x14ac:dyDescent="0.25">
      <c r="A7547"/>
      <c r="B7547"/>
      <c r="D7547"/>
      <c r="G7547"/>
      <c r="L7547"/>
    </row>
    <row r="7548" spans="1:12" x14ac:dyDescent="0.25">
      <c r="A7548"/>
      <c r="B7548"/>
      <c r="D7548"/>
      <c r="G7548"/>
      <c r="L7548"/>
    </row>
    <row r="7549" spans="1:12" x14ac:dyDescent="0.25">
      <c r="A7549"/>
      <c r="B7549"/>
      <c r="D7549"/>
      <c r="G7549"/>
      <c r="L7549"/>
    </row>
    <row r="7550" spans="1:12" x14ac:dyDescent="0.25">
      <c r="A7550"/>
      <c r="B7550"/>
      <c r="D7550"/>
      <c r="G7550"/>
      <c r="L7550"/>
    </row>
    <row r="7551" spans="1:12" x14ac:dyDescent="0.25">
      <c r="A7551"/>
      <c r="B7551"/>
      <c r="D7551"/>
      <c r="G7551"/>
      <c r="L7551"/>
    </row>
    <row r="7552" spans="1:12" x14ac:dyDescent="0.25">
      <c r="A7552"/>
      <c r="B7552"/>
      <c r="D7552"/>
      <c r="G7552"/>
      <c r="L7552"/>
    </row>
    <row r="7553" spans="1:12" x14ac:dyDescent="0.25">
      <c r="A7553"/>
      <c r="B7553"/>
      <c r="D7553"/>
      <c r="G7553"/>
      <c r="L7553"/>
    </row>
    <row r="7554" spans="1:12" x14ac:dyDescent="0.25">
      <c r="A7554"/>
      <c r="B7554"/>
      <c r="D7554"/>
      <c r="G7554"/>
      <c r="L7554"/>
    </row>
    <row r="7555" spans="1:12" x14ac:dyDescent="0.25">
      <c r="A7555"/>
      <c r="B7555"/>
      <c r="D7555"/>
      <c r="G7555"/>
      <c r="L7555"/>
    </row>
    <row r="7556" spans="1:12" x14ac:dyDescent="0.25">
      <c r="A7556"/>
      <c r="B7556"/>
      <c r="D7556"/>
      <c r="G7556"/>
      <c r="L7556"/>
    </row>
    <row r="7557" spans="1:12" x14ac:dyDescent="0.25">
      <c r="A7557"/>
      <c r="B7557"/>
      <c r="D7557"/>
      <c r="G7557"/>
      <c r="L7557"/>
    </row>
    <row r="7558" spans="1:12" x14ac:dyDescent="0.25">
      <c r="A7558"/>
      <c r="B7558"/>
      <c r="D7558"/>
      <c r="G7558"/>
      <c r="L7558"/>
    </row>
    <row r="7559" spans="1:12" x14ac:dyDescent="0.25">
      <c r="A7559"/>
      <c r="B7559"/>
      <c r="D7559"/>
      <c r="G7559"/>
      <c r="L7559"/>
    </row>
    <row r="7560" spans="1:12" x14ac:dyDescent="0.25">
      <c r="A7560"/>
      <c r="B7560"/>
      <c r="D7560"/>
      <c r="G7560"/>
      <c r="L7560"/>
    </row>
    <row r="7561" spans="1:12" x14ac:dyDescent="0.25">
      <c r="A7561"/>
      <c r="B7561"/>
      <c r="D7561"/>
      <c r="G7561"/>
      <c r="L7561"/>
    </row>
    <row r="7562" spans="1:12" x14ac:dyDescent="0.25">
      <c r="A7562"/>
      <c r="B7562"/>
      <c r="D7562"/>
      <c r="G7562"/>
      <c r="L7562"/>
    </row>
    <row r="7563" spans="1:12" x14ac:dyDescent="0.25">
      <c r="A7563"/>
      <c r="B7563"/>
      <c r="D7563"/>
      <c r="G7563"/>
      <c r="L7563"/>
    </row>
    <row r="7564" spans="1:12" x14ac:dyDescent="0.25">
      <c r="A7564"/>
      <c r="B7564"/>
      <c r="D7564"/>
      <c r="G7564"/>
      <c r="L7564"/>
    </row>
    <row r="7565" spans="1:12" x14ac:dyDescent="0.25">
      <c r="A7565"/>
      <c r="B7565"/>
      <c r="D7565"/>
      <c r="G7565"/>
      <c r="L7565"/>
    </row>
    <row r="7566" spans="1:12" x14ac:dyDescent="0.25">
      <c r="A7566"/>
      <c r="B7566"/>
      <c r="D7566"/>
      <c r="G7566"/>
      <c r="L7566"/>
    </row>
    <row r="7567" spans="1:12" x14ac:dyDescent="0.25">
      <c r="A7567"/>
      <c r="B7567"/>
      <c r="D7567"/>
      <c r="G7567"/>
      <c r="L7567"/>
    </row>
    <row r="7568" spans="1:12" x14ac:dyDescent="0.25">
      <c r="A7568"/>
      <c r="B7568"/>
      <c r="D7568"/>
      <c r="G7568"/>
      <c r="L7568"/>
    </row>
    <row r="7569" spans="1:12" x14ac:dyDescent="0.25">
      <c r="A7569"/>
      <c r="B7569"/>
      <c r="D7569"/>
      <c r="G7569"/>
      <c r="L7569"/>
    </row>
    <row r="7570" spans="1:12" x14ac:dyDescent="0.25">
      <c r="A7570"/>
      <c r="B7570"/>
      <c r="D7570"/>
      <c r="G7570"/>
      <c r="L7570"/>
    </row>
    <row r="7571" spans="1:12" x14ac:dyDescent="0.25">
      <c r="A7571"/>
      <c r="B7571"/>
      <c r="D7571"/>
      <c r="G7571"/>
      <c r="L7571"/>
    </row>
    <row r="7572" spans="1:12" x14ac:dyDescent="0.25">
      <c r="A7572"/>
      <c r="B7572"/>
      <c r="D7572"/>
      <c r="G7572"/>
      <c r="L7572"/>
    </row>
    <row r="7573" spans="1:12" x14ac:dyDescent="0.25">
      <c r="A7573"/>
      <c r="B7573"/>
      <c r="D7573"/>
      <c r="G7573"/>
      <c r="L7573"/>
    </row>
    <row r="7574" spans="1:12" x14ac:dyDescent="0.25">
      <c r="A7574"/>
      <c r="B7574"/>
      <c r="D7574"/>
      <c r="G7574"/>
      <c r="L7574"/>
    </row>
    <row r="7575" spans="1:12" x14ac:dyDescent="0.25">
      <c r="A7575"/>
      <c r="B7575"/>
      <c r="D7575"/>
      <c r="G7575"/>
      <c r="L7575"/>
    </row>
    <row r="7576" spans="1:12" x14ac:dyDescent="0.25">
      <c r="A7576"/>
      <c r="B7576"/>
      <c r="D7576"/>
      <c r="G7576"/>
      <c r="L7576"/>
    </row>
    <row r="7577" spans="1:12" x14ac:dyDescent="0.25">
      <c r="A7577"/>
      <c r="B7577"/>
      <c r="D7577"/>
      <c r="G7577"/>
      <c r="L7577"/>
    </row>
    <row r="7578" spans="1:12" x14ac:dyDescent="0.25">
      <c r="A7578"/>
      <c r="B7578"/>
      <c r="D7578"/>
      <c r="G7578"/>
      <c r="L7578"/>
    </row>
    <row r="7579" spans="1:12" x14ac:dyDescent="0.25">
      <c r="A7579"/>
      <c r="B7579"/>
      <c r="D7579"/>
      <c r="G7579"/>
      <c r="L7579"/>
    </row>
    <row r="7580" spans="1:12" x14ac:dyDescent="0.25">
      <c r="A7580"/>
      <c r="B7580"/>
      <c r="D7580"/>
      <c r="G7580"/>
      <c r="L7580"/>
    </row>
    <row r="7581" spans="1:12" x14ac:dyDescent="0.25">
      <c r="A7581"/>
      <c r="B7581"/>
      <c r="D7581"/>
      <c r="G7581"/>
      <c r="L7581"/>
    </row>
    <row r="7582" spans="1:12" x14ac:dyDescent="0.25">
      <c r="A7582"/>
      <c r="B7582"/>
      <c r="D7582"/>
      <c r="G7582"/>
      <c r="L7582"/>
    </row>
    <row r="7583" spans="1:12" x14ac:dyDescent="0.25">
      <c r="A7583"/>
      <c r="B7583"/>
      <c r="D7583"/>
      <c r="G7583"/>
      <c r="L7583"/>
    </row>
    <row r="7584" spans="1:12" x14ac:dyDescent="0.25">
      <c r="A7584"/>
      <c r="B7584"/>
      <c r="D7584"/>
      <c r="G7584"/>
      <c r="L7584"/>
    </row>
    <row r="7585" spans="1:12" x14ac:dyDescent="0.25">
      <c r="A7585"/>
      <c r="B7585"/>
      <c r="D7585"/>
      <c r="G7585"/>
      <c r="L7585"/>
    </row>
    <row r="7586" spans="1:12" x14ac:dyDescent="0.25">
      <c r="A7586"/>
      <c r="B7586"/>
      <c r="D7586"/>
      <c r="G7586"/>
      <c r="L7586"/>
    </row>
    <row r="7587" spans="1:12" x14ac:dyDescent="0.25">
      <c r="A7587"/>
      <c r="B7587"/>
      <c r="D7587"/>
      <c r="G7587"/>
      <c r="L7587"/>
    </row>
    <row r="7588" spans="1:12" x14ac:dyDescent="0.25">
      <c r="A7588"/>
      <c r="B7588"/>
      <c r="D7588"/>
      <c r="G7588"/>
      <c r="L7588"/>
    </row>
    <row r="7589" spans="1:12" x14ac:dyDescent="0.25">
      <c r="A7589"/>
      <c r="B7589"/>
      <c r="D7589"/>
      <c r="G7589"/>
      <c r="L7589"/>
    </row>
    <row r="7590" spans="1:12" x14ac:dyDescent="0.25">
      <c r="A7590"/>
      <c r="B7590"/>
      <c r="D7590"/>
      <c r="G7590"/>
      <c r="L7590"/>
    </row>
    <row r="7591" spans="1:12" x14ac:dyDescent="0.25">
      <c r="A7591"/>
      <c r="B7591"/>
      <c r="D7591"/>
      <c r="G7591"/>
      <c r="L7591"/>
    </row>
    <row r="7592" spans="1:12" x14ac:dyDescent="0.25">
      <c r="A7592"/>
      <c r="B7592"/>
      <c r="D7592"/>
      <c r="G7592"/>
      <c r="L7592"/>
    </row>
    <row r="7593" spans="1:12" x14ac:dyDescent="0.25">
      <c r="A7593"/>
      <c r="B7593"/>
      <c r="D7593"/>
      <c r="G7593"/>
      <c r="L7593"/>
    </row>
    <row r="7594" spans="1:12" x14ac:dyDescent="0.25">
      <c r="A7594"/>
      <c r="B7594"/>
      <c r="D7594"/>
      <c r="G7594"/>
      <c r="L7594"/>
    </row>
    <row r="7595" spans="1:12" x14ac:dyDescent="0.25">
      <c r="A7595"/>
      <c r="B7595"/>
      <c r="D7595"/>
      <c r="G7595"/>
      <c r="L7595"/>
    </row>
    <row r="7596" spans="1:12" x14ac:dyDescent="0.25">
      <c r="A7596"/>
      <c r="B7596"/>
      <c r="D7596"/>
      <c r="G7596"/>
      <c r="L7596"/>
    </row>
    <row r="7597" spans="1:12" x14ac:dyDescent="0.25">
      <c r="A7597"/>
      <c r="B7597"/>
      <c r="D7597"/>
      <c r="G7597"/>
      <c r="L7597"/>
    </row>
    <row r="7598" spans="1:12" x14ac:dyDescent="0.25">
      <c r="A7598"/>
      <c r="B7598"/>
      <c r="D7598"/>
      <c r="G7598"/>
      <c r="L7598"/>
    </row>
    <row r="7599" spans="1:12" x14ac:dyDescent="0.25">
      <c r="A7599"/>
      <c r="B7599"/>
      <c r="D7599"/>
      <c r="G7599"/>
      <c r="L7599"/>
    </row>
    <row r="7600" spans="1:12" x14ac:dyDescent="0.25">
      <c r="A7600"/>
      <c r="B7600"/>
      <c r="D7600"/>
      <c r="G7600"/>
      <c r="L7600"/>
    </row>
    <row r="7601" spans="1:12" x14ac:dyDescent="0.25">
      <c r="A7601"/>
      <c r="B7601"/>
      <c r="D7601"/>
      <c r="G7601"/>
      <c r="L7601"/>
    </row>
    <row r="7602" spans="1:12" x14ac:dyDescent="0.25">
      <c r="A7602"/>
      <c r="B7602"/>
      <c r="D7602"/>
      <c r="G7602"/>
      <c r="L7602"/>
    </row>
    <row r="7603" spans="1:12" x14ac:dyDescent="0.25">
      <c r="A7603"/>
      <c r="B7603"/>
      <c r="D7603"/>
      <c r="G7603"/>
      <c r="L7603"/>
    </row>
    <row r="7604" spans="1:12" x14ac:dyDescent="0.25">
      <c r="A7604"/>
      <c r="B7604"/>
      <c r="D7604"/>
      <c r="G7604"/>
      <c r="L7604"/>
    </row>
    <row r="7605" spans="1:12" x14ac:dyDescent="0.25">
      <c r="A7605"/>
      <c r="B7605"/>
      <c r="D7605"/>
      <c r="G7605"/>
      <c r="L7605"/>
    </row>
    <row r="7606" spans="1:12" x14ac:dyDescent="0.25">
      <c r="A7606"/>
      <c r="B7606"/>
      <c r="D7606"/>
      <c r="G7606"/>
      <c r="L7606"/>
    </row>
    <row r="7607" spans="1:12" x14ac:dyDescent="0.25">
      <c r="A7607"/>
      <c r="B7607"/>
      <c r="D7607"/>
      <c r="G7607"/>
      <c r="L7607"/>
    </row>
    <row r="7608" spans="1:12" x14ac:dyDescent="0.25">
      <c r="A7608"/>
      <c r="B7608"/>
      <c r="D7608"/>
      <c r="G7608"/>
      <c r="L7608"/>
    </row>
    <row r="7609" spans="1:12" x14ac:dyDescent="0.25">
      <c r="A7609"/>
      <c r="B7609"/>
      <c r="D7609"/>
      <c r="G7609"/>
      <c r="L7609"/>
    </row>
    <row r="7610" spans="1:12" x14ac:dyDescent="0.25">
      <c r="A7610"/>
      <c r="B7610"/>
      <c r="D7610"/>
      <c r="G7610"/>
      <c r="L7610"/>
    </row>
    <row r="7611" spans="1:12" x14ac:dyDescent="0.25">
      <c r="A7611"/>
      <c r="B7611"/>
      <c r="D7611"/>
      <c r="G7611"/>
      <c r="L7611"/>
    </row>
    <row r="7612" spans="1:12" x14ac:dyDescent="0.25">
      <c r="A7612"/>
      <c r="B7612"/>
      <c r="D7612"/>
      <c r="G7612"/>
      <c r="L7612"/>
    </row>
    <row r="7613" spans="1:12" x14ac:dyDescent="0.25">
      <c r="A7613"/>
      <c r="B7613"/>
      <c r="D7613"/>
      <c r="G7613"/>
      <c r="L7613"/>
    </row>
    <row r="7614" spans="1:12" x14ac:dyDescent="0.25">
      <c r="A7614"/>
      <c r="B7614"/>
      <c r="D7614"/>
      <c r="G7614"/>
      <c r="L7614"/>
    </row>
    <row r="7615" spans="1:12" x14ac:dyDescent="0.25">
      <c r="A7615"/>
      <c r="B7615"/>
      <c r="D7615"/>
      <c r="G7615"/>
      <c r="L7615"/>
    </row>
    <row r="7616" spans="1:12" x14ac:dyDescent="0.25">
      <c r="A7616"/>
      <c r="B7616"/>
      <c r="D7616"/>
      <c r="G7616"/>
      <c r="L7616"/>
    </row>
    <row r="7617" spans="1:12" x14ac:dyDescent="0.25">
      <c r="A7617"/>
      <c r="B7617"/>
      <c r="D7617"/>
      <c r="G7617"/>
      <c r="L7617"/>
    </row>
    <row r="7618" spans="1:12" x14ac:dyDescent="0.25">
      <c r="A7618"/>
      <c r="B7618"/>
      <c r="D7618"/>
      <c r="G7618"/>
      <c r="L7618"/>
    </row>
    <row r="7619" spans="1:12" x14ac:dyDescent="0.25">
      <c r="A7619"/>
      <c r="B7619"/>
      <c r="D7619"/>
      <c r="G7619"/>
      <c r="L7619"/>
    </row>
    <row r="7620" spans="1:12" x14ac:dyDescent="0.25">
      <c r="A7620"/>
      <c r="B7620"/>
      <c r="D7620"/>
      <c r="G7620"/>
      <c r="L7620"/>
    </row>
    <row r="7621" spans="1:12" x14ac:dyDescent="0.25">
      <c r="A7621"/>
      <c r="B7621"/>
      <c r="D7621"/>
      <c r="G7621"/>
      <c r="L7621"/>
    </row>
    <row r="7622" spans="1:12" x14ac:dyDescent="0.25">
      <c r="A7622"/>
      <c r="B7622"/>
      <c r="D7622"/>
      <c r="G7622"/>
      <c r="L7622"/>
    </row>
    <row r="7623" spans="1:12" x14ac:dyDescent="0.25">
      <c r="A7623"/>
      <c r="B7623"/>
      <c r="D7623"/>
      <c r="G7623"/>
      <c r="L7623"/>
    </row>
    <row r="7624" spans="1:12" x14ac:dyDescent="0.25">
      <c r="A7624"/>
      <c r="B7624"/>
      <c r="D7624"/>
      <c r="G7624"/>
      <c r="L7624"/>
    </row>
    <row r="7625" spans="1:12" x14ac:dyDescent="0.25">
      <c r="A7625"/>
      <c r="B7625"/>
      <c r="D7625"/>
      <c r="G7625"/>
      <c r="L7625"/>
    </row>
    <row r="7626" spans="1:12" x14ac:dyDescent="0.25">
      <c r="A7626"/>
      <c r="B7626"/>
      <c r="D7626"/>
      <c r="G7626"/>
      <c r="L7626"/>
    </row>
    <row r="7627" spans="1:12" x14ac:dyDescent="0.25">
      <c r="A7627"/>
      <c r="B7627"/>
      <c r="D7627"/>
      <c r="G7627"/>
      <c r="L7627"/>
    </row>
    <row r="7628" spans="1:12" x14ac:dyDescent="0.25">
      <c r="A7628"/>
      <c r="B7628"/>
      <c r="D7628"/>
      <c r="G7628"/>
      <c r="L7628"/>
    </row>
    <row r="7629" spans="1:12" x14ac:dyDescent="0.25">
      <c r="A7629"/>
      <c r="B7629"/>
      <c r="D7629"/>
      <c r="G7629"/>
      <c r="L7629"/>
    </row>
    <row r="7630" spans="1:12" x14ac:dyDescent="0.25">
      <c r="A7630"/>
      <c r="B7630"/>
      <c r="D7630"/>
      <c r="G7630"/>
      <c r="L7630"/>
    </row>
    <row r="7631" spans="1:12" x14ac:dyDescent="0.25">
      <c r="A7631"/>
      <c r="B7631"/>
      <c r="D7631"/>
      <c r="G7631"/>
      <c r="L7631"/>
    </row>
    <row r="7632" spans="1:12" x14ac:dyDescent="0.25">
      <c r="A7632"/>
      <c r="B7632"/>
      <c r="D7632"/>
      <c r="G7632"/>
      <c r="L7632"/>
    </row>
    <row r="7633" spans="1:12" x14ac:dyDescent="0.25">
      <c r="A7633"/>
      <c r="B7633"/>
      <c r="D7633"/>
      <c r="G7633"/>
      <c r="L7633"/>
    </row>
    <row r="7634" spans="1:12" x14ac:dyDescent="0.25">
      <c r="A7634"/>
      <c r="B7634"/>
      <c r="D7634"/>
      <c r="G7634"/>
      <c r="L7634"/>
    </row>
    <row r="7635" spans="1:12" x14ac:dyDescent="0.25">
      <c r="A7635"/>
      <c r="B7635"/>
      <c r="D7635"/>
      <c r="G7635"/>
      <c r="L7635"/>
    </row>
    <row r="7636" spans="1:12" x14ac:dyDescent="0.25">
      <c r="A7636"/>
      <c r="B7636"/>
      <c r="D7636"/>
      <c r="G7636"/>
      <c r="L7636"/>
    </row>
    <row r="7637" spans="1:12" x14ac:dyDescent="0.25">
      <c r="A7637"/>
      <c r="B7637"/>
      <c r="D7637"/>
      <c r="G7637"/>
      <c r="L7637"/>
    </row>
    <row r="7638" spans="1:12" x14ac:dyDescent="0.25">
      <c r="A7638"/>
      <c r="B7638"/>
      <c r="D7638"/>
      <c r="G7638"/>
      <c r="L7638"/>
    </row>
    <row r="7639" spans="1:12" x14ac:dyDescent="0.25">
      <c r="A7639"/>
      <c r="B7639"/>
      <c r="D7639"/>
      <c r="G7639"/>
      <c r="L7639"/>
    </row>
    <row r="7640" spans="1:12" x14ac:dyDescent="0.25">
      <c r="A7640"/>
      <c r="B7640"/>
      <c r="D7640"/>
      <c r="G7640"/>
      <c r="L7640"/>
    </row>
    <row r="7641" spans="1:12" x14ac:dyDescent="0.25">
      <c r="A7641"/>
      <c r="B7641"/>
      <c r="D7641"/>
      <c r="G7641"/>
      <c r="L7641"/>
    </row>
    <row r="7642" spans="1:12" x14ac:dyDescent="0.25">
      <c r="A7642"/>
      <c r="B7642"/>
      <c r="D7642"/>
      <c r="G7642"/>
      <c r="L7642"/>
    </row>
    <row r="7643" spans="1:12" x14ac:dyDescent="0.25">
      <c r="A7643"/>
      <c r="B7643"/>
      <c r="D7643"/>
      <c r="G7643"/>
      <c r="L7643"/>
    </row>
    <row r="7644" spans="1:12" x14ac:dyDescent="0.25">
      <c r="A7644"/>
      <c r="B7644"/>
      <c r="D7644"/>
      <c r="G7644"/>
      <c r="L7644"/>
    </row>
    <row r="7645" spans="1:12" x14ac:dyDescent="0.25">
      <c r="A7645"/>
      <c r="B7645"/>
      <c r="D7645"/>
      <c r="G7645"/>
      <c r="L7645"/>
    </row>
    <row r="7646" spans="1:12" x14ac:dyDescent="0.25">
      <c r="A7646"/>
      <c r="B7646"/>
      <c r="D7646"/>
      <c r="G7646"/>
      <c r="L7646"/>
    </row>
    <row r="7647" spans="1:12" x14ac:dyDescent="0.25">
      <c r="A7647"/>
      <c r="B7647"/>
      <c r="D7647"/>
      <c r="G7647"/>
      <c r="L7647"/>
    </row>
    <row r="7648" spans="1:12" x14ac:dyDescent="0.25">
      <c r="A7648"/>
      <c r="B7648"/>
      <c r="D7648"/>
      <c r="G7648"/>
      <c r="L7648"/>
    </row>
    <row r="7649" spans="1:12" x14ac:dyDescent="0.25">
      <c r="A7649"/>
      <c r="B7649"/>
      <c r="D7649"/>
      <c r="G7649"/>
      <c r="L7649"/>
    </row>
    <row r="7650" spans="1:12" x14ac:dyDescent="0.25">
      <c r="A7650"/>
      <c r="B7650"/>
      <c r="D7650"/>
      <c r="G7650"/>
      <c r="L7650"/>
    </row>
    <row r="7651" spans="1:12" x14ac:dyDescent="0.25">
      <c r="A7651"/>
      <c r="B7651"/>
      <c r="D7651"/>
      <c r="G7651"/>
      <c r="L7651"/>
    </row>
    <row r="7652" spans="1:12" x14ac:dyDescent="0.25">
      <c r="A7652"/>
      <c r="B7652"/>
      <c r="D7652"/>
      <c r="G7652"/>
      <c r="L7652"/>
    </row>
    <row r="7653" spans="1:12" x14ac:dyDescent="0.25">
      <c r="A7653"/>
      <c r="B7653"/>
      <c r="D7653"/>
      <c r="G7653"/>
      <c r="L7653"/>
    </row>
    <row r="7654" spans="1:12" x14ac:dyDescent="0.25">
      <c r="A7654"/>
      <c r="B7654"/>
      <c r="D7654"/>
      <c r="G7654"/>
      <c r="L7654"/>
    </row>
    <row r="7655" spans="1:12" x14ac:dyDescent="0.25">
      <c r="A7655"/>
      <c r="B7655"/>
      <c r="D7655"/>
      <c r="G7655"/>
      <c r="L7655"/>
    </row>
    <row r="7656" spans="1:12" x14ac:dyDescent="0.25">
      <c r="A7656"/>
      <c r="B7656"/>
      <c r="D7656"/>
      <c r="G7656"/>
      <c r="L7656"/>
    </row>
    <row r="7657" spans="1:12" x14ac:dyDescent="0.25">
      <c r="A7657"/>
      <c r="B7657"/>
      <c r="D7657"/>
      <c r="G7657"/>
      <c r="L7657"/>
    </row>
    <row r="7658" spans="1:12" x14ac:dyDescent="0.25">
      <c r="A7658"/>
      <c r="B7658"/>
      <c r="D7658"/>
      <c r="G7658"/>
      <c r="L7658"/>
    </row>
    <row r="7659" spans="1:12" x14ac:dyDescent="0.25">
      <c r="A7659"/>
      <c r="B7659"/>
      <c r="D7659"/>
      <c r="G7659"/>
      <c r="L7659"/>
    </row>
    <row r="7660" spans="1:12" x14ac:dyDescent="0.25">
      <c r="A7660"/>
      <c r="B7660"/>
      <c r="D7660"/>
      <c r="G7660"/>
      <c r="L7660"/>
    </row>
    <row r="7661" spans="1:12" x14ac:dyDescent="0.25">
      <c r="A7661"/>
      <c r="B7661"/>
      <c r="D7661"/>
      <c r="G7661"/>
      <c r="L7661"/>
    </row>
    <row r="7662" spans="1:12" x14ac:dyDescent="0.25">
      <c r="A7662"/>
      <c r="B7662"/>
      <c r="D7662"/>
      <c r="G7662"/>
      <c r="L7662"/>
    </row>
    <row r="7663" spans="1:12" x14ac:dyDescent="0.25">
      <c r="A7663"/>
      <c r="B7663"/>
      <c r="D7663"/>
      <c r="G7663"/>
      <c r="L7663"/>
    </row>
    <row r="7664" spans="1:12" x14ac:dyDescent="0.25">
      <c r="A7664"/>
      <c r="B7664"/>
      <c r="D7664"/>
      <c r="G7664"/>
      <c r="L7664"/>
    </row>
    <row r="7665" spans="1:12" x14ac:dyDescent="0.25">
      <c r="A7665"/>
      <c r="B7665"/>
      <c r="D7665"/>
      <c r="G7665"/>
      <c r="L7665"/>
    </row>
    <row r="7666" spans="1:12" x14ac:dyDescent="0.25">
      <c r="A7666"/>
      <c r="B7666"/>
      <c r="D7666"/>
      <c r="G7666"/>
      <c r="L7666"/>
    </row>
    <row r="7667" spans="1:12" x14ac:dyDescent="0.25">
      <c r="A7667"/>
      <c r="B7667"/>
      <c r="D7667"/>
      <c r="G7667"/>
      <c r="L7667"/>
    </row>
    <row r="7668" spans="1:12" x14ac:dyDescent="0.25">
      <c r="A7668"/>
      <c r="B7668"/>
      <c r="D7668"/>
      <c r="G7668"/>
      <c r="L7668"/>
    </row>
    <row r="7669" spans="1:12" x14ac:dyDescent="0.25">
      <c r="A7669"/>
      <c r="B7669"/>
      <c r="D7669"/>
      <c r="G7669"/>
      <c r="L7669"/>
    </row>
    <row r="7670" spans="1:12" x14ac:dyDescent="0.25">
      <c r="A7670"/>
      <c r="B7670"/>
      <c r="D7670"/>
      <c r="G7670"/>
      <c r="L7670"/>
    </row>
    <row r="7671" spans="1:12" x14ac:dyDescent="0.25">
      <c r="A7671"/>
      <c r="B7671"/>
      <c r="D7671"/>
      <c r="G7671"/>
      <c r="L7671"/>
    </row>
    <row r="7672" spans="1:12" x14ac:dyDescent="0.25">
      <c r="A7672"/>
      <c r="B7672"/>
      <c r="D7672"/>
      <c r="G7672"/>
      <c r="L7672"/>
    </row>
    <row r="7673" spans="1:12" x14ac:dyDescent="0.25">
      <c r="A7673"/>
      <c r="B7673"/>
      <c r="D7673"/>
      <c r="G7673"/>
      <c r="L7673"/>
    </row>
    <row r="7674" spans="1:12" x14ac:dyDescent="0.25">
      <c r="A7674"/>
      <c r="B7674"/>
      <c r="D7674"/>
      <c r="G7674"/>
      <c r="L7674"/>
    </row>
    <row r="7675" spans="1:12" x14ac:dyDescent="0.25">
      <c r="A7675"/>
      <c r="B7675"/>
      <c r="D7675"/>
      <c r="G7675"/>
      <c r="L7675"/>
    </row>
    <row r="7676" spans="1:12" x14ac:dyDescent="0.25">
      <c r="A7676"/>
      <c r="B7676"/>
      <c r="D7676"/>
      <c r="G7676"/>
      <c r="L7676"/>
    </row>
    <row r="7677" spans="1:12" x14ac:dyDescent="0.25">
      <c r="A7677"/>
      <c r="B7677"/>
      <c r="D7677"/>
      <c r="G7677"/>
      <c r="L7677"/>
    </row>
    <row r="7678" spans="1:12" x14ac:dyDescent="0.25">
      <c r="A7678"/>
      <c r="B7678"/>
      <c r="D7678"/>
      <c r="G7678"/>
      <c r="L7678"/>
    </row>
    <row r="7679" spans="1:12" x14ac:dyDescent="0.25">
      <c r="A7679"/>
      <c r="B7679"/>
      <c r="D7679"/>
      <c r="G7679"/>
      <c r="L7679"/>
    </row>
    <row r="7680" spans="1:12" x14ac:dyDescent="0.25">
      <c r="A7680"/>
      <c r="B7680"/>
      <c r="D7680"/>
      <c r="G7680"/>
      <c r="L7680"/>
    </row>
    <row r="7681" spans="1:12" x14ac:dyDescent="0.25">
      <c r="A7681"/>
      <c r="B7681"/>
      <c r="D7681"/>
      <c r="G7681"/>
      <c r="L7681"/>
    </row>
    <row r="7682" spans="1:12" x14ac:dyDescent="0.25">
      <c r="A7682"/>
      <c r="B7682"/>
      <c r="D7682"/>
      <c r="G7682"/>
      <c r="L7682"/>
    </row>
    <row r="7683" spans="1:12" x14ac:dyDescent="0.25">
      <c r="A7683"/>
      <c r="B7683"/>
      <c r="D7683"/>
      <c r="G7683"/>
      <c r="L7683"/>
    </row>
    <row r="7684" spans="1:12" x14ac:dyDescent="0.25">
      <c r="A7684"/>
      <c r="B7684"/>
      <c r="D7684"/>
      <c r="G7684"/>
      <c r="L7684"/>
    </row>
    <row r="7685" spans="1:12" x14ac:dyDescent="0.25">
      <c r="A7685"/>
      <c r="B7685"/>
      <c r="D7685"/>
      <c r="G7685"/>
      <c r="L7685"/>
    </row>
    <row r="7686" spans="1:12" x14ac:dyDescent="0.25">
      <c r="A7686"/>
      <c r="B7686"/>
      <c r="D7686"/>
      <c r="G7686"/>
      <c r="L7686"/>
    </row>
    <row r="7687" spans="1:12" x14ac:dyDescent="0.25">
      <c r="A7687"/>
      <c r="B7687"/>
      <c r="D7687"/>
      <c r="G7687"/>
      <c r="L7687"/>
    </row>
    <row r="7688" spans="1:12" x14ac:dyDescent="0.25">
      <c r="A7688"/>
      <c r="B7688"/>
      <c r="D7688"/>
      <c r="G7688"/>
      <c r="L7688"/>
    </row>
    <row r="7689" spans="1:12" x14ac:dyDescent="0.25">
      <c r="A7689"/>
      <c r="B7689"/>
      <c r="D7689"/>
      <c r="G7689"/>
      <c r="L7689"/>
    </row>
    <row r="7690" spans="1:12" x14ac:dyDescent="0.25">
      <c r="A7690"/>
      <c r="B7690"/>
      <c r="D7690"/>
      <c r="G7690"/>
      <c r="L7690"/>
    </row>
    <row r="7691" spans="1:12" x14ac:dyDescent="0.25">
      <c r="A7691"/>
      <c r="B7691"/>
      <c r="D7691"/>
      <c r="G7691"/>
      <c r="L7691"/>
    </row>
    <row r="7692" spans="1:12" x14ac:dyDescent="0.25">
      <c r="A7692"/>
      <c r="B7692"/>
      <c r="D7692"/>
      <c r="G7692"/>
      <c r="L7692"/>
    </row>
    <row r="7693" spans="1:12" x14ac:dyDescent="0.25">
      <c r="A7693"/>
      <c r="B7693"/>
      <c r="D7693"/>
      <c r="G7693"/>
      <c r="L7693"/>
    </row>
    <row r="7694" spans="1:12" x14ac:dyDescent="0.25">
      <c r="A7694"/>
      <c r="B7694"/>
      <c r="D7694"/>
      <c r="G7694"/>
      <c r="L7694"/>
    </row>
    <row r="7695" spans="1:12" x14ac:dyDescent="0.25">
      <c r="A7695"/>
      <c r="B7695"/>
      <c r="D7695"/>
      <c r="G7695"/>
      <c r="L7695"/>
    </row>
    <row r="7696" spans="1:12" x14ac:dyDescent="0.25">
      <c r="A7696"/>
      <c r="B7696"/>
      <c r="D7696"/>
      <c r="G7696"/>
      <c r="L7696"/>
    </row>
    <row r="7697" spans="1:12" x14ac:dyDescent="0.25">
      <c r="A7697"/>
      <c r="B7697"/>
      <c r="D7697"/>
      <c r="G7697"/>
      <c r="L7697"/>
    </row>
    <row r="7698" spans="1:12" x14ac:dyDescent="0.25">
      <c r="A7698"/>
      <c r="B7698"/>
      <c r="D7698"/>
      <c r="G7698"/>
      <c r="L7698"/>
    </row>
    <row r="7699" spans="1:12" x14ac:dyDescent="0.25">
      <c r="A7699"/>
      <c r="B7699"/>
      <c r="D7699"/>
      <c r="G7699"/>
      <c r="L7699"/>
    </row>
    <row r="7700" spans="1:12" x14ac:dyDescent="0.25">
      <c r="A7700"/>
      <c r="B7700"/>
      <c r="D7700"/>
      <c r="G7700"/>
      <c r="L7700"/>
    </row>
    <row r="7701" spans="1:12" x14ac:dyDescent="0.25">
      <c r="A7701"/>
      <c r="B7701"/>
      <c r="D7701"/>
      <c r="G7701"/>
      <c r="L7701"/>
    </row>
    <row r="7702" spans="1:12" x14ac:dyDescent="0.25">
      <c r="A7702"/>
      <c r="B7702"/>
      <c r="D7702"/>
      <c r="G7702"/>
      <c r="L7702"/>
    </row>
    <row r="7703" spans="1:12" x14ac:dyDescent="0.25">
      <c r="A7703"/>
      <c r="B7703"/>
      <c r="D7703"/>
      <c r="G7703"/>
      <c r="L7703"/>
    </row>
    <row r="7704" spans="1:12" x14ac:dyDescent="0.25">
      <c r="A7704"/>
      <c r="B7704"/>
      <c r="D7704"/>
      <c r="G7704"/>
      <c r="L7704"/>
    </row>
    <row r="7705" spans="1:12" x14ac:dyDescent="0.25">
      <c r="A7705"/>
      <c r="B7705"/>
      <c r="D7705"/>
      <c r="G7705"/>
      <c r="L7705"/>
    </row>
    <row r="7706" spans="1:12" x14ac:dyDescent="0.25">
      <c r="A7706"/>
      <c r="B7706"/>
      <c r="D7706"/>
      <c r="G7706"/>
      <c r="L7706"/>
    </row>
    <row r="7707" spans="1:12" x14ac:dyDescent="0.25">
      <c r="A7707"/>
      <c r="B7707"/>
      <c r="D7707"/>
      <c r="G7707"/>
      <c r="L7707"/>
    </row>
    <row r="7708" spans="1:12" x14ac:dyDescent="0.25">
      <c r="A7708"/>
      <c r="B7708"/>
      <c r="D7708"/>
      <c r="G7708"/>
      <c r="L7708"/>
    </row>
    <row r="7709" spans="1:12" x14ac:dyDescent="0.25">
      <c r="A7709"/>
      <c r="B7709"/>
      <c r="D7709"/>
      <c r="G7709"/>
      <c r="L7709"/>
    </row>
    <row r="7710" spans="1:12" x14ac:dyDescent="0.25">
      <c r="A7710"/>
      <c r="B7710"/>
      <c r="D7710"/>
      <c r="G7710"/>
      <c r="L7710"/>
    </row>
    <row r="7711" spans="1:12" x14ac:dyDescent="0.25">
      <c r="A7711"/>
      <c r="B7711"/>
      <c r="D7711"/>
      <c r="G7711"/>
      <c r="L7711"/>
    </row>
    <row r="7712" spans="1:12" x14ac:dyDescent="0.25">
      <c r="A7712"/>
      <c r="B7712"/>
      <c r="D7712"/>
      <c r="G7712"/>
      <c r="L7712"/>
    </row>
    <row r="7713" spans="1:12" x14ac:dyDescent="0.25">
      <c r="A7713"/>
      <c r="B7713"/>
      <c r="D7713"/>
      <c r="G7713"/>
      <c r="L7713"/>
    </row>
    <row r="7714" spans="1:12" x14ac:dyDescent="0.25">
      <c r="A7714"/>
      <c r="B7714"/>
      <c r="D7714"/>
      <c r="G7714"/>
      <c r="L7714"/>
    </row>
    <row r="7715" spans="1:12" x14ac:dyDescent="0.25">
      <c r="A7715"/>
      <c r="B7715"/>
      <c r="D7715"/>
      <c r="G7715"/>
      <c r="L7715"/>
    </row>
    <row r="7716" spans="1:12" x14ac:dyDescent="0.25">
      <c r="A7716"/>
      <c r="B7716"/>
      <c r="D7716"/>
      <c r="G7716"/>
      <c r="L7716"/>
    </row>
    <row r="7717" spans="1:12" x14ac:dyDescent="0.25">
      <c r="A7717"/>
      <c r="B7717"/>
      <c r="D7717"/>
      <c r="G7717"/>
      <c r="L7717"/>
    </row>
    <row r="7718" spans="1:12" x14ac:dyDescent="0.25">
      <c r="A7718"/>
      <c r="B7718"/>
      <c r="D7718"/>
      <c r="G7718"/>
      <c r="L7718"/>
    </row>
    <row r="7719" spans="1:12" x14ac:dyDescent="0.25">
      <c r="A7719"/>
      <c r="B7719"/>
      <c r="D7719"/>
      <c r="G7719"/>
      <c r="L7719"/>
    </row>
    <row r="7720" spans="1:12" x14ac:dyDescent="0.25">
      <c r="A7720"/>
      <c r="B7720"/>
      <c r="D7720"/>
      <c r="G7720"/>
      <c r="L7720"/>
    </row>
    <row r="7721" spans="1:12" x14ac:dyDescent="0.25">
      <c r="A7721"/>
      <c r="B7721"/>
      <c r="D7721"/>
      <c r="G7721"/>
      <c r="L7721"/>
    </row>
    <row r="7722" spans="1:12" x14ac:dyDescent="0.25">
      <c r="A7722"/>
      <c r="B7722"/>
      <c r="D7722"/>
      <c r="G7722"/>
      <c r="L7722"/>
    </row>
    <row r="7723" spans="1:12" x14ac:dyDescent="0.25">
      <c r="A7723"/>
      <c r="B7723"/>
      <c r="D7723"/>
      <c r="G7723"/>
      <c r="L7723"/>
    </row>
    <row r="7724" spans="1:12" x14ac:dyDescent="0.25">
      <c r="A7724"/>
      <c r="B7724"/>
      <c r="D7724"/>
      <c r="G7724"/>
      <c r="L7724"/>
    </row>
    <row r="7725" spans="1:12" x14ac:dyDescent="0.25">
      <c r="A7725"/>
      <c r="B7725"/>
      <c r="D7725"/>
      <c r="G7725"/>
      <c r="L7725"/>
    </row>
    <row r="7726" spans="1:12" x14ac:dyDescent="0.25">
      <c r="A7726"/>
      <c r="B7726"/>
      <c r="D7726"/>
      <c r="G7726"/>
      <c r="L7726"/>
    </row>
    <row r="7727" spans="1:12" x14ac:dyDescent="0.25">
      <c r="A7727"/>
      <c r="B7727"/>
      <c r="D7727"/>
      <c r="G7727"/>
      <c r="L7727"/>
    </row>
    <row r="7728" spans="1:12" x14ac:dyDescent="0.25">
      <c r="A7728"/>
      <c r="B7728"/>
      <c r="D7728"/>
      <c r="G7728"/>
      <c r="L7728"/>
    </row>
    <row r="7729" spans="1:12" x14ac:dyDescent="0.25">
      <c r="A7729"/>
      <c r="B7729"/>
      <c r="D7729"/>
      <c r="G7729"/>
      <c r="L7729"/>
    </row>
    <row r="7730" spans="1:12" x14ac:dyDescent="0.25">
      <c r="A7730"/>
      <c r="B7730"/>
      <c r="D7730"/>
      <c r="G7730"/>
      <c r="L7730"/>
    </row>
    <row r="7731" spans="1:12" x14ac:dyDescent="0.25">
      <c r="A7731"/>
      <c r="B7731"/>
      <c r="D7731"/>
      <c r="G7731"/>
      <c r="L7731"/>
    </row>
    <row r="7732" spans="1:12" x14ac:dyDescent="0.25">
      <c r="A7732"/>
      <c r="B7732"/>
      <c r="D7732"/>
      <c r="G7732"/>
      <c r="L7732"/>
    </row>
    <row r="7733" spans="1:12" x14ac:dyDescent="0.25">
      <c r="A7733"/>
      <c r="B7733"/>
      <c r="D7733"/>
      <c r="G7733"/>
      <c r="L7733"/>
    </row>
    <row r="7734" spans="1:12" x14ac:dyDescent="0.25">
      <c r="A7734"/>
      <c r="B7734"/>
      <c r="D7734"/>
      <c r="G7734"/>
      <c r="L7734"/>
    </row>
    <row r="7735" spans="1:12" x14ac:dyDescent="0.25">
      <c r="A7735"/>
      <c r="B7735"/>
      <c r="D7735"/>
      <c r="G7735"/>
      <c r="L7735"/>
    </row>
    <row r="7736" spans="1:12" x14ac:dyDescent="0.25">
      <c r="A7736"/>
      <c r="B7736"/>
      <c r="D7736"/>
      <c r="G7736"/>
      <c r="L7736"/>
    </row>
    <row r="7737" spans="1:12" x14ac:dyDescent="0.25">
      <c r="A7737"/>
      <c r="B7737"/>
      <c r="D7737"/>
      <c r="G7737"/>
      <c r="L7737"/>
    </row>
    <row r="7738" spans="1:12" x14ac:dyDescent="0.25">
      <c r="A7738"/>
      <c r="B7738"/>
      <c r="D7738"/>
      <c r="G7738"/>
      <c r="L7738"/>
    </row>
    <row r="7739" spans="1:12" x14ac:dyDescent="0.25">
      <c r="A7739"/>
      <c r="B7739"/>
      <c r="D7739"/>
      <c r="G7739"/>
      <c r="L7739"/>
    </row>
    <row r="7740" spans="1:12" x14ac:dyDescent="0.25">
      <c r="A7740"/>
      <c r="B7740"/>
      <c r="D7740"/>
      <c r="G7740"/>
      <c r="L7740"/>
    </row>
    <row r="7741" spans="1:12" x14ac:dyDescent="0.25">
      <c r="A7741"/>
      <c r="B7741"/>
      <c r="D7741"/>
      <c r="G7741"/>
      <c r="L7741"/>
    </row>
    <row r="7742" spans="1:12" x14ac:dyDescent="0.25">
      <c r="A7742"/>
      <c r="B7742"/>
      <c r="D7742"/>
      <c r="G7742"/>
      <c r="L7742"/>
    </row>
    <row r="7743" spans="1:12" x14ac:dyDescent="0.25">
      <c r="A7743"/>
      <c r="B7743"/>
      <c r="D7743"/>
      <c r="G7743"/>
      <c r="L7743"/>
    </row>
    <row r="7744" spans="1:12" x14ac:dyDescent="0.25">
      <c r="A7744"/>
      <c r="B7744"/>
      <c r="D7744"/>
      <c r="G7744"/>
      <c r="L7744"/>
    </row>
    <row r="7745" spans="1:12" x14ac:dyDescent="0.25">
      <c r="A7745"/>
      <c r="B7745"/>
      <c r="D7745"/>
      <c r="G7745"/>
      <c r="L7745"/>
    </row>
    <row r="7746" spans="1:12" x14ac:dyDescent="0.25">
      <c r="A7746"/>
      <c r="B7746"/>
      <c r="D7746"/>
      <c r="G7746"/>
      <c r="L7746"/>
    </row>
    <row r="7747" spans="1:12" x14ac:dyDescent="0.25">
      <c r="A7747"/>
      <c r="B7747"/>
      <c r="D7747"/>
      <c r="G7747"/>
      <c r="L7747"/>
    </row>
    <row r="7748" spans="1:12" x14ac:dyDescent="0.25">
      <c r="A7748"/>
      <c r="B7748"/>
      <c r="D7748"/>
      <c r="G7748"/>
      <c r="L7748"/>
    </row>
    <row r="7749" spans="1:12" x14ac:dyDescent="0.25">
      <c r="A7749"/>
      <c r="B7749"/>
      <c r="D7749"/>
      <c r="G7749"/>
      <c r="L7749"/>
    </row>
    <row r="7750" spans="1:12" x14ac:dyDescent="0.25">
      <c r="A7750"/>
      <c r="B7750"/>
      <c r="D7750"/>
      <c r="G7750"/>
      <c r="L7750"/>
    </row>
    <row r="7751" spans="1:12" x14ac:dyDescent="0.25">
      <c r="A7751"/>
      <c r="B7751"/>
      <c r="D7751"/>
      <c r="G7751"/>
      <c r="L7751"/>
    </row>
    <row r="7752" spans="1:12" x14ac:dyDescent="0.25">
      <c r="A7752"/>
      <c r="B7752"/>
      <c r="D7752"/>
      <c r="G7752"/>
      <c r="L7752"/>
    </row>
    <row r="7753" spans="1:12" x14ac:dyDescent="0.25">
      <c r="A7753"/>
      <c r="B7753"/>
      <c r="D7753"/>
      <c r="G7753"/>
      <c r="L7753"/>
    </row>
    <row r="7754" spans="1:12" x14ac:dyDescent="0.25">
      <c r="A7754"/>
      <c r="B7754"/>
      <c r="D7754"/>
      <c r="G7754"/>
      <c r="L7754"/>
    </row>
    <row r="7755" spans="1:12" x14ac:dyDescent="0.25">
      <c r="A7755"/>
      <c r="B7755"/>
      <c r="D7755"/>
      <c r="G7755"/>
      <c r="L7755"/>
    </row>
    <row r="7756" spans="1:12" x14ac:dyDescent="0.25">
      <c r="A7756"/>
      <c r="B7756"/>
      <c r="D7756"/>
      <c r="G7756"/>
      <c r="L7756"/>
    </row>
    <row r="7757" spans="1:12" x14ac:dyDescent="0.25">
      <c r="A7757"/>
      <c r="B7757"/>
      <c r="D7757"/>
      <c r="G7757"/>
      <c r="L7757"/>
    </row>
    <row r="7758" spans="1:12" x14ac:dyDescent="0.25">
      <c r="A7758"/>
      <c r="B7758"/>
      <c r="D7758"/>
      <c r="G7758"/>
      <c r="L7758"/>
    </row>
    <row r="7759" spans="1:12" x14ac:dyDescent="0.25">
      <c r="A7759"/>
      <c r="B7759"/>
      <c r="D7759"/>
      <c r="G7759"/>
      <c r="L7759"/>
    </row>
    <row r="7760" spans="1:12" x14ac:dyDescent="0.25">
      <c r="A7760"/>
      <c r="B7760"/>
      <c r="D7760"/>
      <c r="G7760"/>
      <c r="L7760"/>
    </row>
    <row r="7761" spans="1:12" x14ac:dyDescent="0.25">
      <c r="A7761"/>
      <c r="B7761"/>
      <c r="D7761"/>
      <c r="G7761"/>
      <c r="L7761"/>
    </row>
    <row r="7762" spans="1:12" x14ac:dyDescent="0.25">
      <c r="A7762"/>
      <c r="B7762"/>
      <c r="D7762"/>
      <c r="G7762"/>
      <c r="L7762"/>
    </row>
    <row r="7763" spans="1:12" x14ac:dyDescent="0.25">
      <c r="A7763"/>
      <c r="B7763"/>
      <c r="D7763"/>
      <c r="G7763"/>
      <c r="L7763"/>
    </row>
    <row r="7764" spans="1:12" x14ac:dyDescent="0.25">
      <c r="A7764"/>
      <c r="B7764"/>
      <c r="D7764"/>
      <c r="G7764"/>
      <c r="L7764"/>
    </row>
    <row r="7765" spans="1:12" x14ac:dyDescent="0.25">
      <c r="A7765"/>
      <c r="B7765"/>
      <c r="D7765"/>
      <c r="G7765"/>
      <c r="L7765"/>
    </row>
    <row r="7766" spans="1:12" x14ac:dyDescent="0.25">
      <c r="A7766"/>
      <c r="B7766"/>
      <c r="D7766"/>
      <c r="G7766"/>
      <c r="L7766"/>
    </row>
    <row r="7767" spans="1:12" x14ac:dyDescent="0.25">
      <c r="A7767"/>
      <c r="B7767"/>
      <c r="D7767"/>
      <c r="G7767"/>
      <c r="L7767"/>
    </row>
    <row r="7768" spans="1:12" x14ac:dyDescent="0.25">
      <c r="A7768"/>
      <c r="B7768"/>
      <c r="D7768"/>
      <c r="G7768"/>
      <c r="L7768"/>
    </row>
    <row r="7769" spans="1:12" x14ac:dyDescent="0.25">
      <c r="A7769"/>
      <c r="B7769"/>
      <c r="D7769"/>
      <c r="G7769"/>
      <c r="L7769"/>
    </row>
    <row r="7770" spans="1:12" x14ac:dyDescent="0.25">
      <c r="A7770"/>
      <c r="B7770"/>
      <c r="D7770"/>
      <c r="G7770"/>
      <c r="L7770"/>
    </row>
    <row r="7771" spans="1:12" x14ac:dyDescent="0.25">
      <c r="A7771"/>
      <c r="B7771"/>
      <c r="D7771"/>
      <c r="G7771"/>
      <c r="L7771"/>
    </row>
    <row r="7772" spans="1:12" x14ac:dyDescent="0.25">
      <c r="A7772"/>
      <c r="B7772"/>
      <c r="D7772"/>
      <c r="G7772"/>
      <c r="L7772"/>
    </row>
    <row r="7773" spans="1:12" x14ac:dyDescent="0.25">
      <c r="A7773"/>
      <c r="B7773"/>
      <c r="D7773"/>
      <c r="G7773"/>
      <c r="L7773"/>
    </row>
    <row r="7774" spans="1:12" x14ac:dyDescent="0.25">
      <c r="A7774"/>
      <c r="B7774"/>
      <c r="D7774"/>
      <c r="G7774"/>
      <c r="L7774"/>
    </row>
    <row r="7775" spans="1:12" x14ac:dyDescent="0.25">
      <c r="A7775"/>
      <c r="B7775"/>
      <c r="D7775"/>
      <c r="G7775"/>
      <c r="L7775"/>
    </row>
    <row r="7776" spans="1:12" x14ac:dyDescent="0.25">
      <c r="A7776"/>
      <c r="B7776"/>
      <c r="D7776"/>
      <c r="G7776"/>
      <c r="L7776"/>
    </row>
    <row r="7777" spans="1:12" x14ac:dyDescent="0.25">
      <c r="A7777"/>
      <c r="B7777"/>
      <c r="D7777"/>
      <c r="G7777"/>
      <c r="L7777"/>
    </row>
    <row r="7778" spans="1:12" x14ac:dyDescent="0.25">
      <c r="A7778"/>
      <c r="B7778"/>
      <c r="D7778"/>
      <c r="G7778"/>
      <c r="L7778"/>
    </row>
    <row r="7779" spans="1:12" x14ac:dyDescent="0.25">
      <c r="A7779"/>
      <c r="B7779"/>
      <c r="D7779"/>
      <c r="G7779"/>
      <c r="L7779"/>
    </row>
    <row r="7780" spans="1:12" x14ac:dyDescent="0.25">
      <c r="A7780"/>
      <c r="B7780"/>
      <c r="D7780"/>
      <c r="G7780"/>
      <c r="L7780"/>
    </row>
    <row r="7781" spans="1:12" x14ac:dyDescent="0.25">
      <c r="A7781"/>
      <c r="B7781"/>
      <c r="D7781"/>
      <c r="G7781"/>
      <c r="L7781"/>
    </row>
    <row r="7782" spans="1:12" x14ac:dyDescent="0.25">
      <c r="A7782"/>
      <c r="B7782"/>
      <c r="D7782"/>
      <c r="G7782"/>
      <c r="L7782"/>
    </row>
    <row r="7783" spans="1:12" x14ac:dyDescent="0.25">
      <c r="A7783"/>
      <c r="B7783"/>
      <c r="D7783"/>
      <c r="G7783"/>
      <c r="L7783"/>
    </row>
    <row r="7784" spans="1:12" x14ac:dyDescent="0.25">
      <c r="A7784"/>
      <c r="B7784"/>
      <c r="D7784"/>
      <c r="G7784"/>
      <c r="L7784"/>
    </row>
    <row r="7785" spans="1:12" x14ac:dyDescent="0.25">
      <c r="A7785"/>
      <c r="B7785"/>
      <c r="D7785"/>
      <c r="G7785"/>
      <c r="L7785"/>
    </row>
    <row r="7786" spans="1:12" x14ac:dyDescent="0.25">
      <c r="A7786"/>
      <c r="B7786"/>
      <c r="D7786"/>
      <c r="G7786"/>
      <c r="L7786"/>
    </row>
    <row r="7787" spans="1:12" x14ac:dyDescent="0.25">
      <c r="A7787"/>
      <c r="B7787"/>
      <c r="D7787"/>
      <c r="G7787"/>
      <c r="L7787"/>
    </row>
    <row r="7788" spans="1:12" x14ac:dyDescent="0.25">
      <c r="A7788"/>
      <c r="B7788"/>
      <c r="D7788"/>
      <c r="G7788"/>
      <c r="L7788"/>
    </row>
    <row r="7789" spans="1:12" x14ac:dyDescent="0.25">
      <c r="A7789"/>
      <c r="B7789"/>
      <c r="D7789"/>
      <c r="G7789"/>
      <c r="L7789"/>
    </row>
    <row r="7790" spans="1:12" x14ac:dyDescent="0.25">
      <c r="A7790"/>
      <c r="B7790"/>
      <c r="D7790"/>
      <c r="G7790"/>
      <c r="L7790"/>
    </row>
    <row r="7791" spans="1:12" x14ac:dyDescent="0.25">
      <c r="A7791"/>
      <c r="B7791"/>
      <c r="D7791"/>
      <c r="G7791"/>
      <c r="L7791"/>
    </row>
    <row r="7792" spans="1:12" x14ac:dyDescent="0.25">
      <c r="A7792"/>
      <c r="B7792"/>
      <c r="D7792"/>
      <c r="G7792"/>
      <c r="L7792"/>
    </row>
    <row r="7793" spans="1:12" x14ac:dyDescent="0.25">
      <c r="A7793"/>
      <c r="B7793"/>
      <c r="D7793"/>
      <c r="G7793"/>
      <c r="L7793"/>
    </row>
    <row r="7794" spans="1:12" x14ac:dyDescent="0.25">
      <c r="A7794"/>
      <c r="B7794"/>
      <c r="D7794"/>
      <c r="G7794"/>
      <c r="L7794"/>
    </row>
    <row r="7795" spans="1:12" x14ac:dyDescent="0.25">
      <c r="A7795"/>
      <c r="B7795"/>
      <c r="D7795"/>
      <c r="G7795"/>
      <c r="L7795"/>
    </row>
    <row r="7796" spans="1:12" x14ac:dyDescent="0.25">
      <c r="A7796"/>
      <c r="B7796"/>
      <c r="D7796"/>
      <c r="G7796"/>
      <c r="L7796"/>
    </row>
    <row r="7797" spans="1:12" x14ac:dyDescent="0.25">
      <c r="A7797"/>
      <c r="B7797"/>
      <c r="D7797"/>
      <c r="G7797"/>
      <c r="L7797"/>
    </row>
    <row r="7798" spans="1:12" x14ac:dyDescent="0.25">
      <c r="A7798"/>
      <c r="B7798"/>
      <c r="D7798"/>
      <c r="G7798"/>
      <c r="L7798"/>
    </row>
    <row r="7799" spans="1:12" x14ac:dyDescent="0.25">
      <c r="A7799"/>
      <c r="B7799"/>
      <c r="D7799"/>
      <c r="G7799"/>
      <c r="L7799"/>
    </row>
    <row r="7800" spans="1:12" x14ac:dyDescent="0.25">
      <c r="A7800"/>
      <c r="B7800"/>
      <c r="D7800"/>
      <c r="G7800"/>
      <c r="L7800"/>
    </row>
    <row r="7801" spans="1:12" x14ac:dyDescent="0.25">
      <c r="A7801"/>
      <c r="B7801"/>
      <c r="D7801"/>
      <c r="G7801"/>
      <c r="L7801"/>
    </row>
    <row r="7802" spans="1:12" x14ac:dyDescent="0.25">
      <c r="A7802"/>
      <c r="B7802"/>
      <c r="D7802"/>
      <c r="G7802"/>
      <c r="L7802"/>
    </row>
    <row r="7803" spans="1:12" x14ac:dyDescent="0.25">
      <c r="A7803"/>
      <c r="B7803"/>
      <c r="D7803"/>
      <c r="G7803"/>
      <c r="L7803"/>
    </row>
    <row r="7804" spans="1:12" x14ac:dyDescent="0.25">
      <c r="A7804"/>
      <c r="B7804"/>
      <c r="D7804"/>
      <c r="G7804"/>
      <c r="L7804"/>
    </row>
    <row r="7805" spans="1:12" x14ac:dyDescent="0.25">
      <c r="A7805"/>
      <c r="B7805"/>
      <c r="D7805"/>
      <c r="G7805"/>
      <c r="L7805"/>
    </row>
    <row r="7806" spans="1:12" x14ac:dyDescent="0.25">
      <c r="A7806"/>
      <c r="B7806"/>
      <c r="D7806"/>
      <c r="G7806"/>
      <c r="L7806"/>
    </row>
    <row r="7807" spans="1:12" x14ac:dyDescent="0.25">
      <c r="A7807"/>
      <c r="B7807"/>
      <c r="D7807"/>
      <c r="G7807"/>
      <c r="L7807"/>
    </row>
    <row r="7808" spans="1:12" x14ac:dyDescent="0.25">
      <c r="A7808"/>
      <c r="B7808"/>
      <c r="D7808"/>
      <c r="G7808"/>
      <c r="L7808"/>
    </row>
    <row r="7809" spans="1:12" x14ac:dyDescent="0.25">
      <c r="A7809"/>
      <c r="B7809"/>
      <c r="D7809"/>
      <c r="G7809"/>
      <c r="L7809"/>
    </row>
    <row r="7810" spans="1:12" x14ac:dyDescent="0.25">
      <c r="A7810"/>
      <c r="B7810"/>
      <c r="D7810"/>
      <c r="G7810"/>
      <c r="L7810"/>
    </row>
    <row r="7811" spans="1:12" x14ac:dyDescent="0.25">
      <c r="A7811"/>
      <c r="B7811"/>
      <c r="D7811"/>
      <c r="G7811"/>
      <c r="L7811"/>
    </row>
    <row r="7812" spans="1:12" x14ac:dyDescent="0.25">
      <c r="A7812"/>
      <c r="B7812"/>
      <c r="D7812"/>
      <c r="G7812"/>
      <c r="L7812"/>
    </row>
    <row r="7813" spans="1:12" x14ac:dyDescent="0.25">
      <c r="A7813"/>
      <c r="B7813"/>
      <c r="D7813"/>
      <c r="G7813"/>
      <c r="L7813"/>
    </row>
    <row r="7814" spans="1:12" x14ac:dyDescent="0.25">
      <c r="A7814"/>
      <c r="B7814"/>
      <c r="D7814"/>
      <c r="G7814"/>
      <c r="L7814"/>
    </row>
    <row r="7815" spans="1:12" x14ac:dyDescent="0.25">
      <c r="A7815"/>
      <c r="B7815"/>
      <c r="D7815"/>
      <c r="G7815"/>
      <c r="L7815"/>
    </row>
    <row r="7816" spans="1:12" x14ac:dyDescent="0.25">
      <c r="A7816"/>
      <c r="B7816"/>
      <c r="D7816"/>
      <c r="G7816"/>
      <c r="L7816"/>
    </row>
    <row r="7817" spans="1:12" x14ac:dyDescent="0.25">
      <c r="A7817"/>
      <c r="B7817"/>
      <c r="D7817"/>
      <c r="G7817"/>
      <c r="L7817"/>
    </row>
    <row r="7818" spans="1:12" x14ac:dyDescent="0.25">
      <c r="A7818"/>
      <c r="B7818"/>
      <c r="D7818"/>
      <c r="G7818"/>
      <c r="L7818"/>
    </row>
    <row r="7819" spans="1:12" x14ac:dyDescent="0.25">
      <c r="A7819"/>
      <c r="B7819"/>
      <c r="D7819"/>
      <c r="G7819"/>
      <c r="L7819"/>
    </row>
    <row r="7820" spans="1:12" x14ac:dyDescent="0.25">
      <c r="A7820"/>
      <c r="B7820"/>
      <c r="D7820"/>
      <c r="G7820"/>
      <c r="L7820"/>
    </row>
    <row r="7821" spans="1:12" x14ac:dyDescent="0.25">
      <c r="A7821"/>
      <c r="B7821"/>
      <c r="D7821"/>
      <c r="G7821"/>
      <c r="L7821"/>
    </row>
    <row r="7822" spans="1:12" x14ac:dyDescent="0.25">
      <c r="A7822"/>
      <c r="B7822"/>
      <c r="D7822"/>
      <c r="G7822"/>
      <c r="L7822"/>
    </row>
    <row r="7823" spans="1:12" x14ac:dyDescent="0.25">
      <c r="A7823"/>
      <c r="B7823"/>
      <c r="D7823"/>
      <c r="G7823"/>
      <c r="L7823"/>
    </row>
    <row r="7824" spans="1:12" x14ac:dyDescent="0.25">
      <c r="A7824"/>
      <c r="B7824"/>
      <c r="D7824"/>
      <c r="G7824"/>
      <c r="L7824"/>
    </row>
    <row r="7825" spans="1:12" x14ac:dyDescent="0.25">
      <c r="A7825"/>
      <c r="B7825"/>
      <c r="D7825"/>
      <c r="G7825"/>
      <c r="L7825"/>
    </row>
    <row r="7826" spans="1:12" x14ac:dyDescent="0.25">
      <c r="A7826"/>
      <c r="B7826"/>
      <c r="D7826"/>
      <c r="G7826"/>
      <c r="L7826"/>
    </row>
    <row r="7827" spans="1:12" x14ac:dyDescent="0.25">
      <c r="A7827"/>
      <c r="B7827"/>
      <c r="D7827"/>
      <c r="G7827"/>
      <c r="L7827"/>
    </row>
    <row r="7828" spans="1:12" x14ac:dyDescent="0.25">
      <c r="A7828"/>
      <c r="B7828"/>
      <c r="D7828"/>
      <c r="G7828"/>
      <c r="L7828"/>
    </row>
    <row r="7829" spans="1:12" x14ac:dyDescent="0.25">
      <c r="A7829"/>
      <c r="B7829"/>
      <c r="D7829"/>
      <c r="G7829"/>
      <c r="L7829"/>
    </row>
    <row r="7830" spans="1:12" x14ac:dyDescent="0.25">
      <c r="A7830"/>
      <c r="B7830"/>
      <c r="D7830"/>
      <c r="G7830"/>
      <c r="L7830"/>
    </row>
    <row r="7831" spans="1:12" x14ac:dyDescent="0.25">
      <c r="A7831"/>
      <c r="B7831"/>
      <c r="D7831"/>
      <c r="G7831"/>
      <c r="L7831"/>
    </row>
    <row r="7832" spans="1:12" x14ac:dyDescent="0.25">
      <c r="A7832"/>
      <c r="B7832"/>
      <c r="D7832"/>
      <c r="G7832"/>
      <c r="L7832"/>
    </row>
    <row r="7833" spans="1:12" x14ac:dyDescent="0.25">
      <c r="A7833"/>
      <c r="B7833"/>
      <c r="D7833"/>
      <c r="G7833"/>
      <c r="L7833"/>
    </row>
    <row r="7834" spans="1:12" x14ac:dyDescent="0.25">
      <c r="A7834"/>
      <c r="B7834"/>
      <c r="D7834"/>
      <c r="G7834"/>
      <c r="L7834"/>
    </row>
    <row r="7835" spans="1:12" x14ac:dyDescent="0.25">
      <c r="A7835"/>
      <c r="B7835"/>
      <c r="D7835"/>
      <c r="G7835"/>
      <c r="L7835"/>
    </row>
    <row r="7836" spans="1:12" x14ac:dyDescent="0.25">
      <c r="A7836"/>
      <c r="B7836"/>
      <c r="D7836"/>
      <c r="G7836"/>
      <c r="L7836"/>
    </row>
    <row r="7837" spans="1:12" x14ac:dyDescent="0.25">
      <c r="A7837"/>
      <c r="B7837"/>
      <c r="D7837"/>
      <c r="G7837"/>
      <c r="L7837"/>
    </row>
    <row r="7838" spans="1:12" x14ac:dyDescent="0.25">
      <c r="A7838"/>
      <c r="B7838"/>
      <c r="D7838"/>
      <c r="G7838"/>
      <c r="L7838"/>
    </row>
    <row r="7839" spans="1:12" x14ac:dyDescent="0.25">
      <c r="A7839"/>
      <c r="B7839"/>
      <c r="D7839"/>
      <c r="G7839"/>
      <c r="L7839"/>
    </row>
    <row r="7840" spans="1:12" x14ac:dyDescent="0.25">
      <c r="A7840"/>
      <c r="B7840"/>
      <c r="D7840"/>
      <c r="G7840"/>
      <c r="L7840"/>
    </row>
    <row r="7841" spans="1:12" x14ac:dyDescent="0.25">
      <c r="A7841"/>
      <c r="B7841"/>
      <c r="D7841"/>
      <c r="G7841"/>
      <c r="L7841"/>
    </row>
    <row r="7842" spans="1:12" x14ac:dyDescent="0.25">
      <c r="A7842"/>
      <c r="B7842"/>
      <c r="D7842"/>
      <c r="G7842"/>
      <c r="L7842"/>
    </row>
    <row r="7843" spans="1:12" x14ac:dyDescent="0.25">
      <c r="A7843"/>
      <c r="B7843"/>
      <c r="D7843"/>
      <c r="G7843"/>
      <c r="L7843"/>
    </row>
    <row r="7844" spans="1:12" x14ac:dyDescent="0.25">
      <c r="A7844"/>
      <c r="B7844"/>
      <c r="D7844"/>
      <c r="G7844"/>
      <c r="L7844"/>
    </row>
    <row r="7845" spans="1:12" x14ac:dyDescent="0.25">
      <c r="A7845"/>
      <c r="B7845"/>
      <c r="D7845"/>
      <c r="G7845"/>
      <c r="L7845"/>
    </row>
    <row r="7846" spans="1:12" x14ac:dyDescent="0.25">
      <c r="A7846"/>
      <c r="B7846"/>
      <c r="D7846"/>
      <c r="G7846"/>
      <c r="L7846"/>
    </row>
    <row r="7847" spans="1:12" x14ac:dyDescent="0.25">
      <c r="A7847"/>
      <c r="B7847"/>
      <c r="D7847"/>
      <c r="G7847"/>
      <c r="L7847"/>
    </row>
    <row r="7848" spans="1:12" x14ac:dyDescent="0.25">
      <c r="A7848"/>
      <c r="B7848"/>
      <c r="D7848"/>
      <c r="G7848"/>
      <c r="L7848"/>
    </row>
    <row r="7849" spans="1:12" x14ac:dyDescent="0.25">
      <c r="A7849"/>
      <c r="B7849"/>
      <c r="D7849"/>
      <c r="G7849"/>
      <c r="L7849"/>
    </row>
    <row r="7850" spans="1:12" x14ac:dyDescent="0.25">
      <c r="A7850"/>
      <c r="B7850"/>
      <c r="D7850"/>
      <c r="G7850"/>
      <c r="L7850"/>
    </row>
    <row r="7851" spans="1:12" x14ac:dyDescent="0.25">
      <c r="A7851"/>
      <c r="B7851"/>
      <c r="D7851"/>
      <c r="G7851"/>
      <c r="L7851"/>
    </row>
    <row r="7852" spans="1:12" x14ac:dyDescent="0.25">
      <c r="A7852"/>
      <c r="B7852"/>
      <c r="D7852"/>
      <c r="G7852"/>
      <c r="L7852"/>
    </row>
    <row r="7853" spans="1:12" x14ac:dyDescent="0.25">
      <c r="A7853"/>
      <c r="B7853"/>
      <c r="D7853"/>
      <c r="G7853"/>
      <c r="L7853"/>
    </row>
    <row r="7854" spans="1:12" x14ac:dyDescent="0.25">
      <c r="A7854"/>
      <c r="B7854"/>
      <c r="D7854"/>
      <c r="G7854"/>
      <c r="L7854"/>
    </row>
    <row r="7855" spans="1:12" x14ac:dyDescent="0.25">
      <c r="A7855"/>
      <c r="B7855"/>
      <c r="D7855"/>
      <c r="G7855"/>
      <c r="L7855"/>
    </row>
    <row r="7856" spans="1:12" x14ac:dyDescent="0.25">
      <c r="A7856"/>
      <c r="B7856"/>
      <c r="D7856"/>
      <c r="G7856"/>
      <c r="L7856"/>
    </row>
    <row r="7857" spans="1:12" x14ac:dyDescent="0.25">
      <c r="A7857"/>
      <c r="B7857"/>
      <c r="D7857"/>
      <c r="G7857"/>
      <c r="L7857"/>
    </row>
    <row r="7858" spans="1:12" x14ac:dyDescent="0.25">
      <c r="A7858"/>
      <c r="B7858"/>
      <c r="D7858"/>
      <c r="G7858"/>
      <c r="L7858"/>
    </row>
    <row r="7859" spans="1:12" x14ac:dyDescent="0.25">
      <c r="A7859"/>
      <c r="B7859"/>
      <c r="D7859"/>
      <c r="G7859"/>
      <c r="L7859"/>
    </row>
    <row r="7860" spans="1:12" x14ac:dyDescent="0.25">
      <c r="A7860"/>
      <c r="B7860"/>
      <c r="D7860"/>
      <c r="G7860"/>
      <c r="L7860"/>
    </row>
    <row r="7861" spans="1:12" x14ac:dyDescent="0.25">
      <c r="A7861"/>
      <c r="B7861"/>
      <c r="D7861"/>
      <c r="G7861"/>
      <c r="L7861"/>
    </row>
    <row r="7862" spans="1:12" x14ac:dyDescent="0.25">
      <c r="A7862"/>
      <c r="B7862"/>
      <c r="D7862"/>
      <c r="G7862"/>
      <c r="L7862"/>
    </row>
    <row r="7863" spans="1:12" x14ac:dyDescent="0.25">
      <c r="A7863"/>
      <c r="B7863"/>
      <c r="D7863"/>
      <c r="G7863"/>
      <c r="L7863"/>
    </row>
    <row r="7864" spans="1:12" x14ac:dyDescent="0.25">
      <c r="A7864"/>
      <c r="B7864"/>
      <c r="D7864"/>
      <c r="G7864"/>
      <c r="L7864"/>
    </row>
    <row r="7865" spans="1:12" x14ac:dyDescent="0.25">
      <c r="A7865"/>
      <c r="B7865"/>
      <c r="D7865"/>
      <c r="G7865"/>
      <c r="L7865"/>
    </row>
    <row r="7866" spans="1:12" x14ac:dyDescent="0.25">
      <c r="A7866"/>
      <c r="B7866"/>
      <c r="D7866"/>
      <c r="G7866"/>
      <c r="L7866"/>
    </row>
    <row r="7867" spans="1:12" x14ac:dyDescent="0.25">
      <c r="A7867"/>
      <c r="B7867"/>
      <c r="D7867"/>
      <c r="G7867"/>
      <c r="L7867"/>
    </row>
    <row r="7868" spans="1:12" x14ac:dyDescent="0.25">
      <c r="A7868"/>
      <c r="B7868"/>
      <c r="D7868"/>
      <c r="G7868"/>
      <c r="L7868"/>
    </row>
    <row r="7869" spans="1:12" x14ac:dyDescent="0.25">
      <c r="A7869"/>
      <c r="B7869"/>
      <c r="D7869"/>
      <c r="G7869"/>
      <c r="L7869"/>
    </row>
    <row r="7870" spans="1:12" x14ac:dyDescent="0.25">
      <c r="A7870"/>
      <c r="B7870"/>
      <c r="D7870"/>
      <c r="G7870"/>
      <c r="L7870"/>
    </row>
    <row r="7871" spans="1:12" x14ac:dyDescent="0.25">
      <c r="A7871"/>
      <c r="B7871"/>
      <c r="D7871"/>
      <c r="G7871"/>
      <c r="L7871"/>
    </row>
    <row r="7872" spans="1:12" x14ac:dyDescent="0.25">
      <c r="A7872"/>
      <c r="B7872"/>
      <c r="D7872"/>
      <c r="G7872"/>
      <c r="L7872"/>
    </row>
    <row r="7873" spans="1:12" x14ac:dyDescent="0.25">
      <c r="A7873"/>
      <c r="B7873"/>
      <c r="D7873"/>
      <c r="G7873"/>
      <c r="L7873"/>
    </row>
    <row r="7874" spans="1:12" x14ac:dyDescent="0.25">
      <c r="A7874"/>
      <c r="B7874"/>
      <c r="D7874"/>
      <c r="G7874"/>
      <c r="L7874"/>
    </row>
    <row r="7875" spans="1:12" x14ac:dyDescent="0.25">
      <c r="A7875"/>
      <c r="B7875"/>
      <c r="D7875"/>
      <c r="G7875"/>
      <c r="L7875"/>
    </row>
    <row r="7876" spans="1:12" x14ac:dyDescent="0.25">
      <c r="A7876"/>
      <c r="B7876"/>
      <c r="D7876"/>
      <c r="G7876"/>
      <c r="L7876"/>
    </row>
    <row r="7877" spans="1:12" x14ac:dyDescent="0.25">
      <c r="A7877"/>
      <c r="B7877"/>
      <c r="D7877"/>
      <c r="G7877"/>
      <c r="L7877"/>
    </row>
    <row r="7878" spans="1:12" x14ac:dyDescent="0.25">
      <c r="A7878"/>
      <c r="B7878"/>
      <c r="D7878"/>
      <c r="G7878"/>
      <c r="L7878"/>
    </row>
    <row r="7879" spans="1:12" x14ac:dyDescent="0.25">
      <c r="A7879"/>
      <c r="B7879"/>
      <c r="D7879"/>
      <c r="G7879"/>
      <c r="L7879"/>
    </row>
    <row r="7880" spans="1:12" x14ac:dyDescent="0.25">
      <c r="A7880"/>
      <c r="B7880"/>
      <c r="D7880"/>
      <c r="G7880"/>
      <c r="L7880"/>
    </row>
    <row r="7881" spans="1:12" x14ac:dyDescent="0.25">
      <c r="A7881"/>
      <c r="B7881"/>
      <c r="D7881"/>
      <c r="G7881"/>
      <c r="L7881"/>
    </row>
    <row r="7882" spans="1:12" x14ac:dyDescent="0.25">
      <c r="A7882"/>
      <c r="B7882"/>
      <c r="D7882"/>
      <c r="G7882"/>
      <c r="L7882"/>
    </row>
    <row r="7883" spans="1:12" x14ac:dyDescent="0.25">
      <c r="A7883"/>
      <c r="B7883"/>
      <c r="D7883"/>
      <c r="G7883"/>
      <c r="L7883"/>
    </row>
    <row r="7884" spans="1:12" x14ac:dyDescent="0.25">
      <c r="A7884"/>
      <c r="B7884"/>
      <c r="D7884"/>
      <c r="G7884"/>
      <c r="L7884"/>
    </row>
    <row r="7885" spans="1:12" x14ac:dyDescent="0.25">
      <c r="A7885"/>
      <c r="B7885"/>
      <c r="D7885"/>
      <c r="G7885"/>
      <c r="L7885"/>
    </row>
    <row r="7886" spans="1:12" x14ac:dyDescent="0.25">
      <c r="A7886"/>
      <c r="B7886"/>
      <c r="D7886"/>
      <c r="G7886"/>
      <c r="L7886"/>
    </row>
    <row r="7887" spans="1:12" x14ac:dyDescent="0.25">
      <c r="A7887"/>
      <c r="B7887"/>
      <c r="D7887"/>
      <c r="G7887"/>
      <c r="L7887"/>
    </row>
    <row r="7888" spans="1:12" x14ac:dyDescent="0.25">
      <c r="A7888"/>
      <c r="B7888"/>
      <c r="D7888"/>
      <c r="G7888"/>
      <c r="L7888"/>
    </row>
    <row r="7889" spans="1:12" x14ac:dyDescent="0.25">
      <c r="A7889"/>
      <c r="B7889"/>
      <c r="D7889"/>
      <c r="G7889"/>
      <c r="L7889"/>
    </row>
    <row r="7890" spans="1:12" x14ac:dyDescent="0.25">
      <c r="A7890"/>
      <c r="B7890"/>
      <c r="D7890"/>
      <c r="G7890"/>
      <c r="L7890"/>
    </row>
    <row r="7891" spans="1:12" x14ac:dyDescent="0.25">
      <c r="A7891"/>
      <c r="B7891"/>
      <c r="D7891"/>
      <c r="G7891"/>
      <c r="L7891"/>
    </row>
    <row r="7892" spans="1:12" x14ac:dyDescent="0.25">
      <c r="A7892"/>
      <c r="B7892"/>
      <c r="D7892"/>
      <c r="G7892"/>
      <c r="L7892"/>
    </row>
    <row r="7893" spans="1:12" x14ac:dyDescent="0.25">
      <c r="A7893"/>
      <c r="B7893"/>
      <c r="D7893"/>
      <c r="G7893"/>
      <c r="L7893"/>
    </row>
    <row r="7894" spans="1:12" x14ac:dyDescent="0.25">
      <c r="A7894"/>
      <c r="B7894"/>
      <c r="D7894"/>
      <c r="G7894"/>
      <c r="L7894"/>
    </row>
    <row r="7895" spans="1:12" x14ac:dyDescent="0.25">
      <c r="A7895"/>
      <c r="B7895"/>
      <c r="D7895"/>
      <c r="G7895"/>
      <c r="L7895"/>
    </row>
    <row r="7896" spans="1:12" x14ac:dyDescent="0.25">
      <c r="A7896"/>
      <c r="B7896"/>
      <c r="D7896"/>
      <c r="G7896"/>
      <c r="L7896"/>
    </row>
    <row r="7897" spans="1:12" x14ac:dyDescent="0.25">
      <c r="A7897"/>
      <c r="B7897"/>
      <c r="D7897"/>
      <c r="G7897"/>
      <c r="L7897"/>
    </row>
    <row r="7898" spans="1:12" x14ac:dyDescent="0.25">
      <c r="A7898"/>
      <c r="B7898"/>
      <c r="D7898"/>
      <c r="G7898"/>
      <c r="L7898"/>
    </row>
    <row r="7899" spans="1:12" x14ac:dyDescent="0.25">
      <c r="A7899"/>
      <c r="B7899"/>
      <c r="D7899"/>
      <c r="G7899"/>
      <c r="L7899"/>
    </row>
    <row r="7900" spans="1:12" x14ac:dyDescent="0.25">
      <c r="A7900"/>
      <c r="B7900"/>
      <c r="D7900"/>
      <c r="G7900"/>
      <c r="L7900"/>
    </row>
    <row r="7901" spans="1:12" x14ac:dyDescent="0.25">
      <c r="A7901"/>
      <c r="B7901"/>
      <c r="D7901"/>
      <c r="G7901"/>
      <c r="L7901"/>
    </row>
    <row r="7902" spans="1:12" x14ac:dyDescent="0.25">
      <c r="A7902"/>
      <c r="B7902"/>
      <c r="D7902"/>
      <c r="G7902"/>
      <c r="L7902"/>
    </row>
    <row r="7903" spans="1:12" x14ac:dyDescent="0.25">
      <c r="A7903"/>
      <c r="B7903"/>
      <c r="D7903"/>
      <c r="G7903"/>
      <c r="L7903"/>
    </row>
    <row r="7904" spans="1:12" x14ac:dyDescent="0.25">
      <c r="A7904"/>
      <c r="B7904"/>
      <c r="D7904"/>
      <c r="G7904"/>
      <c r="L7904"/>
    </row>
    <row r="7905" spans="1:12" x14ac:dyDescent="0.25">
      <c r="A7905"/>
      <c r="B7905"/>
      <c r="D7905"/>
      <c r="G7905"/>
      <c r="L7905"/>
    </row>
    <row r="7906" spans="1:12" x14ac:dyDescent="0.25">
      <c r="A7906"/>
      <c r="B7906"/>
      <c r="D7906"/>
      <c r="G7906"/>
      <c r="L7906"/>
    </row>
    <row r="7907" spans="1:12" x14ac:dyDescent="0.25">
      <c r="A7907"/>
      <c r="B7907"/>
      <c r="D7907"/>
      <c r="G7907"/>
      <c r="L7907"/>
    </row>
    <row r="7908" spans="1:12" x14ac:dyDescent="0.25">
      <c r="A7908"/>
      <c r="B7908"/>
      <c r="D7908"/>
      <c r="G7908"/>
      <c r="L7908"/>
    </row>
    <row r="7909" spans="1:12" x14ac:dyDescent="0.25">
      <c r="A7909"/>
      <c r="B7909"/>
      <c r="D7909"/>
      <c r="G7909"/>
      <c r="L7909"/>
    </row>
    <row r="7910" spans="1:12" x14ac:dyDescent="0.25">
      <c r="A7910"/>
      <c r="B7910"/>
      <c r="D7910"/>
      <c r="G7910"/>
      <c r="L7910"/>
    </row>
    <row r="7911" spans="1:12" x14ac:dyDescent="0.25">
      <c r="A7911"/>
      <c r="B7911"/>
      <c r="D7911"/>
      <c r="G7911"/>
      <c r="L7911"/>
    </row>
    <row r="7912" spans="1:12" x14ac:dyDescent="0.25">
      <c r="A7912"/>
      <c r="B7912"/>
      <c r="D7912"/>
      <c r="G7912"/>
      <c r="L7912"/>
    </row>
    <row r="7913" spans="1:12" x14ac:dyDescent="0.25">
      <c r="A7913"/>
      <c r="B7913"/>
      <c r="D7913"/>
      <c r="G7913"/>
      <c r="L7913"/>
    </row>
    <row r="7914" spans="1:12" x14ac:dyDescent="0.25">
      <c r="A7914"/>
      <c r="B7914"/>
      <c r="D7914"/>
      <c r="G7914"/>
      <c r="L7914"/>
    </row>
    <row r="7915" spans="1:12" x14ac:dyDescent="0.25">
      <c r="A7915"/>
      <c r="B7915"/>
      <c r="D7915"/>
      <c r="G7915"/>
      <c r="L7915"/>
    </row>
    <row r="7916" spans="1:12" x14ac:dyDescent="0.25">
      <c r="A7916"/>
      <c r="B7916"/>
      <c r="D7916"/>
      <c r="G7916"/>
      <c r="L7916"/>
    </row>
    <row r="7917" spans="1:12" x14ac:dyDescent="0.25">
      <c r="A7917"/>
      <c r="B7917"/>
      <c r="D7917"/>
      <c r="G7917"/>
      <c r="L7917"/>
    </row>
    <row r="7918" spans="1:12" x14ac:dyDescent="0.25">
      <c r="A7918"/>
      <c r="B7918"/>
      <c r="D7918"/>
      <c r="G7918"/>
      <c r="L7918"/>
    </row>
    <row r="7919" spans="1:12" x14ac:dyDescent="0.25">
      <c r="A7919"/>
      <c r="B7919"/>
      <c r="D7919"/>
      <c r="G7919"/>
      <c r="L7919"/>
    </row>
    <row r="7920" spans="1:12" x14ac:dyDescent="0.25">
      <c r="A7920"/>
      <c r="B7920"/>
      <c r="D7920"/>
      <c r="G7920"/>
      <c r="L7920"/>
    </row>
    <row r="7921" spans="1:12" x14ac:dyDescent="0.25">
      <c r="A7921"/>
      <c r="B7921"/>
      <c r="D7921"/>
      <c r="G7921"/>
      <c r="L7921"/>
    </row>
    <row r="7922" spans="1:12" x14ac:dyDescent="0.25">
      <c r="A7922"/>
      <c r="B7922"/>
      <c r="D7922"/>
      <c r="G7922"/>
      <c r="L7922"/>
    </row>
    <row r="7923" spans="1:12" x14ac:dyDescent="0.25">
      <c r="A7923"/>
      <c r="B7923"/>
      <c r="D7923"/>
      <c r="G7923"/>
      <c r="L7923"/>
    </row>
    <row r="7924" spans="1:12" x14ac:dyDescent="0.25">
      <c r="A7924"/>
      <c r="B7924"/>
      <c r="D7924"/>
      <c r="G7924"/>
      <c r="L7924"/>
    </row>
    <row r="7925" spans="1:12" x14ac:dyDescent="0.25">
      <c r="A7925"/>
      <c r="B7925"/>
      <c r="D7925"/>
      <c r="G7925"/>
      <c r="L7925"/>
    </row>
    <row r="7926" spans="1:12" x14ac:dyDescent="0.25">
      <c r="A7926"/>
      <c r="B7926"/>
      <c r="D7926"/>
      <c r="G7926"/>
      <c r="L7926"/>
    </row>
    <row r="7927" spans="1:12" x14ac:dyDescent="0.25">
      <c r="A7927"/>
      <c r="B7927"/>
      <c r="D7927"/>
      <c r="G7927"/>
      <c r="L7927"/>
    </row>
    <row r="7928" spans="1:12" x14ac:dyDescent="0.25">
      <c r="A7928"/>
      <c r="B7928"/>
      <c r="D7928"/>
      <c r="G7928"/>
      <c r="L7928"/>
    </row>
    <row r="7929" spans="1:12" x14ac:dyDescent="0.25">
      <c r="A7929"/>
      <c r="B7929"/>
      <c r="D7929"/>
      <c r="G7929"/>
      <c r="L7929"/>
    </row>
    <row r="7930" spans="1:12" x14ac:dyDescent="0.25">
      <c r="A7930"/>
      <c r="B7930"/>
      <c r="D7930"/>
      <c r="G7930"/>
      <c r="L7930"/>
    </row>
    <row r="7931" spans="1:12" x14ac:dyDescent="0.25">
      <c r="A7931"/>
      <c r="B7931"/>
      <c r="D7931"/>
      <c r="G7931"/>
      <c r="L7931"/>
    </row>
    <row r="7932" spans="1:12" x14ac:dyDescent="0.25">
      <c r="A7932"/>
      <c r="B7932"/>
      <c r="D7932"/>
      <c r="G7932"/>
      <c r="L7932"/>
    </row>
    <row r="7933" spans="1:12" x14ac:dyDescent="0.25">
      <c r="A7933"/>
      <c r="B7933"/>
      <c r="D7933"/>
      <c r="G7933"/>
      <c r="L7933"/>
    </row>
    <row r="7934" spans="1:12" x14ac:dyDescent="0.25">
      <c r="A7934"/>
      <c r="B7934"/>
      <c r="D7934"/>
      <c r="G7934"/>
      <c r="L7934"/>
    </row>
    <row r="7935" spans="1:12" x14ac:dyDescent="0.25">
      <c r="A7935"/>
      <c r="B7935"/>
      <c r="D7935"/>
      <c r="G7935"/>
      <c r="L7935"/>
    </row>
    <row r="7936" spans="1:12" x14ac:dyDescent="0.25">
      <c r="A7936"/>
      <c r="B7936"/>
      <c r="D7936"/>
      <c r="G7936"/>
      <c r="L7936"/>
    </row>
    <row r="7937" spans="1:12" x14ac:dyDescent="0.25">
      <c r="A7937"/>
      <c r="B7937"/>
      <c r="D7937"/>
      <c r="G7937"/>
      <c r="L7937"/>
    </row>
    <row r="7938" spans="1:12" x14ac:dyDescent="0.25">
      <c r="A7938"/>
      <c r="B7938"/>
      <c r="D7938"/>
      <c r="G7938"/>
      <c r="L7938"/>
    </row>
    <row r="7939" spans="1:12" x14ac:dyDescent="0.25">
      <c r="A7939"/>
      <c r="B7939"/>
      <c r="D7939"/>
      <c r="G7939"/>
      <c r="L7939"/>
    </row>
    <row r="7940" spans="1:12" x14ac:dyDescent="0.25">
      <c r="A7940"/>
      <c r="B7940"/>
      <c r="D7940"/>
      <c r="G7940"/>
      <c r="L7940"/>
    </row>
    <row r="7941" spans="1:12" x14ac:dyDescent="0.25">
      <c r="A7941"/>
      <c r="B7941"/>
      <c r="D7941"/>
      <c r="G7941"/>
      <c r="L7941"/>
    </row>
    <row r="7942" spans="1:12" x14ac:dyDescent="0.25">
      <c r="A7942"/>
      <c r="B7942"/>
      <c r="D7942"/>
      <c r="G7942"/>
      <c r="L7942"/>
    </row>
    <row r="7943" spans="1:12" x14ac:dyDescent="0.25">
      <c r="A7943"/>
      <c r="B7943"/>
      <c r="D7943"/>
      <c r="G7943"/>
      <c r="L7943"/>
    </row>
    <row r="7944" spans="1:12" x14ac:dyDescent="0.25">
      <c r="A7944"/>
      <c r="B7944"/>
      <c r="D7944"/>
      <c r="G7944"/>
      <c r="L7944"/>
    </row>
    <row r="7945" spans="1:12" x14ac:dyDescent="0.25">
      <c r="A7945"/>
      <c r="B7945"/>
      <c r="D7945"/>
      <c r="G7945"/>
      <c r="L7945"/>
    </row>
    <row r="7946" spans="1:12" x14ac:dyDescent="0.25">
      <c r="A7946"/>
      <c r="B7946"/>
      <c r="D7946"/>
      <c r="G7946"/>
      <c r="L7946"/>
    </row>
    <row r="7947" spans="1:12" x14ac:dyDescent="0.25">
      <c r="A7947"/>
      <c r="B7947"/>
      <c r="D7947"/>
      <c r="G7947"/>
      <c r="L7947"/>
    </row>
    <row r="7948" spans="1:12" x14ac:dyDescent="0.25">
      <c r="A7948"/>
      <c r="B7948"/>
      <c r="D7948"/>
      <c r="G7948"/>
      <c r="L7948"/>
    </row>
    <row r="7949" spans="1:12" x14ac:dyDescent="0.25">
      <c r="A7949"/>
      <c r="B7949"/>
      <c r="D7949"/>
      <c r="G7949"/>
      <c r="L7949"/>
    </row>
    <row r="7950" spans="1:12" x14ac:dyDescent="0.25">
      <c r="A7950"/>
      <c r="B7950"/>
      <c r="D7950"/>
      <c r="G7950"/>
      <c r="L7950"/>
    </row>
    <row r="7951" spans="1:12" x14ac:dyDescent="0.25">
      <c r="A7951"/>
      <c r="B7951"/>
      <c r="D7951"/>
      <c r="G7951"/>
      <c r="L7951"/>
    </row>
    <row r="7952" spans="1:12" x14ac:dyDescent="0.25">
      <c r="A7952"/>
      <c r="B7952"/>
      <c r="D7952"/>
      <c r="G7952"/>
      <c r="L7952"/>
    </row>
    <row r="7953" spans="1:12" x14ac:dyDescent="0.25">
      <c r="A7953"/>
      <c r="B7953"/>
      <c r="D7953"/>
      <c r="G7953"/>
      <c r="L7953"/>
    </row>
    <row r="7954" spans="1:12" x14ac:dyDescent="0.25">
      <c r="A7954"/>
      <c r="B7954"/>
      <c r="D7954"/>
      <c r="G7954"/>
      <c r="L7954"/>
    </row>
    <row r="7955" spans="1:12" x14ac:dyDescent="0.25">
      <c r="A7955"/>
      <c r="B7955"/>
      <c r="D7955"/>
      <c r="G7955"/>
      <c r="L7955"/>
    </row>
    <row r="7956" spans="1:12" x14ac:dyDescent="0.25">
      <c r="A7956"/>
      <c r="B7956"/>
      <c r="D7956"/>
      <c r="G7956"/>
      <c r="L7956"/>
    </row>
    <row r="7957" spans="1:12" x14ac:dyDescent="0.25">
      <c r="A7957"/>
      <c r="B7957"/>
      <c r="D7957"/>
      <c r="G7957"/>
      <c r="L7957"/>
    </row>
    <row r="7958" spans="1:12" x14ac:dyDescent="0.25">
      <c r="A7958"/>
      <c r="B7958"/>
      <c r="D7958"/>
      <c r="G7958"/>
      <c r="L7958"/>
    </row>
    <row r="7959" spans="1:12" x14ac:dyDescent="0.25">
      <c r="A7959"/>
      <c r="B7959"/>
      <c r="D7959"/>
      <c r="G7959"/>
      <c r="L7959"/>
    </row>
    <row r="7960" spans="1:12" x14ac:dyDescent="0.25">
      <c r="A7960"/>
      <c r="B7960"/>
      <c r="D7960"/>
      <c r="G7960"/>
      <c r="L7960"/>
    </row>
    <row r="7961" spans="1:12" x14ac:dyDescent="0.25">
      <c r="A7961"/>
      <c r="B7961"/>
      <c r="D7961"/>
      <c r="G7961"/>
      <c r="L7961"/>
    </row>
    <row r="7962" spans="1:12" x14ac:dyDescent="0.25">
      <c r="A7962"/>
      <c r="B7962"/>
      <c r="D7962"/>
      <c r="G7962"/>
      <c r="L7962"/>
    </row>
    <row r="7963" spans="1:12" x14ac:dyDescent="0.25">
      <c r="A7963"/>
      <c r="B7963"/>
      <c r="D7963"/>
      <c r="G7963"/>
      <c r="L7963"/>
    </row>
    <row r="7964" spans="1:12" x14ac:dyDescent="0.25">
      <c r="A7964"/>
      <c r="B7964"/>
      <c r="D7964"/>
      <c r="G7964"/>
      <c r="L7964"/>
    </row>
    <row r="7965" spans="1:12" x14ac:dyDescent="0.25">
      <c r="A7965"/>
      <c r="B7965"/>
      <c r="D7965"/>
      <c r="G7965"/>
      <c r="L7965"/>
    </row>
    <row r="7966" spans="1:12" x14ac:dyDescent="0.25">
      <c r="A7966"/>
      <c r="B7966"/>
      <c r="D7966"/>
      <c r="G7966"/>
      <c r="L7966"/>
    </row>
    <row r="7967" spans="1:12" x14ac:dyDescent="0.25">
      <c r="A7967"/>
      <c r="B7967"/>
      <c r="D7967"/>
      <c r="G7967"/>
      <c r="L7967"/>
    </row>
    <row r="7968" spans="1:12" x14ac:dyDescent="0.25">
      <c r="A7968"/>
      <c r="B7968"/>
      <c r="D7968"/>
      <c r="G7968"/>
      <c r="L7968"/>
    </row>
    <row r="7969" spans="1:12" x14ac:dyDescent="0.25">
      <c r="A7969"/>
      <c r="B7969"/>
      <c r="D7969"/>
      <c r="G7969"/>
      <c r="L7969"/>
    </row>
    <row r="7970" spans="1:12" x14ac:dyDescent="0.25">
      <c r="A7970"/>
      <c r="B7970"/>
      <c r="D7970"/>
      <c r="G7970"/>
      <c r="L7970"/>
    </row>
    <row r="7971" spans="1:12" x14ac:dyDescent="0.25">
      <c r="A7971"/>
      <c r="B7971"/>
      <c r="D7971"/>
      <c r="G7971"/>
      <c r="L7971"/>
    </row>
    <row r="7972" spans="1:12" x14ac:dyDescent="0.25">
      <c r="A7972"/>
      <c r="B7972"/>
      <c r="D7972"/>
      <c r="G7972"/>
      <c r="L7972"/>
    </row>
    <row r="7973" spans="1:12" x14ac:dyDescent="0.25">
      <c r="A7973"/>
      <c r="B7973"/>
      <c r="D7973"/>
      <c r="G7973"/>
      <c r="L7973"/>
    </row>
    <row r="7974" spans="1:12" x14ac:dyDescent="0.25">
      <c r="A7974"/>
      <c r="B7974"/>
      <c r="D7974"/>
      <c r="G7974"/>
      <c r="L7974"/>
    </row>
    <row r="7975" spans="1:12" x14ac:dyDescent="0.25">
      <c r="A7975"/>
      <c r="B7975"/>
      <c r="D7975"/>
      <c r="G7975"/>
      <c r="L7975"/>
    </row>
    <row r="7976" spans="1:12" x14ac:dyDescent="0.25">
      <c r="A7976"/>
      <c r="B7976"/>
      <c r="D7976"/>
      <c r="G7976"/>
      <c r="L7976"/>
    </row>
    <row r="7977" spans="1:12" x14ac:dyDescent="0.25">
      <c r="A7977"/>
      <c r="B7977"/>
      <c r="D7977"/>
      <c r="G7977"/>
      <c r="L7977"/>
    </row>
    <row r="7978" spans="1:12" x14ac:dyDescent="0.25">
      <c r="A7978"/>
      <c r="B7978"/>
      <c r="D7978"/>
      <c r="G7978"/>
      <c r="L7978"/>
    </row>
    <row r="7979" spans="1:12" x14ac:dyDescent="0.25">
      <c r="A7979"/>
      <c r="B7979"/>
      <c r="D7979"/>
      <c r="G7979"/>
      <c r="L7979"/>
    </row>
    <row r="7980" spans="1:12" x14ac:dyDescent="0.25">
      <c r="A7980"/>
      <c r="B7980"/>
      <c r="D7980"/>
      <c r="G7980"/>
      <c r="L7980"/>
    </row>
    <row r="7981" spans="1:12" x14ac:dyDescent="0.25">
      <c r="A7981"/>
      <c r="B7981"/>
      <c r="D7981"/>
      <c r="G7981"/>
      <c r="L7981"/>
    </row>
    <row r="7982" spans="1:12" x14ac:dyDescent="0.25">
      <c r="A7982"/>
      <c r="B7982"/>
      <c r="D7982"/>
      <c r="G7982"/>
      <c r="L7982"/>
    </row>
    <row r="7983" spans="1:12" x14ac:dyDescent="0.25">
      <c r="A7983"/>
      <c r="B7983"/>
      <c r="D7983"/>
      <c r="G7983"/>
      <c r="L7983"/>
    </row>
    <row r="7984" spans="1:12" x14ac:dyDescent="0.25">
      <c r="A7984"/>
      <c r="B7984"/>
      <c r="D7984"/>
      <c r="G7984"/>
      <c r="L7984"/>
    </row>
    <row r="7985" spans="1:12" x14ac:dyDescent="0.25">
      <c r="A7985"/>
      <c r="B7985"/>
      <c r="D7985"/>
      <c r="G7985"/>
      <c r="L7985"/>
    </row>
    <row r="7986" spans="1:12" x14ac:dyDescent="0.25">
      <c r="A7986"/>
      <c r="B7986"/>
      <c r="D7986"/>
      <c r="G7986"/>
      <c r="L7986"/>
    </row>
    <row r="7987" spans="1:12" x14ac:dyDescent="0.25">
      <c r="A7987"/>
      <c r="B7987"/>
      <c r="D7987"/>
      <c r="G7987"/>
      <c r="L7987"/>
    </row>
    <row r="7988" spans="1:12" x14ac:dyDescent="0.25">
      <c r="A7988"/>
      <c r="B7988"/>
      <c r="D7988"/>
      <c r="G7988"/>
      <c r="L7988"/>
    </row>
    <row r="7989" spans="1:12" x14ac:dyDescent="0.25">
      <c r="A7989"/>
      <c r="B7989"/>
      <c r="D7989"/>
      <c r="G7989"/>
      <c r="L7989"/>
    </row>
    <row r="7990" spans="1:12" x14ac:dyDescent="0.25">
      <c r="A7990"/>
      <c r="B7990"/>
      <c r="D7990"/>
      <c r="G7990"/>
      <c r="L7990"/>
    </row>
    <row r="7991" spans="1:12" x14ac:dyDescent="0.25">
      <c r="A7991"/>
      <c r="B7991"/>
      <c r="D7991"/>
      <c r="G7991"/>
      <c r="L7991"/>
    </row>
    <row r="7992" spans="1:12" x14ac:dyDescent="0.25">
      <c r="A7992"/>
      <c r="B7992"/>
      <c r="D7992"/>
      <c r="G7992"/>
      <c r="L7992"/>
    </row>
    <row r="7993" spans="1:12" x14ac:dyDescent="0.25">
      <c r="A7993"/>
      <c r="B7993"/>
      <c r="D7993"/>
      <c r="G7993"/>
      <c r="L7993"/>
    </row>
    <row r="7994" spans="1:12" x14ac:dyDescent="0.25">
      <c r="A7994"/>
      <c r="B7994"/>
      <c r="D7994"/>
      <c r="G7994"/>
      <c r="L7994"/>
    </row>
    <row r="7995" spans="1:12" x14ac:dyDescent="0.25">
      <c r="A7995"/>
      <c r="B7995"/>
      <c r="D7995"/>
      <c r="G7995"/>
      <c r="L7995"/>
    </row>
    <row r="7996" spans="1:12" x14ac:dyDescent="0.25">
      <c r="A7996"/>
      <c r="B7996"/>
      <c r="D7996"/>
      <c r="G7996"/>
      <c r="L7996"/>
    </row>
    <row r="7997" spans="1:12" x14ac:dyDescent="0.25">
      <c r="A7997"/>
      <c r="B7997"/>
      <c r="D7997"/>
      <c r="G7997"/>
      <c r="L7997"/>
    </row>
    <row r="7998" spans="1:12" x14ac:dyDescent="0.25">
      <c r="A7998"/>
      <c r="B7998"/>
      <c r="D7998"/>
      <c r="G7998"/>
      <c r="L7998"/>
    </row>
    <row r="7999" spans="1:12" x14ac:dyDescent="0.25">
      <c r="A7999"/>
      <c r="B7999"/>
      <c r="D7999"/>
      <c r="G7999"/>
      <c r="L7999"/>
    </row>
    <row r="8000" spans="1:12" x14ac:dyDescent="0.25">
      <c r="A8000"/>
      <c r="B8000"/>
      <c r="D8000"/>
      <c r="G8000"/>
      <c r="L8000"/>
    </row>
    <row r="8001" spans="1:12" x14ac:dyDescent="0.25">
      <c r="A8001"/>
      <c r="B8001"/>
      <c r="D8001"/>
      <c r="G8001"/>
      <c r="L8001"/>
    </row>
    <row r="8002" spans="1:12" x14ac:dyDescent="0.25">
      <c r="A8002"/>
      <c r="B8002"/>
      <c r="D8002"/>
      <c r="G8002"/>
      <c r="L8002"/>
    </row>
    <row r="8003" spans="1:12" x14ac:dyDescent="0.25">
      <c r="A8003"/>
      <c r="B8003"/>
      <c r="D8003"/>
      <c r="G8003"/>
      <c r="L8003"/>
    </row>
    <row r="8004" spans="1:12" x14ac:dyDescent="0.25">
      <c r="A8004"/>
      <c r="B8004"/>
      <c r="D8004"/>
      <c r="G8004"/>
      <c r="L8004"/>
    </row>
    <row r="8005" spans="1:12" x14ac:dyDescent="0.25">
      <c r="A8005"/>
      <c r="B8005"/>
      <c r="D8005"/>
      <c r="G8005"/>
      <c r="L8005"/>
    </row>
    <row r="8006" spans="1:12" x14ac:dyDescent="0.25">
      <c r="A8006"/>
      <c r="B8006"/>
      <c r="D8006"/>
      <c r="G8006"/>
      <c r="L8006"/>
    </row>
    <row r="8007" spans="1:12" x14ac:dyDescent="0.25">
      <c r="A8007"/>
      <c r="B8007"/>
      <c r="D8007"/>
      <c r="G8007"/>
      <c r="L8007"/>
    </row>
    <row r="8008" spans="1:12" x14ac:dyDescent="0.25">
      <c r="A8008"/>
      <c r="B8008"/>
      <c r="D8008"/>
      <c r="G8008"/>
      <c r="L8008"/>
    </row>
    <row r="8009" spans="1:12" x14ac:dyDescent="0.25">
      <c r="A8009"/>
      <c r="B8009"/>
      <c r="D8009"/>
      <c r="G8009"/>
      <c r="L8009"/>
    </row>
    <row r="8010" spans="1:12" x14ac:dyDescent="0.25">
      <c r="A8010"/>
      <c r="B8010"/>
      <c r="D8010"/>
      <c r="G8010"/>
      <c r="L8010"/>
    </row>
    <row r="8011" spans="1:12" x14ac:dyDescent="0.25">
      <c r="A8011"/>
      <c r="B8011"/>
      <c r="D8011"/>
      <c r="G8011"/>
      <c r="L8011"/>
    </row>
    <row r="8012" spans="1:12" x14ac:dyDescent="0.25">
      <c r="A8012"/>
      <c r="B8012"/>
      <c r="D8012"/>
      <c r="G8012"/>
      <c r="L8012"/>
    </row>
    <row r="8013" spans="1:12" x14ac:dyDescent="0.25">
      <c r="A8013"/>
      <c r="B8013"/>
      <c r="D8013"/>
      <c r="G8013"/>
      <c r="L8013"/>
    </row>
    <row r="8014" spans="1:12" x14ac:dyDescent="0.25">
      <c r="A8014"/>
      <c r="B8014"/>
      <c r="D8014"/>
      <c r="G8014"/>
      <c r="L8014"/>
    </row>
    <row r="8015" spans="1:12" x14ac:dyDescent="0.25">
      <c r="A8015"/>
      <c r="B8015"/>
      <c r="D8015"/>
      <c r="G8015"/>
      <c r="L8015"/>
    </row>
    <row r="8016" spans="1:12" x14ac:dyDescent="0.25">
      <c r="A8016"/>
      <c r="B8016"/>
      <c r="D8016"/>
      <c r="G8016"/>
      <c r="L8016"/>
    </row>
    <row r="8017" spans="1:12" x14ac:dyDescent="0.25">
      <c r="A8017"/>
      <c r="B8017"/>
      <c r="D8017"/>
      <c r="G8017"/>
      <c r="L8017"/>
    </row>
    <row r="8018" spans="1:12" x14ac:dyDescent="0.25">
      <c r="A8018"/>
      <c r="B8018"/>
      <c r="D8018"/>
      <c r="G8018"/>
      <c r="L8018"/>
    </row>
    <row r="8019" spans="1:12" x14ac:dyDescent="0.25">
      <c r="A8019"/>
      <c r="B8019"/>
      <c r="D8019"/>
      <c r="G8019"/>
      <c r="L8019"/>
    </row>
    <row r="8020" spans="1:12" x14ac:dyDescent="0.25">
      <c r="A8020"/>
      <c r="B8020"/>
      <c r="D8020"/>
      <c r="G8020"/>
      <c r="L8020"/>
    </row>
    <row r="8021" spans="1:12" x14ac:dyDescent="0.25">
      <c r="A8021"/>
      <c r="B8021"/>
      <c r="D8021"/>
      <c r="G8021"/>
      <c r="L8021"/>
    </row>
    <row r="8022" spans="1:12" x14ac:dyDescent="0.25">
      <c r="A8022"/>
      <c r="B8022"/>
      <c r="D8022"/>
      <c r="G8022"/>
      <c r="L8022"/>
    </row>
    <row r="8023" spans="1:12" x14ac:dyDescent="0.25">
      <c r="A8023"/>
      <c r="B8023"/>
      <c r="D8023"/>
      <c r="G8023"/>
      <c r="L8023"/>
    </row>
    <row r="8024" spans="1:12" x14ac:dyDescent="0.25">
      <c r="A8024"/>
      <c r="B8024"/>
      <c r="D8024"/>
      <c r="G8024"/>
      <c r="L8024"/>
    </row>
    <row r="8025" spans="1:12" x14ac:dyDescent="0.25">
      <c r="A8025"/>
      <c r="B8025"/>
      <c r="D8025"/>
      <c r="G8025"/>
      <c r="L8025"/>
    </row>
    <row r="8026" spans="1:12" x14ac:dyDescent="0.25">
      <c r="A8026"/>
      <c r="B8026"/>
      <c r="D8026"/>
      <c r="G8026"/>
      <c r="L8026"/>
    </row>
    <row r="8027" spans="1:12" x14ac:dyDescent="0.25">
      <c r="A8027"/>
      <c r="B8027"/>
      <c r="D8027"/>
      <c r="G8027"/>
      <c r="L8027"/>
    </row>
    <row r="8028" spans="1:12" x14ac:dyDescent="0.25">
      <c r="A8028"/>
      <c r="B8028"/>
      <c r="D8028"/>
      <c r="G8028"/>
      <c r="L8028"/>
    </row>
    <row r="8029" spans="1:12" x14ac:dyDescent="0.25">
      <c r="A8029"/>
      <c r="B8029"/>
      <c r="D8029"/>
      <c r="G8029"/>
      <c r="L8029"/>
    </row>
    <row r="8030" spans="1:12" x14ac:dyDescent="0.25">
      <c r="A8030"/>
      <c r="B8030"/>
      <c r="D8030"/>
      <c r="G8030"/>
      <c r="L8030"/>
    </row>
    <row r="8031" spans="1:12" x14ac:dyDescent="0.25">
      <c r="A8031"/>
      <c r="B8031"/>
      <c r="D8031"/>
      <c r="G8031"/>
      <c r="L8031"/>
    </row>
    <row r="8032" spans="1:12" x14ac:dyDescent="0.25">
      <c r="A8032"/>
      <c r="B8032"/>
      <c r="D8032"/>
      <c r="G8032"/>
      <c r="L8032"/>
    </row>
    <row r="8033" spans="1:12" x14ac:dyDescent="0.25">
      <c r="A8033"/>
      <c r="B8033"/>
      <c r="D8033"/>
      <c r="G8033"/>
      <c r="L8033"/>
    </row>
    <row r="8034" spans="1:12" x14ac:dyDescent="0.25">
      <c r="A8034"/>
      <c r="B8034"/>
      <c r="D8034"/>
      <c r="G8034"/>
      <c r="L8034"/>
    </row>
    <row r="8035" spans="1:12" x14ac:dyDescent="0.25">
      <c r="A8035"/>
      <c r="B8035"/>
      <c r="D8035"/>
      <c r="G8035"/>
      <c r="L8035"/>
    </row>
    <row r="8036" spans="1:12" x14ac:dyDescent="0.25">
      <c r="A8036"/>
      <c r="B8036"/>
      <c r="D8036"/>
      <c r="G8036"/>
      <c r="L8036"/>
    </row>
    <row r="8037" spans="1:12" x14ac:dyDescent="0.25">
      <c r="A8037"/>
      <c r="B8037"/>
      <c r="D8037"/>
      <c r="G8037"/>
      <c r="L8037"/>
    </row>
    <row r="8038" spans="1:12" x14ac:dyDescent="0.25">
      <c r="A8038"/>
      <c r="B8038"/>
      <c r="D8038"/>
      <c r="G8038"/>
      <c r="L8038"/>
    </row>
    <row r="8039" spans="1:12" x14ac:dyDescent="0.25">
      <c r="A8039"/>
      <c r="B8039"/>
      <c r="D8039"/>
      <c r="G8039"/>
      <c r="L8039"/>
    </row>
    <row r="8040" spans="1:12" x14ac:dyDescent="0.25">
      <c r="A8040"/>
      <c r="B8040"/>
      <c r="D8040"/>
      <c r="G8040"/>
      <c r="L8040"/>
    </row>
    <row r="8041" spans="1:12" x14ac:dyDescent="0.25">
      <c r="A8041"/>
      <c r="B8041"/>
      <c r="D8041"/>
      <c r="G8041"/>
      <c r="L8041"/>
    </row>
    <row r="8042" spans="1:12" x14ac:dyDescent="0.25">
      <c r="A8042"/>
      <c r="B8042"/>
      <c r="D8042"/>
      <c r="G8042"/>
      <c r="L8042"/>
    </row>
    <row r="8043" spans="1:12" x14ac:dyDescent="0.25">
      <c r="A8043"/>
      <c r="B8043"/>
      <c r="D8043"/>
      <c r="G8043"/>
      <c r="L8043"/>
    </row>
    <row r="8044" spans="1:12" x14ac:dyDescent="0.25">
      <c r="A8044"/>
      <c r="B8044"/>
      <c r="D8044"/>
      <c r="G8044"/>
      <c r="L8044"/>
    </row>
    <row r="8045" spans="1:12" x14ac:dyDescent="0.25">
      <c r="A8045"/>
      <c r="B8045"/>
      <c r="D8045"/>
      <c r="G8045"/>
      <c r="L8045"/>
    </row>
    <row r="8046" spans="1:12" x14ac:dyDescent="0.25">
      <c r="A8046"/>
      <c r="B8046"/>
      <c r="D8046"/>
      <c r="G8046"/>
      <c r="L8046"/>
    </row>
    <row r="8047" spans="1:12" x14ac:dyDescent="0.25">
      <c r="A8047"/>
      <c r="B8047"/>
      <c r="D8047"/>
      <c r="G8047"/>
      <c r="L8047"/>
    </row>
    <row r="8048" spans="1:12" x14ac:dyDescent="0.25">
      <c r="A8048"/>
      <c r="B8048"/>
      <c r="D8048"/>
      <c r="G8048"/>
      <c r="L8048"/>
    </row>
    <row r="8049" spans="1:12" x14ac:dyDescent="0.25">
      <c r="A8049"/>
      <c r="B8049"/>
      <c r="D8049"/>
      <c r="G8049"/>
      <c r="L8049"/>
    </row>
    <row r="8050" spans="1:12" x14ac:dyDescent="0.25">
      <c r="A8050"/>
      <c r="B8050"/>
      <c r="D8050"/>
      <c r="G8050"/>
      <c r="L8050"/>
    </row>
    <row r="8051" spans="1:12" x14ac:dyDescent="0.25">
      <c r="A8051"/>
      <c r="B8051"/>
      <c r="D8051"/>
      <c r="G8051"/>
      <c r="L8051"/>
    </row>
    <row r="8052" spans="1:12" x14ac:dyDescent="0.25">
      <c r="A8052"/>
      <c r="B8052"/>
      <c r="D8052"/>
      <c r="G8052"/>
      <c r="L8052"/>
    </row>
    <row r="8053" spans="1:12" x14ac:dyDescent="0.25">
      <c r="A8053"/>
      <c r="B8053"/>
      <c r="D8053"/>
      <c r="G8053"/>
      <c r="L8053"/>
    </row>
    <row r="8054" spans="1:12" x14ac:dyDescent="0.25">
      <c r="A8054"/>
      <c r="B8054"/>
      <c r="D8054"/>
      <c r="G8054"/>
      <c r="L8054"/>
    </row>
    <row r="8055" spans="1:12" x14ac:dyDescent="0.25">
      <c r="A8055"/>
      <c r="B8055"/>
      <c r="D8055"/>
      <c r="G8055"/>
      <c r="L8055"/>
    </row>
    <row r="8056" spans="1:12" x14ac:dyDescent="0.25">
      <c r="A8056"/>
      <c r="B8056"/>
      <c r="D8056"/>
      <c r="G8056"/>
      <c r="L8056"/>
    </row>
    <row r="8057" spans="1:12" x14ac:dyDescent="0.25">
      <c r="A8057"/>
      <c r="B8057"/>
      <c r="D8057"/>
      <c r="G8057"/>
      <c r="L8057"/>
    </row>
    <row r="8058" spans="1:12" x14ac:dyDescent="0.25">
      <c r="A8058"/>
      <c r="B8058"/>
      <c r="D8058"/>
      <c r="G8058"/>
      <c r="L8058"/>
    </row>
    <row r="8059" spans="1:12" x14ac:dyDescent="0.25">
      <c r="A8059"/>
      <c r="B8059"/>
      <c r="D8059"/>
      <c r="G8059"/>
      <c r="L8059"/>
    </row>
    <row r="8060" spans="1:12" x14ac:dyDescent="0.25">
      <c r="A8060"/>
      <c r="B8060"/>
      <c r="D8060"/>
      <c r="G8060"/>
      <c r="L8060"/>
    </row>
    <row r="8061" spans="1:12" x14ac:dyDescent="0.25">
      <c r="A8061"/>
      <c r="B8061"/>
      <c r="D8061"/>
      <c r="G8061"/>
      <c r="L8061"/>
    </row>
    <row r="8062" spans="1:12" x14ac:dyDescent="0.25">
      <c r="A8062"/>
      <c r="B8062"/>
      <c r="D8062"/>
      <c r="G8062"/>
      <c r="L8062"/>
    </row>
    <row r="8063" spans="1:12" x14ac:dyDescent="0.25">
      <c r="A8063"/>
      <c r="B8063"/>
      <c r="D8063"/>
      <c r="G8063"/>
      <c r="L8063"/>
    </row>
    <row r="8064" spans="1:12" x14ac:dyDescent="0.25">
      <c r="A8064"/>
      <c r="B8064"/>
      <c r="D8064"/>
      <c r="G8064"/>
      <c r="L8064"/>
    </row>
    <row r="8065" spans="1:12" x14ac:dyDescent="0.25">
      <c r="A8065"/>
      <c r="B8065"/>
      <c r="D8065"/>
      <c r="G8065"/>
      <c r="L8065"/>
    </row>
    <row r="8066" spans="1:12" x14ac:dyDescent="0.25">
      <c r="A8066"/>
      <c r="B8066"/>
      <c r="D8066"/>
      <c r="G8066"/>
      <c r="L8066"/>
    </row>
    <row r="8067" spans="1:12" x14ac:dyDescent="0.25">
      <c r="A8067"/>
      <c r="B8067"/>
      <c r="D8067"/>
      <c r="G8067"/>
      <c r="L8067"/>
    </row>
    <row r="8068" spans="1:12" x14ac:dyDescent="0.25">
      <c r="A8068"/>
      <c r="B8068"/>
      <c r="D8068"/>
      <c r="G8068"/>
      <c r="L8068"/>
    </row>
    <row r="8069" spans="1:12" x14ac:dyDescent="0.25">
      <c r="A8069"/>
      <c r="B8069"/>
      <c r="D8069"/>
      <c r="G8069"/>
      <c r="L8069"/>
    </row>
    <row r="8070" spans="1:12" x14ac:dyDescent="0.25">
      <c r="A8070"/>
      <c r="B8070"/>
      <c r="D8070"/>
      <c r="G8070"/>
      <c r="L8070"/>
    </row>
    <row r="8071" spans="1:12" x14ac:dyDescent="0.25">
      <c r="A8071"/>
      <c r="B8071"/>
      <c r="D8071"/>
      <c r="G8071"/>
      <c r="L8071"/>
    </row>
    <row r="8072" spans="1:12" x14ac:dyDescent="0.25">
      <c r="A8072"/>
      <c r="B8072"/>
      <c r="D8072"/>
      <c r="G8072"/>
      <c r="L8072"/>
    </row>
    <row r="8073" spans="1:12" x14ac:dyDescent="0.25">
      <c r="A8073"/>
      <c r="B8073"/>
      <c r="D8073"/>
      <c r="G8073"/>
      <c r="L8073"/>
    </row>
    <row r="8074" spans="1:12" x14ac:dyDescent="0.25">
      <c r="A8074"/>
      <c r="B8074"/>
      <c r="D8074"/>
      <c r="G8074"/>
      <c r="L8074"/>
    </row>
    <row r="8075" spans="1:12" x14ac:dyDescent="0.25">
      <c r="A8075"/>
      <c r="B8075"/>
      <c r="D8075"/>
      <c r="G8075"/>
      <c r="L8075"/>
    </row>
    <row r="8076" spans="1:12" x14ac:dyDescent="0.25">
      <c r="A8076"/>
      <c r="B8076"/>
      <c r="D8076"/>
      <c r="G8076"/>
      <c r="L8076"/>
    </row>
    <row r="8077" spans="1:12" x14ac:dyDescent="0.25">
      <c r="A8077"/>
      <c r="B8077"/>
      <c r="D8077"/>
      <c r="G8077"/>
      <c r="L8077"/>
    </row>
    <row r="8078" spans="1:12" x14ac:dyDescent="0.25">
      <c r="A8078"/>
      <c r="B8078"/>
      <c r="D8078"/>
      <c r="G8078"/>
      <c r="L8078"/>
    </row>
    <row r="8079" spans="1:12" x14ac:dyDescent="0.25">
      <c r="A8079"/>
      <c r="B8079"/>
      <c r="D8079"/>
      <c r="G8079"/>
      <c r="L8079"/>
    </row>
    <row r="8080" spans="1:12" x14ac:dyDescent="0.25">
      <c r="A8080"/>
      <c r="B8080"/>
      <c r="D8080"/>
      <c r="G8080"/>
      <c r="L8080"/>
    </row>
    <row r="8081" spans="1:12" x14ac:dyDescent="0.25">
      <c r="A8081"/>
      <c r="B8081"/>
      <c r="D8081"/>
      <c r="G8081"/>
      <c r="L8081"/>
    </row>
    <row r="8082" spans="1:12" x14ac:dyDescent="0.25">
      <c r="A8082"/>
      <c r="B8082"/>
      <c r="D8082"/>
      <c r="G8082"/>
      <c r="L8082"/>
    </row>
    <row r="8083" spans="1:12" x14ac:dyDescent="0.25">
      <c r="A8083"/>
      <c r="B8083"/>
      <c r="D8083"/>
      <c r="G8083"/>
      <c r="L8083"/>
    </row>
    <row r="8084" spans="1:12" x14ac:dyDescent="0.25">
      <c r="A8084"/>
      <c r="B8084"/>
      <c r="D8084"/>
      <c r="G8084"/>
      <c r="L8084"/>
    </row>
    <row r="8085" spans="1:12" x14ac:dyDescent="0.25">
      <c r="A8085"/>
      <c r="B8085"/>
      <c r="D8085"/>
      <c r="G8085"/>
      <c r="L8085"/>
    </row>
    <row r="8086" spans="1:12" x14ac:dyDescent="0.25">
      <c r="A8086"/>
      <c r="B8086"/>
      <c r="D8086"/>
      <c r="G8086"/>
      <c r="L8086"/>
    </row>
    <row r="8087" spans="1:12" x14ac:dyDescent="0.25">
      <c r="A8087"/>
      <c r="B8087"/>
      <c r="D8087"/>
      <c r="G8087"/>
      <c r="L8087"/>
    </row>
    <row r="8088" spans="1:12" x14ac:dyDescent="0.25">
      <c r="A8088"/>
      <c r="B8088"/>
      <c r="D8088"/>
      <c r="G8088"/>
      <c r="L8088"/>
    </row>
    <row r="8089" spans="1:12" x14ac:dyDescent="0.25">
      <c r="A8089"/>
      <c r="B8089"/>
      <c r="D8089"/>
      <c r="G8089"/>
      <c r="L8089"/>
    </row>
    <row r="8090" spans="1:12" x14ac:dyDescent="0.25">
      <c r="A8090"/>
      <c r="B8090"/>
      <c r="D8090"/>
      <c r="G8090"/>
      <c r="L8090"/>
    </row>
    <row r="8091" spans="1:12" x14ac:dyDescent="0.25">
      <c r="A8091"/>
      <c r="B8091"/>
      <c r="D8091"/>
      <c r="G8091"/>
      <c r="L8091"/>
    </row>
    <row r="8092" spans="1:12" x14ac:dyDescent="0.25">
      <c r="A8092"/>
      <c r="B8092"/>
      <c r="D8092"/>
      <c r="G8092"/>
      <c r="L8092"/>
    </row>
    <row r="8093" spans="1:12" x14ac:dyDescent="0.25">
      <c r="A8093"/>
      <c r="B8093"/>
      <c r="D8093"/>
      <c r="G8093"/>
      <c r="L8093"/>
    </row>
    <row r="8094" spans="1:12" x14ac:dyDescent="0.25">
      <c r="A8094"/>
      <c r="B8094"/>
      <c r="D8094"/>
      <c r="G8094"/>
      <c r="L8094"/>
    </row>
    <row r="8095" spans="1:12" x14ac:dyDescent="0.25">
      <c r="A8095"/>
      <c r="B8095"/>
      <c r="D8095"/>
      <c r="G8095"/>
      <c r="L8095"/>
    </row>
    <row r="8096" spans="1:12" x14ac:dyDescent="0.25">
      <c r="A8096"/>
      <c r="B8096"/>
      <c r="D8096"/>
      <c r="G8096"/>
      <c r="L8096"/>
    </row>
    <row r="8097" spans="1:12" x14ac:dyDescent="0.25">
      <c r="A8097"/>
      <c r="B8097"/>
      <c r="D8097"/>
      <c r="G8097"/>
      <c r="L8097"/>
    </row>
    <row r="8098" spans="1:12" x14ac:dyDescent="0.25">
      <c r="A8098"/>
      <c r="B8098"/>
      <c r="D8098"/>
      <c r="G8098"/>
      <c r="L8098"/>
    </row>
    <row r="8099" spans="1:12" x14ac:dyDescent="0.25">
      <c r="A8099"/>
      <c r="B8099"/>
      <c r="D8099"/>
      <c r="G8099"/>
      <c r="L8099"/>
    </row>
    <row r="8100" spans="1:12" x14ac:dyDescent="0.25">
      <c r="A8100"/>
      <c r="B8100"/>
      <c r="D8100"/>
      <c r="G8100"/>
      <c r="L8100"/>
    </row>
    <row r="8101" spans="1:12" x14ac:dyDescent="0.25">
      <c r="A8101"/>
      <c r="B8101"/>
      <c r="D8101"/>
      <c r="G8101"/>
      <c r="L8101"/>
    </row>
    <row r="8102" spans="1:12" x14ac:dyDescent="0.25">
      <c r="A8102"/>
      <c r="B8102"/>
      <c r="D8102"/>
      <c r="G8102"/>
      <c r="L8102"/>
    </row>
    <row r="8103" spans="1:12" x14ac:dyDescent="0.25">
      <c r="A8103"/>
      <c r="B8103"/>
      <c r="D8103"/>
      <c r="G8103"/>
      <c r="L8103"/>
    </row>
    <row r="8104" spans="1:12" x14ac:dyDescent="0.25">
      <c r="A8104"/>
      <c r="B8104"/>
      <c r="D8104"/>
      <c r="G8104"/>
      <c r="L8104"/>
    </row>
    <row r="8105" spans="1:12" x14ac:dyDescent="0.25">
      <c r="A8105"/>
      <c r="B8105"/>
      <c r="D8105"/>
      <c r="G8105"/>
      <c r="L8105"/>
    </row>
    <row r="8106" spans="1:12" x14ac:dyDescent="0.25">
      <c r="A8106"/>
      <c r="B8106"/>
      <c r="D8106"/>
      <c r="G8106"/>
      <c r="L8106"/>
    </row>
    <row r="8107" spans="1:12" x14ac:dyDescent="0.25">
      <c r="A8107"/>
      <c r="B8107"/>
      <c r="D8107"/>
      <c r="G8107"/>
      <c r="L8107"/>
    </row>
    <row r="8108" spans="1:12" x14ac:dyDescent="0.25">
      <c r="A8108"/>
      <c r="B8108"/>
      <c r="D8108"/>
      <c r="G8108"/>
      <c r="L8108"/>
    </row>
    <row r="8109" spans="1:12" x14ac:dyDescent="0.25">
      <c r="A8109"/>
      <c r="B8109"/>
      <c r="D8109"/>
      <c r="G8109"/>
      <c r="L8109"/>
    </row>
    <row r="8110" spans="1:12" x14ac:dyDescent="0.25">
      <c r="A8110"/>
      <c r="B8110"/>
      <c r="D8110"/>
      <c r="G8110"/>
      <c r="L8110"/>
    </row>
    <row r="8111" spans="1:12" x14ac:dyDescent="0.25">
      <c r="A8111"/>
      <c r="B8111"/>
      <c r="D8111"/>
      <c r="G8111"/>
      <c r="L8111"/>
    </row>
    <row r="8112" spans="1:12" x14ac:dyDescent="0.25">
      <c r="A8112"/>
      <c r="B8112"/>
      <c r="D8112"/>
      <c r="G8112"/>
      <c r="L8112"/>
    </row>
    <row r="8113" spans="1:12" x14ac:dyDescent="0.25">
      <c r="A8113"/>
      <c r="B8113"/>
      <c r="D8113"/>
      <c r="G8113"/>
      <c r="L8113"/>
    </row>
    <row r="8114" spans="1:12" x14ac:dyDescent="0.25">
      <c r="A8114"/>
      <c r="B8114"/>
      <c r="D8114"/>
      <c r="G8114"/>
      <c r="L8114"/>
    </row>
    <row r="8115" spans="1:12" x14ac:dyDescent="0.25">
      <c r="A8115"/>
      <c r="B8115"/>
      <c r="D8115"/>
      <c r="G8115"/>
      <c r="L8115"/>
    </row>
    <row r="8116" spans="1:12" x14ac:dyDescent="0.25">
      <c r="A8116"/>
      <c r="B8116"/>
      <c r="D8116"/>
      <c r="G8116"/>
      <c r="L8116"/>
    </row>
    <row r="8117" spans="1:12" x14ac:dyDescent="0.25">
      <c r="A8117"/>
      <c r="B8117"/>
      <c r="D8117"/>
      <c r="G8117"/>
      <c r="L8117"/>
    </row>
    <row r="8118" spans="1:12" x14ac:dyDescent="0.25">
      <c r="A8118"/>
      <c r="B8118"/>
      <c r="D8118"/>
      <c r="G8118"/>
      <c r="L8118"/>
    </row>
    <row r="8119" spans="1:12" x14ac:dyDescent="0.25">
      <c r="A8119"/>
      <c r="B8119"/>
      <c r="D8119"/>
      <c r="G8119"/>
      <c r="L8119"/>
    </row>
    <row r="8120" spans="1:12" x14ac:dyDescent="0.25">
      <c r="A8120"/>
      <c r="B8120"/>
      <c r="D8120"/>
      <c r="G8120"/>
      <c r="L8120"/>
    </row>
    <row r="8121" spans="1:12" x14ac:dyDescent="0.25">
      <c r="A8121"/>
      <c r="B8121"/>
      <c r="D8121"/>
      <c r="G8121"/>
      <c r="L8121"/>
    </row>
    <row r="8122" spans="1:12" x14ac:dyDescent="0.25">
      <c r="A8122"/>
      <c r="B8122"/>
      <c r="D8122"/>
      <c r="G8122"/>
      <c r="L8122"/>
    </row>
    <row r="8123" spans="1:12" x14ac:dyDescent="0.25">
      <c r="A8123"/>
      <c r="B8123"/>
      <c r="D8123"/>
      <c r="G8123"/>
      <c r="L8123"/>
    </row>
    <row r="8124" spans="1:12" x14ac:dyDescent="0.25">
      <c r="A8124"/>
      <c r="B8124"/>
      <c r="D8124"/>
      <c r="G8124"/>
      <c r="L8124"/>
    </row>
    <row r="8125" spans="1:12" x14ac:dyDescent="0.25">
      <c r="A8125"/>
      <c r="B8125"/>
      <c r="D8125"/>
      <c r="G8125"/>
      <c r="L8125"/>
    </row>
    <row r="8126" spans="1:12" x14ac:dyDescent="0.25">
      <c r="A8126"/>
      <c r="B8126"/>
      <c r="D8126"/>
      <c r="G8126"/>
      <c r="L8126"/>
    </row>
    <row r="8127" spans="1:12" x14ac:dyDescent="0.25">
      <c r="A8127"/>
      <c r="B8127"/>
      <c r="D8127"/>
      <c r="G8127"/>
      <c r="L8127"/>
    </row>
    <row r="8128" spans="1:12" x14ac:dyDescent="0.25">
      <c r="A8128"/>
      <c r="B8128"/>
      <c r="D8128"/>
      <c r="G8128"/>
      <c r="L8128"/>
    </row>
    <row r="8129" spans="1:12" x14ac:dyDescent="0.25">
      <c r="A8129"/>
      <c r="B8129"/>
      <c r="D8129"/>
      <c r="G8129"/>
      <c r="L8129"/>
    </row>
    <row r="8130" spans="1:12" x14ac:dyDescent="0.25">
      <c r="A8130"/>
      <c r="B8130"/>
      <c r="D8130"/>
      <c r="G8130"/>
      <c r="L8130"/>
    </row>
    <row r="8131" spans="1:12" x14ac:dyDescent="0.25">
      <c r="A8131"/>
      <c r="B8131"/>
      <c r="D8131"/>
      <c r="G8131"/>
      <c r="L8131"/>
    </row>
    <row r="8132" spans="1:12" x14ac:dyDescent="0.25">
      <c r="A8132"/>
      <c r="B8132"/>
      <c r="D8132"/>
      <c r="G8132"/>
      <c r="L8132"/>
    </row>
    <row r="8133" spans="1:12" x14ac:dyDescent="0.25">
      <c r="A8133"/>
      <c r="B8133"/>
      <c r="D8133"/>
      <c r="G8133"/>
      <c r="L8133"/>
    </row>
    <row r="8134" spans="1:12" x14ac:dyDescent="0.25">
      <c r="A8134"/>
      <c r="B8134"/>
      <c r="D8134"/>
      <c r="G8134"/>
      <c r="L8134"/>
    </row>
    <row r="8135" spans="1:12" x14ac:dyDescent="0.25">
      <c r="A8135"/>
      <c r="B8135"/>
      <c r="D8135"/>
      <c r="G8135"/>
      <c r="L8135"/>
    </row>
    <row r="8136" spans="1:12" x14ac:dyDescent="0.25">
      <c r="A8136"/>
      <c r="B8136"/>
      <c r="D8136"/>
      <c r="G8136"/>
      <c r="L8136"/>
    </row>
    <row r="8137" spans="1:12" x14ac:dyDescent="0.25">
      <c r="A8137"/>
      <c r="B8137"/>
      <c r="D8137"/>
      <c r="G8137"/>
      <c r="L8137"/>
    </row>
    <row r="8138" spans="1:12" x14ac:dyDescent="0.25">
      <c r="A8138"/>
      <c r="B8138"/>
      <c r="D8138"/>
      <c r="G8138"/>
      <c r="L8138"/>
    </row>
    <row r="8139" spans="1:12" x14ac:dyDescent="0.25">
      <c r="A8139"/>
      <c r="B8139"/>
      <c r="D8139"/>
      <c r="G8139"/>
      <c r="L8139"/>
    </row>
    <row r="8140" spans="1:12" x14ac:dyDescent="0.25">
      <c r="A8140"/>
      <c r="B8140"/>
      <c r="D8140"/>
      <c r="G8140"/>
      <c r="L8140"/>
    </row>
    <row r="8141" spans="1:12" x14ac:dyDescent="0.25">
      <c r="A8141"/>
      <c r="B8141"/>
      <c r="D8141"/>
      <c r="G8141"/>
      <c r="L8141"/>
    </row>
    <row r="8142" spans="1:12" x14ac:dyDescent="0.25">
      <c r="A8142"/>
      <c r="B8142"/>
      <c r="D8142"/>
      <c r="G8142"/>
      <c r="L8142"/>
    </row>
    <row r="8143" spans="1:12" x14ac:dyDescent="0.25">
      <c r="A8143"/>
      <c r="B8143"/>
      <c r="D8143"/>
      <c r="G8143"/>
      <c r="L8143"/>
    </row>
    <row r="8144" spans="1:12" x14ac:dyDescent="0.25">
      <c r="A8144"/>
      <c r="B8144"/>
      <c r="D8144"/>
      <c r="G8144"/>
      <c r="L8144"/>
    </row>
    <row r="8145" spans="1:12" x14ac:dyDescent="0.25">
      <c r="A8145"/>
      <c r="B8145"/>
      <c r="D8145"/>
      <c r="G8145"/>
      <c r="L8145"/>
    </row>
    <row r="8146" spans="1:12" x14ac:dyDescent="0.25">
      <c r="A8146"/>
      <c r="B8146"/>
      <c r="D8146"/>
      <c r="G8146"/>
      <c r="L8146"/>
    </row>
    <row r="8147" spans="1:12" x14ac:dyDescent="0.25">
      <c r="A8147"/>
      <c r="B8147"/>
      <c r="D8147"/>
      <c r="G8147"/>
      <c r="L8147"/>
    </row>
    <row r="8148" spans="1:12" x14ac:dyDescent="0.25">
      <c r="A8148"/>
      <c r="B8148"/>
      <c r="D8148"/>
      <c r="G8148"/>
      <c r="L8148"/>
    </row>
    <row r="8149" spans="1:12" x14ac:dyDescent="0.25">
      <c r="A8149"/>
      <c r="B8149"/>
      <c r="D8149"/>
      <c r="G8149"/>
      <c r="L8149"/>
    </row>
    <row r="8150" spans="1:12" x14ac:dyDescent="0.25">
      <c r="A8150"/>
      <c r="B8150"/>
      <c r="D8150"/>
      <c r="G8150"/>
      <c r="L8150"/>
    </row>
    <row r="8151" spans="1:12" x14ac:dyDescent="0.25">
      <c r="A8151"/>
      <c r="B8151"/>
      <c r="D8151"/>
      <c r="G8151"/>
      <c r="L8151"/>
    </row>
    <row r="8152" spans="1:12" x14ac:dyDescent="0.25">
      <c r="A8152"/>
      <c r="B8152"/>
      <c r="D8152"/>
      <c r="G8152"/>
      <c r="L8152"/>
    </row>
    <row r="8153" spans="1:12" x14ac:dyDescent="0.25">
      <c r="A8153"/>
      <c r="B8153"/>
      <c r="D8153"/>
      <c r="G8153"/>
      <c r="L8153"/>
    </row>
    <row r="8154" spans="1:12" x14ac:dyDescent="0.25">
      <c r="A8154"/>
      <c r="B8154"/>
      <c r="D8154"/>
      <c r="G8154"/>
      <c r="L8154"/>
    </row>
    <row r="8155" spans="1:12" x14ac:dyDescent="0.25">
      <c r="A8155"/>
      <c r="B8155"/>
      <c r="D8155"/>
      <c r="G8155"/>
      <c r="L8155"/>
    </row>
    <row r="8156" spans="1:12" x14ac:dyDescent="0.25">
      <c r="A8156"/>
      <c r="B8156"/>
      <c r="D8156"/>
      <c r="G8156"/>
      <c r="L8156"/>
    </row>
    <row r="8157" spans="1:12" x14ac:dyDescent="0.25">
      <c r="A8157"/>
      <c r="B8157"/>
      <c r="D8157"/>
      <c r="G8157"/>
      <c r="L8157"/>
    </row>
    <row r="8158" spans="1:12" x14ac:dyDescent="0.25">
      <c r="A8158"/>
      <c r="B8158"/>
      <c r="D8158"/>
      <c r="G8158"/>
      <c r="L8158"/>
    </row>
    <row r="8159" spans="1:12" x14ac:dyDescent="0.25">
      <c r="A8159"/>
      <c r="B8159"/>
      <c r="D8159"/>
      <c r="G8159"/>
      <c r="L8159"/>
    </row>
    <row r="8160" spans="1:12" x14ac:dyDescent="0.25">
      <c r="A8160"/>
      <c r="B8160"/>
      <c r="D8160"/>
      <c r="G8160"/>
      <c r="L8160"/>
    </row>
    <row r="8161" spans="1:12" x14ac:dyDescent="0.25">
      <c r="A8161"/>
      <c r="B8161"/>
      <c r="D8161"/>
      <c r="G8161"/>
      <c r="L8161"/>
    </row>
    <row r="8162" spans="1:12" x14ac:dyDescent="0.25">
      <c r="A8162"/>
      <c r="B8162"/>
      <c r="D8162"/>
      <c r="G8162"/>
      <c r="L8162"/>
    </row>
    <row r="8163" spans="1:12" x14ac:dyDescent="0.25">
      <c r="A8163"/>
      <c r="B8163"/>
      <c r="D8163"/>
      <c r="G8163"/>
      <c r="L8163"/>
    </row>
    <row r="8164" spans="1:12" x14ac:dyDescent="0.25">
      <c r="A8164"/>
      <c r="B8164"/>
      <c r="D8164"/>
      <c r="G8164"/>
      <c r="L8164"/>
    </row>
    <row r="8165" spans="1:12" x14ac:dyDescent="0.25">
      <c r="A8165"/>
      <c r="B8165"/>
      <c r="D8165"/>
      <c r="G8165"/>
      <c r="L8165"/>
    </row>
    <row r="8166" spans="1:12" x14ac:dyDescent="0.25">
      <c r="A8166"/>
      <c r="B8166"/>
      <c r="D8166"/>
      <c r="G8166"/>
      <c r="L8166"/>
    </row>
    <row r="8167" spans="1:12" x14ac:dyDescent="0.25">
      <c r="A8167"/>
      <c r="B8167"/>
      <c r="D8167"/>
      <c r="G8167"/>
      <c r="L8167"/>
    </row>
    <row r="8168" spans="1:12" x14ac:dyDescent="0.25">
      <c r="A8168"/>
      <c r="B8168"/>
      <c r="D8168"/>
      <c r="G8168"/>
      <c r="L8168"/>
    </row>
    <row r="8169" spans="1:12" x14ac:dyDescent="0.25">
      <c r="A8169"/>
      <c r="B8169"/>
      <c r="D8169"/>
      <c r="G8169"/>
      <c r="L8169"/>
    </row>
    <row r="8170" spans="1:12" x14ac:dyDescent="0.25">
      <c r="A8170"/>
      <c r="B8170"/>
      <c r="D8170"/>
      <c r="G8170"/>
      <c r="L8170"/>
    </row>
    <row r="8171" spans="1:12" x14ac:dyDescent="0.25">
      <c r="A8171"/>
      <c r="B8171"/>
      <c r="D8171"/>
      <c r="G8171"/>
      <c r="L8171"/>
    </row>
    <row r="8172" spans="1:12" x14ac:dyDescent="0.25">
      <c r="A8172"/>
      <c r="B8172"/>
      <c r="D8172"/>
      <c r="G8172"/>
      <c r="L8172"/>
    </row>
    <row r="8173" spans="1:12" x14ac:dyDescent="0.25">
      <c r="A8173"/>
      <c r="B8173"/>
      <c r="D8173"/>
      <c r="G8173"/>
      <c r="L8173"/>
    </row>
    <row r="8174" spans="1:12" x14ac:dyDescent="0.25">
      <c r="A8174"/>
      <c r="B8174"/>
      <c r="D8174"/>
      <c r="G8174"/>
      <c r="L8174"/>
    </row>
    <row r="8175" spans="1:12" x14ac:dyDescent="0.25">
      <c r="A8175"/>
      <c r="B8175"/>
      <c r="D8175"/>
      <c r="G8175"/>
      <c r="L8175"/>
    </row>
    <row r="8176" spans="1:12" x14ac:dyDescent="0.25">
      <c r="A8176"/>
      <c r="B8176"/>
      <c r="D8176"/>
      <c r="G8176"/>
      <c r="L8176"/>
    </row>
    <row r="8177" spans="1:12" x14ac:dyDescent="0.25">
      <c r="A8177"/>
      <c r="B8177"/>
      <c r="D8177"/>
      <c r="G8177"/>
      <c r="L8177"/>
    </row>
    <row r="8178" spans="1:12" x14ac:dyDescent="0.25">
      <c r="A8178"/>
      <c r="B8178"/>
      <c r="D8178"/>
      <c r="G8178"/>
      <c r="L8178"/>
    </row>
    <row r="8179" spans="1:12" x14ac:dyDescent="0.25">
      <c r="A8179"/>
      <c r="B8179"/>
      <c r="D8179"/>
      <c r="G8179"/>
      <c r="L8179"/>
    </row>
    <row r="8180" spans="1:12" x14ac:dyDescent="0.25">
      <c r="A8180"/>
      <c r="B8180"/>
      <c r="D8180"/>
      <c r="G8180"/>
      <c r="L8180"/>
    </row>
    <row r="8181" spans="1:12" x14ac:dyDescent="0.25">
      <c r="A8181"/>
      <c r="B8181"/>
      <c r="D8181"/>
      <c r="G8181"/>
      <c r="L8181"/>
    </row>
    <row r="8182" spans="1:12" x14ac:dyDescent="0.25">
      <c r="A8182"/>
      <c r="B8182"/>
      <c r="D8182"/>
      <c r="G8182"/>
      <c r="L8182"/>
    </row>
    <row r="8183" spans="1:12" x14ac:dyDescent="0.25">
      <c r="A8183"/>
      <c r="B8183"/>
      <c r="D8183"/>
      <c r="G8183"/>
      <c r="L8183"/>
    </row>
    <row r="8184" spans="1:12" x14ac:dyDescent="0.25">
      <c r="A8184"/>
      <c r="B8184"/>
      <c r="D8184"/>
      <c r="G8184"/>
      <c r="L8184"/>
    </row>
    <row r="8185" spans="1:12" x14ac:dyDescent="0.25">
      <c r="A8185"/>
      <c r="B8185"/>
      <c r="D8185"/>
      <c r="G8185"/>
      <c r="L8185"/>
    </row>
    <row r="8186" spans="1:12" x14ac:dyDescent="0.25">
      <c r="A8186"/>
      <c r="B8186"/>
      <c r="D8186"/>
      <c r="G8186"/>
      <c r="L8186"/>
    </row>
    <row r="8187" spans="1:12" x14ac:dyDescent="0.25">
      <c r="A8187"/>
      <c r="B8187"/>
      <c r="D8187"/>
      <c r="G8187"/>
      <c r="L8187"/>
    </row>
    <row r="8188" spans="1:12" x14ac:dyDescent="0.25">
      <c r="A8188"/>
      <c r="B8188"/>
      <c r="D8188"/>
      <c r="G8188"/>
      <c r="L8188"/>
    </row>
    <row r="8189" spans="1:12" x14ac:dyDescent="0.25">
      <c r="A8189"/>
      <c r="B8189"/>
      <c r="D8189"/>
      <c r="G8189"/>
      <c r="L8189"/>
    </row>
    <row r="8190" spans="1:12" x14ac:dyDescent="0.25">
      <c r="A8190"/>
      <c r="B8190"/>
      <c r="D8190"/>
      <c r="G8190"/>
      <c r="L8190"/>
    </row>
    <row r="8191" spans="1:12" x14ac:dyDescent="0.25">
      <c r="A8191"/>
      <c r="B8191"/>
      <c r="D8191"/>
      <c r="G8191"/>
      <c r="L8191"/>
    </row>
    <row r="8192" spans="1:12" x14ac:dyDescent="0.25">
      <c r="A8192"/>
      <c r="B8192"/>
      <c r="D8192"/>
      <c r="G8192"/>
      <c r="L8192"/>
    </row>
    <row r="8193" spans="1:12" x14ac:dyDescent="0.25">
      <c r="A8193"/>
      <c r="B8193"/>
      <c r="D8193"/>
      <c r="G8193"/>
      <c r="L8193"/>
    </row>
    <row r="8194" spans="1:12" x14ac:dyDescent="0.25">
      <c r="A8194"/>
      <c r="B8194"/>
      <c r="D8194"/>
      <c r="G8194"/>
      <c r="L8194"/>
    </row>
    <row r="8195" spans="1:12" x14ac:dyDescent="0.25">
      <c r="A8195"/>
      <c r="B8195"/>
      <c r="D8195"/>
      <c r="G8195"/>
      <c r="L8195"/>
    </row>
    <row r="8196" spans="1:12" x14ac:dyDescent="0.25">
      <c r="A8196"/>
      <c r="B8196"/>
      <c r="D8196"/>
      <c r="G8196"/>
      <c r="L8196"/>
    </row>
    <row r="8197" spans="1:12" x14ac:dyDescent="0.25">
      <c r="A8197"/>
      <c r="B8197"/>
      <c r="D8197"/>
      <c r="G8197"/>
      <c r="L8197"/>
    </row>
    <row r="8198" spans="1:12" x14ac:dyDescent="0.25">
      <c r="A8198"/>
      <c r="B8198"/>
      <c r="D8198"/>
      <c r="G8198"/>
      <c r="L8198"/>
    </row>
    <row r="8199" spans="1:12" x14ac:dyDescent="0.25">
      <c r="A8199"/>
      <c r="B8199"/>
      <c r="D8199"/>
      <c r="G8199"/>
      <c r="L8199"/>
    </row>
    <row r="8200" spans="1:12" x14ac:dyDescent="0.25">
      <c r="A8200"/>
      <c r="B8200"/>
      <c r="D8200"/>
      <c r="G8200"/>
      <c r="L8200"/>
    </row>
    <row r="8201" spans="1:12" x14ac:dyDescent="0.25">
      <c r="A8201"/>
      <c r="B8201"/>
      <c r="D8201"/>
      <c r="G8201"/>
      <c r="L8201"/>
    </row>
    <row r="8202" spans="1:12" x14ac:dyDescent="0.25">
      <c r="A8202"/>
      <c r="B8202"/>
      <c r="D8202"/>
      <c r="G8202"/>
      <c r="L8202"/>
    </row>
    <row r="8203" spans="1:12" x14ac:dyDescent="0.25">
      <c r="A8203"/>
      <c r="B8203"/>
      <c r="D8203"/>
      <c r="G8203"/>
      <c r="L8203"/>
    </row>
    <row r="8204" spans="1:12" x14ac:dyDescent="0.25">
      <c r="A8204"/>
      <c r="B8204"/>
      <c r="D8204"/>
      <c r="G8204"/>
      <c r="L8204"/>
    </row>
    <row r="8205" spans="1:12" x14ac:dyDescent="0.25">
      <c r="A8205"/>
      <c r="B8205"/>
      <c r="D8205"/>
      <c r="G8205"/>
      <c r="L8205"/>
    </row>
    <row r="8206" spans="1:12" x14ac:dyDescent="0.25">
      <c r="A8206"/>
      <c r="B8206"/>
      <c r="D8206"/>
      <c r="G8206"/>
      <c r="L8206"/>
    </row>
    <row r="8207" spans="1:12" x14ac:dyDescent="0.25">
      <c r="A8207"/>
      <c r="B8207"/>
      <c r="D8207"/>
      <c r="G8207"/>
      <c r="L8207"/>
    </row>
    <row r="8208" spans="1:12" x14ac:dyDescent="0.25">
      <c r="A8208"/>
      <c r="B8208"/>
      <c r="D8208"/>
      <c r="G8208"/>
      <c r="L8208"/>
    </row>
    <row r="8209" spans="1:12" x14ac:dyDescent="0.25">
      <c r="A8209"/>
      <c r="B8209"/>
      <c r="D8209"/>
      <c r="G8209"/>
      <c r="L8209"/>
    </row>
    <row r="8210" spans="1:12" x14ac:dyDescent="0.25">
      <c r="A8210"/>
      <c r="B8210"/>
      <c r="D8210"/>
      <c r="G8210"/>
      <c r="L8210"/>
    </row>
    <row r="8211" spans="1:12" x14ac:dyDescent="0.25">
      <c r="A8211"/>
      <c r="B8211"/>
      <c r="D8211"/>
      <c r="G8211"/>
      <c r="L8211"/>
    </row>
    <row r="8212" spans="1:12" x14ac:dyDescent="0.25">
      <c r="A8212"/>
      <c r="B8212"/>
      <c r="D8212"/>
      <c r="G8212"/>
      <c r="L8212"/>
    </row>
    <row r="8213" spans="1:12" x14ac:dyDescent="0.25">
      <c r="A8213"/>
      <c r="B8213"/>
      <c r="D8213"/>
      <c r="G8213"/>
      <c r="L8213"/>
    </row>
    <row r="8214" spans="1:12" x14ac:dyDescent="0.25">
      <c r="A8214"/>
      <c r="B8214"/>
      <c r="D8214"/>
      <c r="G8214"/>
      <c r="L8214"/>
    </row>
    <row r="8215" spans="1:12" x14ac:dyDescent="0.25">
      <c r="A8215"/>
      <c r="B8215"/>
      <c r="D8215"/>
      <c r="G8215"/>
      <c r="L8215"/>
    </row>
    <row r="8216" spans="1:12" x14ac:dyDescent="0.25">
      <c r="A8216"/>
      <c r="B8216"/>
      <c r="D8216"/>
      <c r="G8216"/>
      <c r="L8216"/>
    </row>
    <row r="8217" spans="1:12" x14ac:dyDescent="0.25">
      <c r="A8217"/>
      <c r="B8217"/>
      <c r="D8217"/>
      <c r="G8217"/>
      <c r="L8217"/>
    </row>
    <row r="8218" spans="1:12" x14ac:dyDescent="0.25">
      <c r="A8218"/>
      <c r="B8218"/>
      <c r="D8218"/>
      <c r="G8218"/>
      <c r="L8218"/>
    </row>
    <row r="8219" spans="1:12" x14ac:dyDescent="0.25">
      <c r="A8219"/>
      <c r="B8219"/>
      <c r="D8219"/>
      <c r="G8219"/>
      <c r="L8219"/>
    </row>
    <row r="8220" spans="1:12" x14ac:dyDescent="0.25">
      <c r="A8220"/>
      <c r="B8220"/>
      <c r="D8220"/>
      <c r="G8220"/>
      <c r="L8220"/>
    </row>
    <row r="8221" spans="1:12" x14ac:dyDescent="0.25">
      <c r="A8221"/>
      <c r="B8221"/>
      <c r="D8221"/>
      <c r="G8221"/>
      <c r="L8221"/>
    </row>
    <row r="8222" spans="1:12" x14ac:dyDescent="0.25">
      <c r="A8222"/>
      <c r="B8222"/>
      <c r="D8222"/>
      <c r="G8222"/>
      <c r="L8222"/>
    </row>
    <row r="8223" spans="1:12" x14ac:dyDescent="0.25">
      <c r="A8223"/>
      <c r="B8223"/>
      <c r="D8223"/>
      <c r="G8223"/>
      <c r="L8223"/>
    </row>
    <row r="8224" spans="1:12" x14ac:dyDescent="0.25">
      <c r="A8224"/>
      <c r="B8224"/>
      <c r="D8224"/>
      <c r="G8224"/>
      <c r="L8224"/>
    </row>
    <row r="8225" spans="1:12" x14ac:dyDescent="0.25">
      <c r="A8225"/>
      <c r="B8225"/>
      <c r="D8225"/>
      <c r="G8225"/>
      <c r="L8225"/>
    </row>
    <row r="8226" spans="1:12" x14ac:dyDescent="0.25">
      <c r="A8226"/>
      <c r="B8226"/>
      <c r="D8226"/>
      <c r="G8226"/>
      <c r="L8226"/>
    </row>
    <row r="8227" spans="1:12" x14ac:dyDescent="0.25">
      <c r="A8227"/>
      <c r="B8227"/>
      <c r="D8227"/>
      <c r="G8227"/>
      <c r="L8227"/>
    </row>
    <row r="8228" spans="1:12" x14ac:dyDescent="0.25">
      <c r="A8228"/>
      <c r="B8228"/>
      <c r="D8228"/>
      <c r="G8228"/>
      <c r="L8228"/>
    </row>
    <row r="8229" spans="1:12" x14ac:dyDescent="0.25">
      <c r="A8229"/>
      <c r="B8229"/>
      <c r="D8229"/>
      <c r="G8229"/>
      <c r="L8229"/>
    </row>
    <row r="8230" spans="1:12" x14ac:dyDescent="0.25">
      <c r="A8230"/>
      <c r="B8230"/>
      <c r="D8230"/>
      <c r="G8230"/>
      <c r="L8230"/>
    </row>
    <row r="8231" spans="1:12" x14ac:dyDescent="0.25">
      <c r="A8231"/>
      <c r="B8231"/>
      <c r="D8231"/>
      <c r="G8231"/>
      <c r="L8231"/>
    </row>
    <row r="8232" spans="1:12" x14ac:dyDescent="0.25">
      <c r="A8232"/>
      <c r="B8232"/>
      <c r="D8232"/>
      <c r="G8232"/>
      <c r="L8232"/>
    </row>
    <row r="8233" spans="1:12" x14ac:dyDescent="0.25">
      <c r="A8233"/>
      <c r="B8233"/>
      <c r="D8233"/>
      <c r="G8233"/>
      <c r="L8233"/>
    </row>
    <row r="8234" spans="1:12" x14ac:dyDescent="0.25">
      <c r="A8234"/>
      <c r="B8234"/>
      <c r="D8234"/>
      <c r="G8234"/>
      <c r="L8234"/>
    </row>
    <row r="8235" spans="1:12" x14ac:dyDescent="0.25">
      <c r="A8235"/>
      <c r="B8235"/>
      <c r="D8235"/>
      <c r="G8235"/>
      <c r="L8235"/>
    </row>
    <row r="8236" spans="1:12" x14ac:dyDescent="0.25">
      <c r="A8236"/>
      <c r="B8236"/>
      <c r="D8236"/>
      <c r="G8236"/>
      <c r="L8236"/>
    </row>
    <row r="8237" spans="1:12" x14ac:dyDescent="0.25">
      <c r="A8237"/>
      <c r="B8237"/>
      <c r="D8237"/>
      <c r="G8237"/>
      <c r="L8237"/>
    </row>
    <row r="8238" spans="1:12" x14ac:dyDescent="0.25">
      <c r="A8238"/>
      <c r="B8238"/>
      <c r="D8238"/>
      <c r="G8238"/>
      <c r="L8238"/>
    </row>
    <row r="8239" spans="1:12" x14ac:dyDescent="0.25">
      <c r="A8239"/>
      <c r="B8239"/>
      <c r="D8239"/>
      <c r="G8239"/>
      <c r="L8239"/>
    </row>
    <row r="8240" spans="1:12" x14ac:dyDescent="0.25">
      <c r="A8240"/>
      <c r="B8240"/>
      <c r="D8240"/>
      <c r="G8240"/>
      <c r="L8240"/>
    </row>
    <row r="8241" spans="1:12" x14ac:dyDescent="0.25">
      <c r="A8241"/>
      <c r="B8241"/>
      <c r="D8241"/>
      <c r="G8241"/>
      <c r="L8241"/>
    </row>
    <row r="8242" spans="1:12" x14ac:dyDescent="0.25">
      <c r="A8242"/>
      <c r="B8242"/>
      <c r="D8242"/>
      <c r="G8242"/>
      <c r="L8242"/>
    </row>
    <row r="8243" spans="1:12" x14ac:dyDescent="0.25">
      <c r="A8243"/>
      <c r="B8243"/>
      <c r="D8243"/>
      <c r="G8243"/>
      <c r="L8243"/>
    </row>
    <row r="8244" spans="1:12" x14ac:dyDescent="0.25">
      <c r="A8244"/>
      <c r="B8244"/>
      <c r="D8244"/>
      <c r="G8244"/>
      <c r="L8244"/>
    </row>
    <row r="8245" spans="1:12" x14ac:dyDescent="0.25">
      <c r="A8245"/>
      <c r="B8245"/>
      <c r="D8245"/>
      <c r="G8245"/>
      <c r="L8245"/>
    </row>
    <row r="8246" spans="1:12" x14ac:dyDescent="0.25">
      <c r="A8246"/>
      <c r="B8246"/>
      <c r="D8246"/>
      <c r="G8246"/>
      <c r="L8246"/>
    </row>
    <row r="8247" spans="1:12" x14ac:dyDescent="0.25">
      <c r="A8247"/>
      <c r="B8247"/>
      <c r="D8247"/>
      <c r="G8247"/>
      <c r="L8247"/>
    </row>
    <row r="8248" spans="1:12" x14ac:dyDescent="0.25">
      <c r="A8248"/>
      <c r="B8248"/>
      <c r="D8248"/>
      <c r="G8248"/>
      <c r="L8248"/>
    </row>
    <row r="8249" spans="1:12" x14ac:dyDescent="0.25">
      <c r="A8249"/>
      <c r="B8249"/>
      <c r="D8249"/>
      <c r="G8249"/>
      <c r="L8249"/>
    </row>
    <row r="8250" spans="1:12" x14ac:dyDescent="0.25">
      <c r="A8250"/>
      <c r="B8250"/>
      <c r="D8250"/>
      <c r="G8250"/>
      <c r="L8250"/>
    </row>
    <row r="8251" spans="1:12" x14ac:dyDescent="0.25">
      <c r="A8251"/>
      <c r="B8251"/>
      <c r="D8251"/>
      <c r="G8251"/>
      <c r="L8251"/>
    </row>
    <row r="8252" spans="1:12" x14ac:dyDescent="0.25">
      <c r="A8252"/>
      <c r="B8252"/>
      <c r="D8252"/>
      <c r="G8252"/>
      <c r="L8252"/>
    </row>
    <row r="8253" spans="1:12" x14ac:dyDescent="0.25">
      <c r="A8253"/>
      <c r="B8253"/>
      <c r="D8253"/>
      <c r="G8253"/>
      <c r="L8253"/>
    </row>
    <row r="8254" spans="1:12" x14ac:dyDescent="0.25">
      <c r="A8254"/>
      <c r="B8254"/>
      <c r="D8254"/>
      <c r="G8254"/>
      <c r="L8254"/>
    </row>
    <row r="8255" spans="1:12" x14ac:dyDescent="0.25">
      <c r="A8255"/>
      <c r="B8255"/>
      <c r="D8255"/>
      <c r="G8255"/>
      <c r="L8255"/>
    </row>
    <row r="8256" spans="1:12" x14ac:dyDescent="0.25">
      <c r="A8256"/>
      <c r="B8256"/>
      <c r="D8256"/>
      <c r="G8256"/>
      <c r="L8256"/>
    </row>
    <row r="8257" spans="1:12" x14ac:dyDescent="0.25">
      <c r="A8257"/>
      <c r="B8257"/>
      <c r="D8257"/>
      <c r="G8257"/>
      <c r="L8257"/>
    </row>
    <row r="8258" spans="1:12" x14ac:dyDescent="0.25">
      <c r="A8258"/>
      <c r="B8258"/>
      <c r="D8258"/>
      <c r="G8258"/>
      <c r="L8258"/>
    </row>
    <row r="8259" spans="1:12" x14ac:dyDescent="0.25">
      <c r="A8259"/>
      <c r="B8259"/>
      <c r="D8259"/>
      <c r="G8259"/>
      <c r="L8259"/>
    </row>
    <row r="8260" spans="1:12" x14ac:dyDescent="0.25">
      <c r="A8260"/>
      <c r="B8260"/>
      <c r="D8260"/>
      <c r="G8260"/>
      <c r="L8260"/>
    </row>
    <row r="8261" spans="1:12" x14ac:dyDescent="0.25">
      <c r="A8261"/>
      <c r="B8261"/>
      <c r="D8261"/>
      <c r="G8261"/>
      <c r="L8261"/>
    </row>
    <row r="8262" spans="1:12" x14ac:dyDescent="0.25">
      <c r="A8262"/>
      <c r="B8262"/>
      <c r="D8262"/>
      <c r="G8262"/>
      <c r="L8262"/>
    </row>
    <row r="8263" spans="1:12" x14ac:dyDescent="0.25">
      <c r="A8263"/>
      <c r="B8263"/>
      <c r="D8263"/>
      <c r="G8263"/>
      <c r="L8263"/>
    </row>
    <row r="8264" spans="1:12" x14ac:dyDescent="0.25">
      <c r="A8264"/>
      <c r="B8264"/>
      <c r="D8264"/>
      <c r="G8264"/>
      <c r="L8264"/>
    </row>
    <row r="8265" spans="1:12" x14ac:dyDescent="0.25">
      <c r="A8265"/>
      <c r="B8265"/>
      <c r="D8265"/>
      <c r="G8265"/>
      <c r="L8265"/>
    </row>
    <row r="8266" spans="1:12" x14ac:dyDescent="0.25">
      <c r="A8266"/>
      <c r="B8266"/>
      <c r="D8266"/>
      <c r="G8266"/>
      <c r="L8266"/>
    </row>
    <row r="8267" spans="1:12" x14ac:dyDescent="0.25">
      <c r="A8267"/>
      <c r="B8267"/>
      <c r="D8267"/>
      <c r="G8267"/>
      <c r="L8267"/>
    </row>
    <row r="8268" spans="1:12" x14ac:dyDescent="0.25">
      <c r="A8268"/>
      <c r="B8268"/>
      <c r="D8268"/>
      <c r="G8268"/>
      <c r="L8268"/>
    </row>
    <row r="8269" spans="1:12" x14ac:dyDescent="0.25">
      <c r="A8269"/>
      <c r="B8269"/>
      <c r="D8269"/>
      <c r="G8269"/>
      <c r="L8269"/>
    </row>
    <row r="8270" spans="1:12" x14ac:dyDescent="0.25">
      <c r="A8270"/>
      <c r="B8270"/>
      <c r="D8270"/>
      <c r="G8270"/>
      <c r="L8270"/>
    </row>
    <row r="8271" spans="1:12" x14ac:dyDescent="0.25">
      <c r="A8271"/>
      <c r="B8271"/>
      <c r="D8271"/>
      <c r="G8271"/>
      <c r="L8271"/>
    </row>
    <row r="8272" spans="1:12" x14ac:dyDescent="0.25">
      <c r="A8272"/>
      <c r="B8272"/>
      <c r="D8272"/>
      <c r="G8272"/>
      <c r="L8272"/>
    </row>
    <row r="8273" spans="1:12" x14ac:dyDescent="0.25">
      <c r="A8273"/>
      <c r="B8273"/>
      <c r="D8273"/>
      <c r="G8273"/>
      <c r="L8273"/>
    </row>
    <row r="8274" spans="1:12" x14ac:dyDescent="0.25">
      <c r="A8274"/>
      <c r="B8274"/>
      <c r="D8274"/>
      <c r="G8274"/>
      <c r="L8274"/>
    </row>
    <row r="8275" spans="1:12" x14ac:dyDescent="0.25">
      <c r="A8275"/>
      <c r="B8275"/>
      <c r="D8275"/>
      <c r="G8275"/>
      <c r="L8275"/>
    </row>
    <row r="8276" spans="1:12" x14ac:dyDescent="0.25">
      <c r="A8276"/>
      <c r="B8276"/>
      <c r="D8276"/>
      <c r="G8276"/>
      <c r="L8276"/>
    </row>
    <row r="8277" spans="1:12" x14ac:dyDescent="0.25">
      <c r="A8277"/>
      <c r="B8277"/>
      <c r="D8277"/>
      <c r="G8277"/>
      <c r="L8277"/>
    </row>
    <row r="8278" spans="1:12" x14ac:dyDescent="0.25">
      <c r="A8278"/>
      <c r="B8278"/>
      <c r="D8278"/>
      <c r="G8278"/>
      <c r="L8278"/>
    </row>
    <row r="8279" spans="1:12" x14ac:dyDescent="0.25">
      <c r="A8279"/>
      <c r="B8279"/>
      <c r="D8279"/>
      <c r="G8279"/>
      <c r="L8279"/>
    </row>
    <row r="8280" spans="1:12" x14ac:dyDescent="0.25">
      <c r="A8280"/>
      <c r="B8280"/>
      <c r="D8280"/>
      <c r="G8280"/>
      <c r="L8280"/>
    </row>
    <row r="8281" spans="1:12" x14ac:dyDescent="0.25">
      <c r="A8281"/>
      <c r="B8281"/>
      <c r="D8281"/>
      <c r="G8281"/>
      <c r="L8281"/>
    </row>
    <row r="8282" spans="1:12" x14ac:dyDescent="0.25">
      <c r="A8282"/>
      <c r="B8282"/>
      <c r="D8282"/>
      <c r="G8282"/>
      <c r="L8282"/>
    </row>
    <row r="8283" spans="1:12" x14ac:dyDescent="0.25">
      <c r="A8283"/>
      <c r="B8283"/>
      <c r="D8283"/>
      <c r="G8283"/>
      <c r="L8283"/>
    </row>
    <row r="8284" spans="1:12" x14ac:dyDescent="0.25">
      <c r="A8284"/>
      <c r="B8284"/>
      <c r="D8284"/>
      <c r="G8284"/>
      <c r="L8284"/>
    </row>
    <row r="8285" spans="1:12" x14ac:dyDescent="0.25">
      <c r="A8285"/>
      <c r="B8285"/>
      <c r="D8285"/>
      <c r="G8285"/>
      <c r="L8285"/>
    </row>
    <row r="8286" spans="1:12" x14ac:dyDescent="0.25">
      <c r="A8286"/>
      <c r="B8286"/>
      <c r="D8286"/>
      <c r="G8286"/>
      <c r="L8286"/>
    </row>
    <row r="8287" spans="1:12" x14ac:dyDescent="0.25">
      <c r="A8287"/>
      <c r="B8287"/>
      <c r="D8287"/>
      <c r="G8287"/>
      <c r="L8287"/>
    </row>
    <row r="8288" spans="1:12" x14ac:dyDescent="0.25">
      <c r="A8288"/>
      <c r="B8288"/>
      <c r="D8288"/>
      <c r="G8288"/>
      <c r="L8288"/>
    </row>
    <row r="8289" spans="1:12" x14ac:dyDescent="0.25">
      <c r="A8289"/>
      <c r="B8289"/>
      <c r="D8289"/>
      <c r="G8289"/>
      <c r="L8289"/>
    </row>
    <row r="8290" spans="1:12" x14ac:dyDescent="0.25">
      <c r="A8290"/>
      <c r="B8290"/>
      <c r="D8290"/>
      <c r="G8290"/>
      <c r="L8290"/>
    </row>
    <row r="8291" spans="1:12" x14ac:dyDescent="0.25">
      <c r="A8291"/>
      <c r="B8291"/>
      <c r="D8291"/>
      <c r="G8291"/>
      <c r="L8291"/>
    </row>
    <row r="8292" spans="1:12" x14ac:dyDescent="0.25">
      <c r="A8292"/>
      <c r="B8292"/>
      <c r="D8292"/>
      <c r="G8292"/>
      <c r="L8292"/>
    </row>
    <row r="8293" spans="1:12" x14ac:dyDescent="0.25">
      <c r="A8293"/>
      <c r="B8293"/>
      <c r="D8293"/>
      <c r="G8293"/>
      <c r="L8293"/>
    </row>
    <row r="8294" spans="1:12" x14ac:dyDescent="0.25">
      <c r="A8294"/>
      <c r="B8294"/>
      <c r="D8294"/>
      <c r="G8294"/>
      <c r="L8294"/>
    </row>
    <row r="8295" spans="1:12" x14ac:dyDescent="0.25">
      <c r="A8295"/>
      <c r="B8295"/>
      <c r="D8295"/>
      <c r="G8295"/>
      <c r="L8295"/>
    </row>
    <row r="8296" spans="1:12" x14ac:dyDescent="0.25">
      <c r="A8296"/>
      <c r="B8296"/>
      <c r="D8296"/>
      <c r="G8296"/>
      <c r="L8296"/>
    </row>
    <row r="8297" spans="1:12" x14ac:dyDescent="0.25">
      <c r="A8297"/>
      <c r="B8297"/>
      <c r="D8297"/>
      <c r="G8297"/>
      <c r="L8297"/>
    </row>
    <row r="8298" spans="1:12" x14ac:dyDescent="0.25">
      <c r="A8298"/>
      <c r="B8298"/>
      <c r="D8298"/>
      <c r="G8298"/>
      <c r="L8298"/>
    </row>
    <row r="8299" spans="1:12" x14ac:dyDescent="0.25">
      <c r="A8299"/>
      <c r="B8299"/>
      <c r="D8299"/>
      <c r="G8299"/>
      <c r="L8299"/>
    </row>
    <row r="8300" spans="1:12" x14ac:dyDescent="0.25">
      <c r="A8300"/>
      <c r="B8300"/>
      <c r="D8300"/>
      <c r="G8300"/>
      <c r="L8300"/>
    </row>
    <row r="8301" spans="1:12" x14ac:dyDescent="0.25">
      <c r="A8301"/>
      <c r="B8301"/>
      <c r="D8301"/>
      <c r="G8301"/>
      <c r="L8301"/>
    </row>
    <row r="8302" spans="1:12" x14ac:dyDescent="0.25">
      <c r="A8302"/>
      <c r="B8302"/>
      <c r="D8302"/>
      <c r="G8302"/>
      <c r="L8302"/>
    </row>
    <row r="8303" spans="1:12" x14ac:dyDescent="0.25">
      <c r="A8303"/>
      <c r="B8303"/>
      <c r="D8303"/>
      <c r="G8303"/>
      <c r="L8303"/>
    </row>
    <row r="8304" spans="1:12" x14ac:dyDescent="0.25">
      <c r="A8304"/>
      <c r="B8304"/>
      <c r="D8304"/>
      <c r="G8304"/>
      <c r="L8304"/>
    </row>
    <row r="8305" spans="1:12" x14ac:dyDescent="0.25">
      <c r="A8305"/>
      <c r="B8305"/>
      <c r="D8305"/>
      <c r="G8305"/>
      <c r="L8305"/>
    </row>
    <row r="8306" spans="1:12" x14ac:dyDescent="0.25">
      <c r="A8306"/>
      <c r="B8306"/>
      <c r="D8306"/>
      <c r="G8306"/>
      <c r="L8306"/>
    </row>
    <row r="8307" spans="1:12" x14ac:dyDescent="0.25">
      <c r="A8307"/>
      <c r="B8307"/>
      <c r="D8307"/>
      <c r="G8307"/>
      <c r="L8307"/>
    </row>
    <row r="8308" spans="1:12" x14ac:dyDescent="0.25">
      <c r="A8308"/>
      <c r="B8308"/>
      <c r="D8308"/>
      <c r="G8308"/>
      <c r="L8308"/>
    </row>
    <row r="8309" spans="1:12" x14ac:dyDescent="0.25">
      <c r="A8309"/>
      <c r="B8309"/>
      <c r="D8309"/>
      <c r="G8309"/>
      <c r="L8309"/>
    </row>
    <row r="8310" spans="1:12" x14ac:dyDescent="0.25">
      <c r="A8310"/>
      <c r="B8310"/>
      <c r="D8310"/>
      <c r="G8310"/>
      <c r="L8310"/>
    </row>
    <row r="8311" spans="1:12" x14ac:dyDescent="0.25">
      <c r="A8311"/>
      <c r="B8311"/>
      <c r="D8311"/>
      <c r="G8311"/>
      <c r="L8311"/>
    </row>
    <row r="8312" spans="1:12" x14ac:dyDescent="0.25">
      <c r="A8312"/>
      <c r="B8312"/>
      <c r="D8312"/>
      <c r="G8312"/>
      <c r="L8312"/>
    </row>
    <row r="8313" spans="1:12" x14ac:dyDescent="0.25">
      <c r="A8313"/>
      <c r="B8313"/>
      <c r="D8313"/>
      <c r="G8313"/>
      <c r="L8313"/>
    </row>
    <row r="8314" spans="1:12" x14ac:dyDescent="0.25">
      <c r="A8314"/>
      <c r="B8314"/>
      <c r="D8314"/>
      <c r="G8314"/>
      <c r="L8314"/>
    </row>
    <row r="8315" spans="1:12" x14ac:dyDescent="0.25">
      <c r="A8315"/>
      <c r="B8315"/>
      <c r="D8315"/>
      <c r="G8315"/>
      <c r="L8315"/>
    </row>
    <row r="8316" spans="1:12" x14ac:dyDescent="0.25">
      <c r="A8316"/>
      <c r="B8316"/>
      <c r="D8316"/>
      <c r="G8316"/>
      <c r="L8316"/>
    </row>
    <row r="8317" spans="1:12" x14ac:dyDescent="0.25">
      <c r="A8317"/>
      <c r="B8317"/>
      <c r="D8317"/>
      <c r="G8317"/>
      <c r="L8317"/>
    </row>
    <row r="8318" spans="1:12" x14ac:dyDescent="0.25">
      <c r="A8318"/>
      <c r="B8318"/>
      <c r="D8318"/>
      <c r="G8318"/>
      <c r="L8318"/>
    </row>
    <row r="8319" spans="1:12" x14ac:dyDescent="0.25">
      <c r="A8319"/>
      <c r="B8319"/>
      <c r="D8319"/>
      <c r="G8319"/>
      <c r="L8319"/>
    </row>
    <row r="8320" spans="1:12" x14ac:dyDescent="0.25">
      <c r="A8320"/>
      <c r="B8320"/>
      <c r="D8320"/>
      <c r="G8320"/>
      <c r="L8320"/>
    </row>
    <row r="8321" spans="1:12" x14ac:dyDescent="0.25">
      <c r="A8321"/>
      <c r="B8321"/>
      <c r="D8321"/>
      <c r="G8321"/>
      <c r="L8321"/>
    </row>
    <row r="8322" spans="1:12" x14ac:dyDescent="0.25">
      <c r="A8322"/>
      <c r="B8322"/>
      <c r="D8322"/>
      <c r="G8322"/>
      <c r="L8322"/>
    </row>
    <row r="8323" spans="1:12" x14ac:dyDescent="0.25">
      <c r="A8323"/>
      <c r="B8323"/>
      <c r="D8323"/>
      <c r="G8323"/>
      <c r="L8323"/>
    </row>
    <row r="8324" spans="1:12" x14ac:dyDescent="0.25">
      <c r="A8324"/>
      <c r="B8324"/>
      <c r="D8324"/>
      <c r="G8324"/>
      <c r="L8324"/>
    </row>
    <row r="8325" spans="1:12" x14ac:dyDescent="0.25">
      <c r="A8325"/>
      <c r="B8325"/>
      <c r="D8325"/>
      <c r="G8325"/>
      <c r="L8325"/>
    </row>
    <row r="8326" spans="1:12" x14ac:dyDescent="0.25">
      <c r="A8326"/>
      <c r="B8326"/>
      <c r="D8326"/>
      <c r="G8326"/>
      <c r="L8326"/>
    </row>
    <row r="8327" spans="1:12" x14ac:dyDescent="0.25">
      <c r="A8327"/>
      <c r="B8327"/>
      <c r="D8327"/>
      <c r="G8327"/>
      <c r="L8327"/>
    </row>
    <row r="8328" spans="1:12" x14ac:dyDescent="0.25">
      <c r="A8328"/>
      <c r="B8328"/>
      <c r="D8328"/>
      <c r="G8328"/>
      <c r="L8328"/>
    </row>
    <row r="8329" spans="1:12" x14ac:dyDescent="0.25">
      <c r="A8329"/>
      <c r="B8329"/>
      <c r="D8329"/>
      <c r="G8329"/>
      <c r="L8329"/>
    </row>
    <row r="8330" spans="1:12" x14ac:dyDescent="0.25">
      <c r="A8330"/>
      <c r="B8330"/>
      <c r="D8330"/>
      <c r="G8330"/>
      <c r="L8330"/>
    </row>
    <row r="8331" spans="1:12" x14ac:dyDescent="0.25">
      <c r="A8331"/>
      <c r="B8331"/>
      <c r="D8331"/>
      <c r="G8331"/>
      <c r="L8331"/>
    </row>
    <row r="8332" spans="1:12" x14ac:dyDescent="0.25">
      <c r="A8332"/>
      <c r="B8332"/>
      <c r="D8332"/>
      <c r="G8332"/>
      <c r="L8332"/>
    </row>
    <row r="8333" spans="1:12" x14ac:dyDescent="0.25">
      <c r="A8333"/>
      <c r="B8333"/>
      <c r="D8333"/>
      <c r="G8333"/>
      <c r="L8333"/>
    </row>
    <row r="8334" spans="1:12" x14ac:dyDescent="0.25">
      <c r="A8334"/>
      <c r="B8334"/>
      <c r="D8334"/>
      <c r="G8334"/>
      <c r="L8334"/>
    </row>
    <row r="8335" spans="1:12" x14ac:dyDescent="0.25">
      <c r="A8335"/>
      <c r="B8335"/>
      <c r="D8335"/>
      <c r="G8335"/>
      <c r="L8335"/>
    </row>
    <row r="8336" spans="1:12" x14ac:dyDescent="0.25">
      <c r="A8336"/>
      <c r="B8336"/>
      <c r="D8336"/>
      <c r="G8336"/>
      <c r="L8336"/>
    </row>
    <row r="8337" spans="1:12" x14ac:dyDescent="0.25">
      <c r="A8337"/>
      <c r="B8337"/>
      <c r="D8337"/>
      <c r="G8337"/>
      <c r="L8337"/>
    </row>
    <row r="8338" spans="1:12" x14ac:dyDescent="0.25">
      <c r="A8338"/>
      <c r="B8338"/>
      <c r="D8338"/>
      <c r="G8338"/>
      <c r="L8338"/>
    </row>
    <row r="8339" spans="1:12" x14ac:dyDescent="0.25">
      <c r="A8339"/>
      <c r="B8339"/>
      <c r="D8339"/>
      <c r="G8339"/>
      <c r="L8339"/>
    </row>
    <row r="8340" spans="1:12" x14ac:dyDescent="0.25">
      <c r="A8340"/>
      <c r="B8340"/>
      <c r="D8340"/>
      <c r="G8340"/>
      <c r="L8340"/>
    </row>
    <row r="8341" spans="1:12" x14ac:dyDescent="0.25">
      <c r="A8341"/>
      <c r="B8341"/>
      <c r="D8341"/>
      <c r="G8341"/>
      <c r="L8341"/>
    </row>
    <row r="8342" spans="1:12" x14ac:dyDescent="0.25">
      <c r="A8342"/>
      <c r="B8342"/>
      <c r="D8342"/>
      <c r="G8342"/>
      <c r="L8342"/>
    </row>
    <row r="8343" spans="1:12" x14ac:dyDescent="0.25">
      <c r="A8343"/>
      <c r="B8343"/>
      <c r="D8343"/>
      <c r="G8343"/>
      <c r="L8343"/>
    </row>
    <row r="8344" spans="1:12" x14ac:dyDescent="0.25">
      <c r="A8344"/>
      <c r="B8344"/>
      <c r="D8344"/>
      <c r="G8344"/>
      <c r="L8344"/>
    </row>
    <row r="8345" spans="1:12" x14ac:dyDescent="0.25">
      <c r="A8345"/>
      <c r="B8345"/>
      <c r="D8345"/>
      <c r="G8345"/>
      <c r="L8345"/>
    </row>
    <row r="8346" spans="1:12" x14ac:dyDescent="0.25">
      <c r="A8346"/>
      <c r="B8346"/>
      <c r="D8346"/>
      <c r="G8346"/>
      <c r="L8346"/>
    </row>
    <row r="8347" spans="1:12" x14ac:dyDescent="0.25">
      <c r="A8347"/>
      <c r="B8347"/>
      <c r="D8347"/>
      <c r="G8347"/>
      <c r="L8347"/>
    </row>
    <row r="8348" spans="1:12" x14ac:dyDescent="0.25">
      <c r="A8348"/>
      <c r="B8348"/>
      <c r="D8348"/>
      <c r="G8348"/>
      <c r="L8348"/>
    </row>
    <row r="8349" spans="1:12" x14ac:dyDescent="0.25">
      <c r="A8349"/>
      <c r="B8349"/>
      <c r="D8349"/>
      <c r="G8349"/>
      <c r="L8349"/>
    </row>
    <row r="8350" spans="1:12" x14ac:dyDescent="0.25">
      <c r="A8350"/>
      <c r="B8350"/>
      <c r="D8350"/>
      <c r="G8350"/>
      <c r="L8350"/>
    </row>
    <row r="8351" spans="1:12" x14ac:dyDescent="0.25">
      <c r="A8351"/>
      <c r="B8351"/>
      <c r="D8351"/>
      <c r="G8351"/>
      <c r="L8351"/>
    </row>
    <row r="8352" spans="1:12" x14ac:dyDescent="0.25">
      <c r="A8352"/>
      <c r="B8352"/>
      <c r="D8352"/>
      <c r="G8352"/>
      <c r="L8352"/>
    </row>
    <row r="8353" spans="1:12" x14ac:dyDescent="0.25">
      <c r="A8353"/>
      <c r="B8353"/>
      <c r="D8353"/>
      <c r="G8353"/>
      <c r="L8353"/>
    </row>
    <row r="8354" spans="1:12" x14ac:dyDescent="0.25">
      <c r="A8354"/>
      <c r="B8354"/>
      <c r="D8354"/>
      <c r="G8354"/>
      <c r="L8354"/>
    </row>
    <row r="8355" spans="1:12" x14ac:dyDescent="0.25">
      <c r="A8355"/>
      <c r="B8355"/>
      <c r="D8355"/>
      <c r="G8355"/>
      <c r="L8355"/>
    </row>
    <row r="8356" spans="1:12" x14ac:dyDescent="0.25">
      <c r="A8356"/>
      <c r="B8356"/>
      <c r="D8356"/>
      <c r="G8356"/>
      <c r="L8356"/>
    </row>
    <row r="8357" spans="1:12" x14ac:dyDescent="0.25">
      <c r="A8357"/>
      <c r="B8357"/>
      <c r="D8357"/>
      <c r="G8357"/>
      <c r="L8357"/>
    </row>
    <row r="8358" spans="1:12" x14ac:dyDescent="0.25">
      <c r="A8358"/>
      <c r="B8358"/>
      <c r="D8358"/>
      <c r="G8358"/>
      <c r="L8358"/>
    </row>
    <row r="8359" spans="1:12" x14ac:dyDescent="0.25">
      <c r="A8359"/>
      <c r="B8359"/>
      <c r="D8359"/>
      <c r="G8359"/>
      <c r="L8359"/>
    </row>
    <row r="8360" spans="1:12" x14ac:dyDescent="0.25">
      <c r="A8360"/>
      <c r="B8360"/>
      <c r="D8360"/>
      <c r="G8360"/>
      <c r="L8360"/>
    </row>
    <row r="8361" spans="1:12" x14ac:dyDescent="0.25">
      <c r="A8361"/>
      <c r="B8361"/>
      <c r="D8361"/>
      <c r="G8361"/>
      <c r="L8361"/>
    </row>
    <row r="8362" spans="1:12" x14ac:dyDescent="0.25">
      <c r="A8362"/>
      <c r="B8362"/>
      <c r="D8362"/>
      <c r="G8362"/>
      <c r="L8362"/>
    </row>
    <row r="8363" spans="1:12" x14ac:dyDescent="0.25">
      <c r="A8363"/>
      <c r="B8363"/>
      <c r="D8363"/>
      <c r="G8363"/>
      <c r="L8363"/>
    </row>
    <row r="8364" spans="1:12" x14ac:dyDescent="0.25">
      <c r="A8364"/>
      <c r="B8364"/>
      <c r="D8364"/>
      <c r="G8364"/>
      <c r="L8364"/>
    </row>
    <row r="8365" spans="1:12" x14ac:dyDescent="0.25">
      <c r="A8365"/>
      <c r="B8365"/>
      <c r="D8365"/>
      <c r="G8365"/>
      <c r="L8365"/>
    </row>
    <row r="8366" spans="1:12" x14ac:dyDescent="0.25">
      <c r="A8366"/>
      <c r="B8366"/>
      <c r="D8366"/>
      <c r="G8366"/>
      <c r="L8366"/>
    </row>
    <row r="8367" spans="1:12" x14ac:dyDescent="0.25">
      <c r="A8367"/>
      <c r="B8367"/>
      <c r="D8367"/>
      <c r="G8367"/>
      <c r="L8367"/>
    </row>
    <row r="8368" spans="1:12" x14ac:dyDescent="0.25">
      <c r="A8368"/>
      <c r="B8368"/>
      <c r="D8368"/>
      <c r="G8368"/>
      <c r="L8368"/>
    </row>
    <row r="8369" spans="1:12" x14ac:dyDescent="0.25">
      <c r="A8369"/>
      <c r="B8369"/>
      <c r="D8369"/>
      <c r="G8369"/>
      <c r="L8369"/>
    </row>
    <row r="8370" spans="1:12" x14ac:dyDescent="0.25">
      <c r="A8370"/>
      <c r="B8370"/>
      <c r="D8370"/>
      <c r="G8370"/>
      <c r="L8370"/>
    </row>
    <row r="8371" spans="1:12" x14ac:dyDescent="0.25">
      <c r="A8371"/>
      <c r="B8371"/>
      <c r="D8371"/>
      <c r="G8371"/>
      <c r="L8371"/>
    </row>
    <row r="8372" spans="1:12" x14ac:dyDescent="0.25">
      <c r="A8372"/>
      <c r="B8372"/>
      <c r="D8372"/>
      <c r="G8372"/>
      <c r="L8372"/>
    </row>
    <row r="8373" spans="1:12" x14ac:dyDescent="0.25">
      <c r="A8373"/>
      <c r="B8373"/>
      <c r="D8373"/>
      <c r="G8373"/>
      <c r="L8373"/>
    </row>
    <row r="8374" spans="1:12" x14ac:dyDescent="0.25">
      <c r="A8374"/>
      <c r="B8374"/>
      <c r="D8374"/>
      <c r="G8374"/>
      <c r="L8374"/>
    </row>
    <row r="8375" spans="1:12" x14ac:dyDescent="0.25">
      <c r="A8375"/>
      <c r="B8375"/>
      <c r="D8375"/>
      <c r="G8375"/>
      <c r="L8375"/>
    </row>
    <row r="8376" spans="1:12" x14ac:dyDescent="0.25">
      <c r="A8376"/>
      <c r="B8376"/>
      <c r="D8376"/>
      <c r="G8376"/>
      <c r="L8376"/>
    </row>
    <row r="8377" spans="1:12" x14ac:dyDescent="0.25">
      <c r="A8377"/>
      <c r="B8377"/>
      <c r="D8377"/>
      <c r="G8377"/>
      <c r="L8377"/>
    </row>
    <row r="8378" spans="1:12" x14ac:dyDescent="0.25">
      <c r="A8378"/>
      <c r="B8378"/>
      <c r="D8378"/>
      <c r="G8378"/>
      <c r="L8378"/>
    </row>
    <row r="8379" spans="1:12" x14ac:dyDescent="0.25">
      <c r="A8379"/>
      <c r="B8379"/>
      <c r="D8379"/>
      <c r="G8379"/>
      <c r="L8379"/>
    </row>
    <row r="8380" spans="1:12" x14ac:dyDescent="0.25">
      <c r="A8380"/>
      <c r="B8380"/>
      <c r="D8380"/>
      <c r="G8380"/>
      <c r="L8380"/>
    </row>
    <row r="8381" spans="1:12" x14ac:dyDescent="0.25">
      <c r="A8381"/>
      <c r="B8381"/>
      <c r="D8381"/>
      <c r="G8381"/>
      <c r="L8381"/>
    </row>
    <row r="8382" spans="1:12" x14ac:dyDescent="0.25">
      <c r="A8382"/>
      <c r="B8382"/>
      <c r="D8382"/>
      <c r="G8382"/>
      <c r="L8382"/>
    </row>
    <row r="8383" spans="1:12" x14ac:dyDescent="0.25">
      <c r="A8383"/>
      <c r="B8383"/>
      <c r="D8383"/>
      <c r="G8383"/>
      <c r="L8383"/>
    </row>
    <row r="8384" spans="1:12" x14ac:dyDescent="0.25">
      <c r="A8384"/>
      <c r="B8384"/>
      <c r="D8384"/>
      <c r="G8384"/>
      <c r="L8384"/>
    </row>
    <row r="8385" spans="1:12" x14ac:dyDescent="0.25">
      <c r="A8385"/>
      <c r="B8385"/>
      <c r="D8385"/>
      <c r="G8385"/>
      <c r="L8385"/>
    </row>
    <row r="8386" spans="1:12" x14ac:dyDescent="0.25">
      <c r="A8386"/>
      <c r="B8386"/>
      <c r="D8386"/>
      <c r="G8386"/>
      <c r="L8386"/>
    </row>
    <row r="8387" spans="1:12" x14ac:dyDescent="0.25">
      <c r="A8387"/>
      <c r="B8387"/>
      <c r="D8387"/>
      <c r="G8387"/>
      <c r="L8387"/>
    </row>
    <row r="8388" spans="1:12" x14ac:dyDescent="0.25">
      <c r="A8388"/>
      <c r="B8388"/>
      <c r="D8388"/>
      <c r="G8388"/>
      <c r="L8388"/>
    </row>
    <row r="8389" spans="1:12" x14ac:dyDescent="0.25">
      <c r="A8389"/>
      <c r="B8389"/>
      <c r="D8389"/>
      <c r="G8389"/>
      <c r="L8389"/>
    </row>
    <row r="8390" spans="1:12" x14ac:dyDescent="0.25">
      <c r="A8390"/>
      <c r="B8390"/>
      <c r="D8390"/>
      <c r="G8390"/>
      <c r="L8390"/>
    </row>
    <row r="8391" spans="1:12" x14ac:dyDescent="0.25">
      <c r="A8391"/>
      <c r="B8391"/>
      <c r="D8391"/>
      <c r="G8391"/>
      <c r="L8391"/>
    </row>
    <row r="8392" spans="1:12" x14ac:dyDescent="0.25">
      <c r="A8392"/>
      <c r="B8392"/>
      <c r="D8392"/>
      <c r="G8392"/>
      <c r="L8392"/>
    </row>
    <row r="8393" spans="1:12" x14ac:dyDescent="0.25">
      <c r="A8393"/>
      <c r="B8393"/>
      <c r="D8393"/>
      <c r="G8393"/>
      <c r="L8393"/>
    </row>
    <row r="8394" spans="1:12" x14ac:dyDescent="0.25">
      <c r="A8394"/>
      <c r="B8394"/>
      <c r="D8394"/>
      <c r="G8394"/>
      <c r="L8394"/>
    </row>
    <row r="8395" spans="1:12" x14ac:dyDescent="0.25">
      <c r="A8395"/>
      <c r="B8395"/>
      <c r="D8395"/>
      <c r="G8395"/>
      <c r="L8395"/>
    </row>
    <row r="8396" spans="1:12" x14ac:dyDescent="0.25">
      <c r="A8396"/>
      <c r="B8396"/>
      <c r="D8396"/>
      <c r="G8396"/>
      <c r="L8396"/>
    </row>
    <row r="8397" spans="1:12" x14ac:dyDescent="0.25">
      <c r="A8397"/>
      <c r="B8397"/>
      <c r="D8397"/>
      <c r="G8397"/>
      <c r="L8397"/>
    </row>
    <row r="8398" spans="1:12" x14ac:dyDescent="0.25">
      <c r="A8398"/>
      <c r="B8398"/>
      <c r="D8398"/>
      <c r="G8398"/>
      <c r="L8398"/>
    </row>
    <row r="8399" spans="1:12" x14ac:dyDescent="0.25">
      <c r="A8399"/>
      <c r="B8399"/>
      <c r="D8399"/>
      <c r="G8399"/>
      <c r="L8399"/>
    </row>
    <row r="8400" spans="1:12" x14ac:dyDescent="0.25">
      <c r="A8400"/>
      <c r="B8400"/>
      <c r="D8400"/>
      <c r="G8400"/>
      <c r="L8400"/>
    </row>
    <row r="8401" spans="1:12" x14ac:dyDescent="0.25">
      <c r="A8401"/>
      <c r="B8401"/>
      <c r="D8401"/>
      <c r="G8401"/>
      <c r="L8401"/>
    </row>
    <row r="8402" spans="1:12" x14ac:dyDescent="0.25">
      <c r="A8402"/>
      <c r="B8402"/>
      <c r="D8402"/>
      <c r="G8402"/>
      <c r="L8402"/>
    </row>
    <row r="8403" spans="1:12" x14ac:dyDescent="0.25">
      <c r="A8403"/>
      <c r="B8403"/>
      <c r="D8403"/>
      <c r="G8403"/>
      <c r="L8403"/>
    </row>
    <row r="8404" spans="1:12" x14ac:dyDescent="0.25">
      <c r="A8404"/>
      <c r="B8404"/>
      <c r="D8404"/>
      <c r="G8404"/>
      <c r="L8404"/>
    </row>
    <row r="8405" spans="1:12" x14ac:dyDescent="0.25">
      <c r="A8405"/>
      <c r="B8405"/>
      <c r="D8405"/>
      <c r="G8405"/>
      <c r="L8405"/>
    </row>
    <row r="8406" spans="1:12" x14ac:dyDescent="0.25">
      <c r="A8406"/>
      <c r="B8406"/>
      <c r="D8406"/>
      <c r="G8406"/>
      <c r="L8406"/>
    </row>
    <row r="8407" spans="1:12" x14ac:dyDescent="0.25">
      <c r="A8407"/>
      <c r="B8407"/>
      <c r="D8407"/>
      <c r="G8407"/>
      <c r="L8407"/>
    </row>
    <row r="8408" spans="1:12" x14ac:dyDescent="0.25">
      <c r="A8408"/>
      <c r="B8408"/>
      <c r="D8408"/>
      <c r="G8408"/>
      <c r="L8408"/>
    </row>
    <row r="8409" spans="1:12" x14ac:dyDescent="0.25">
      <c r="A8409"/>
      <c r="B8409"/>
      <c r="D8409"/>
      <c r="G8409"/>
      <c r="L8409"/>
    </row>
    <row r="8410" spans="1:12" x14ac:dyDescent="0.25">
      <c r="A8410"/>
      <c r="B8410"/>
      <c r="D8410"/>
      <c r="G8410"/>
      <c r="L8410"/>
    </row>
    <row r="8411" spans="1:12" x14ac:dyDescent="0.25">
      <c r="A8411"/>
      <c r="B8411"/>
      <c r="D8411"/>
      <c r="G8411"/>
      <c r="L8411"/>
    </row>
    <row r="8412" spans="1:12" x14ac:dyDescent="0.25">
      <c r="A8412"/>
      <c r="B8412"/>
      <c r="D8412"/>
      <c r="G8412"/>
      <c r="L8412"/>
    </row>
    <row r="8413" spans="1:12" x14ac:dyDescent="0.25">
      <c r="A8413"/>
      <c r="B8413"/>
      <c r="D8413"/>
      <c r="G8413"/>
      <c r="L8413"/>
    </row>
    <row r="8414" spans="1:12" x14ac:dyDescent="0.25">
      <c r="A8414"/>
      <c r="B8414"/>
      <c r="D8414"/>
      <c r="G8414"/>
      <c r="L8414"/>
    </row>
    <row r="8415" spans="1:12" x14ac:dyDescent="0.25">
      <c r="A8415"/>
      <c r="B8415"/>
      <c r="D8415"/>
      <c r="G8415"/>
      <c r="L8415"/>
    </row>
    <row r="8416" spans="1:12" x14ac:dyDescent="0.25">
      <c r="A8416"/>
      <c r="B8416"/>
      <c r="D8416"/>
      <c r="G8416"/>
      <c r="L8416"/>
    </row>
    <row r="8417" spans="1:12" x14ac:dyDescent="0.25">
      <c r="A8417"/>
      <c r="B8417"/>
      <c r="D8417"/>
      <c r="G8417"/>
      <c r="L8417"/>
    </row>
    <row r="8418" spans="1:12" x14ac:dyDescent="0.25">
      <c r="A8418"/>
      <c r="B8418"/>
      <c r="D8418"/>
      <c r="G8418"/>
      <c r="L8418"/>
    </row>
    <row r="8419" spans="1:12" x14ac:dyDescent="0.25">
      <c r="A8419"/>
      <c r="B8419"/>
      <c r="D8419"/>
      <c r="G8419"/>
      <c r="L8419"/>
    </row>
    <row r="8420" spans="1:12" x14ac:dyDescent="0.25">
      <c r="A8420"/>
      <c r="B8420"/>
      <c r="D8420"/>
      <c r="G8420"/>
      <c r="L8420"/>
    </row>
    <row r="8421" spans="1:12" x14ac:dyDescent="0.25">
      <c r="A8421"/>
      <c r="B8421"/>
      <c r="D8421"/>
      <c r="G8421"/>
      <c r="L8421"/>
    </row>
    <row r="8422" spans="1:12" x14ac:dyDescent="0.25">
      <c r="A8422"/>
      <c r="B8422"/>
      <c r="D8422"/>
      <c r="G8422"/>
      <c r="L8422"/>
    </row>
    <row r="8423" spans="1:12" x14ac:dyDescent="0.25">
      <c r="A8423"/>
      <c r="B8423"/>
      <c r="D8423"/>
      <c r="G8423"/>
      <c r="L8423"/>
    </row>
    <row r="8424" spans="1:12" x14ac:dyDescent="0.25">
      <c r="A8424"/>
      <c r="B8424"/>
      <c r="D8424"/>
      <c r="G8424"/>
      <c r="L8424"/>
    </row>
    <row r="8425" spans="1:12" x14ac:dyDescent="0.25">
      <c r="A8425"/>
      <c r="B8425"/>
      <c r="D8425"/>
      <c r="G8425"/>
      <c r="L8425"/>
    </row>
    <row r="8426" spans="1:12" x14ac:dyDescent="0.25">
      <c r="A8426"/>
      <c r="B8426"/>
      <c r="D8426"/>
      <c r="G8426"/>
      <c r="L8426"/>
    </row>
    <row r="8427" spans="1:12" x14ac:dyDescent="0.25">
      <c r="A8427"/>
      <c r="B8427"/>
      <c r="D8427"/>
      <c r="G8427"/>
      <c r="L8427"/>
    </row>
    <row r="8428" spans="1:12" x14ac:dyDescent="0.25">
      <c r="A8428"/>
      <c r="B8428"/>
      <c r="D8428"/>
      <c r="G8428"/>
      <c r="L8428"/>
    </row>
    <row r="8429" spans="1:12" x14ac:dyDescent="0.25">
      <c r="A8429"/>
      <c r="B8429"/>
      <c r="D8429"/>
      <c r="G8429"/>
      <c r="L8429"/>
    </row>
    <row r="8430" spans="1:12" x14ac:dyDescent="0.25">
      <c r="A8430"/>
      <c r="B8430"/>
      <c r="D8430"/>
      <c r="G8430"/>
      <c r="L8430"/>
    </row>
    <row r="8431" spans="1:12" x14ac:dyDescent="0.25">
      <c r="A8431"/>
      <c r="B8431"/>
      <c r="D8431"/>
      <c r="G8431"/>
      <c r="L8431"/>
    </row>
    <row r="8432" spans="1:12" x14ac:dyDescent="0.25">
      <c r="A8432"/>
      <c r="B8432"/>
      <c r="D8432"/>
      <c r="G8432"/>
      <c r="L8432"/>
    </row>
    <row r="8433" spans="1:12" x14ac:dyDescent="0.25">
      <c r="A8433"/>
      <c r="B8433"/>
      <c r="D8433"/>
      <c r="G8433"/>
      <c r="L8433"/>
    </row>
    <row r="8434" spans="1:12" x14ac:dyDescent="0.25">
      <c r="A8434"/>
      <c r="B8434"/>
      <c r="D8434"/>
      <c r="G8434"/>
      <c r="L8434"/>
    </row>
    <row r="8435" spans="1:12" x14ac:dyDescent="0.25">
      <c r="A8435"/>
      <c r="B8435"/>
      <c r="D8435"/>
      <c r="G8435"/>
      <c r="L8435"/>
    </row>
    <row r="8436" spans="1:12" x14ac:dyDescent="0.25">
      <c r="A8436"/>
      <c r="B8436"/>
      <c r="D8436"/>
      <c r="G8436"/>
      <c r="L8436"/>
    </row>
    <row r="8437" spans="1:12" x14ac:dyDescent="0.25">
      <c r="A8437"/>
      <c r="B8437"/>
      <c r="D8437"/>
      <c r="G8437"/>
      <c r="L8437"/>
    </row>
    <row r="8438" spans="1:12" x14ac:dyDescent="0.25">
      <c r="A8438"/>
      <c r="B8438"/>
      <c r="D8438"/>
      <c r="G8438"/>
      <c r="L8438"/>
    </row>
    <row r="8439" spans="1:12" x14ac:dyDescent="0.25">
      <c r="A8439"/>
      <c r="B8439"/>
      <c r="D8439"/>
      <c r="G8439"/>
      <c r="L8439"/>
    </row>
    <row r="8440" spans="1:12" x14ac:dyDescent="0.25">
      <c r="A8440"/>
      <c r="B8440"/>
      <c r="D8440"/>
      <c r="G8440"/>
      <c r="L8440"/>
    </row>
    <row r="8441" spans="1:12" x14ac:dyDescent="0.25">
      <c r="A8441"/>
      <c r="B8441"/>
      <c r="D8441"/>
      <c r="G8441"/>
      <c r="L8441"/>
    </row>
    <row r="8442" spans="1:12" x14ac:dyDescent="0.25">
      <c r="A8442"/>
      <c r="B8442"/>
      <c r="D8442"/>
      <c r="G8442"/>
      <c r="L8442"/>
    </row>
    <row r="8443" spans="1:12" x14ac:dyDescent="0.25">
      <c r="A8443"/>
      <c r="B8443"/>
      <c r="D8443"/>
      <c r="G8443"/>
      <c r="L8443"/>
    </row>
    <row r="8444" spans="1:12" x14ac:dyDescent="0.25">
      <c r="A8444"/>
      <c r="B8444"/>
      <c r="D8444"/>
      <c r="G8444"/>
      <c r="L8444"/>
    </row>
    <row r="8445" spans="1:12" x14ac:dyDescent="0.25">
      <c r="A8445"/>
      <c r="B8445"/>
      <c r="D8445"/>
      <c r="G8445"/>
      <c r="L8445"/>
    </row>
    <row r="8446" spans="1:12" x14ac:dyDescent="0.25">
      <c r="A8446"/>
      <c r="B8446"/>
      <c r="D8446"/>
      <c r="G8446"/>
      <c r="L8446"/>
    </row>
    <row r="8447" spans="1:12" x14ac:dyDescent="0.25">
      <c r="A8447"/>
      <c r="B8447"/>
      <c r="D8447"/>
      <c r="G8447"/>
      <c r="L8447"/>
    </row>
    <row r="8448" spans="1:12" x14ac:dyDescent="0.25">
      <c r="A8448"/>
      <c r="B8448"/>
      <c r="D8448"/>
      <c r="G8448"/>
      <c r="L8448"/>
    </row>
    <row r="8449" spans="1:12" x14ac:dyDescent="0.25">
      <c r="A8449"/>
      <c r="B8449"/>
      <c r="D8449"/>
      <c r="G8449"/>
      <c r="L8449"/>
    </row>
    <row r="8450" spans="1:12" x14ac:dyDescent="0.25">
      <c r="A8450"/>
      <c r="B8450"/>
      <c r="D8450"/>
      <c r="G8450"/>
      <c r="L8450"/>
    </row>
    <row r="8451" spans="1:12" x14ac:dyDescent="0.25">
      <c r="A8451"/>
      <c r="B8451"/>
      <c r="D8451"/>
      <c r="G8451"/>
      <c r="L8451"/>
    </row>
    <row r="8452" spans="1:12" x14ac:dyDescent="0.25">
      <c r="A8452"/>
      <c r="B8452"/>
      <c r="D8452"/>
      <c r="G8452"/>
      <c r="L8452"/>
    </row>
    <row r="8453" spans="1:12" x14ac:dyDescent="0.25">
      <c r="A8453"/>
      <c r="B8453"/>
      <c r="D8453"/>
      <c r="G8453"/>
      <c r="L8453"/>
    </row>
    <row r="8454" spans="1:12" x14ac:dyDescent="0.25">
      <c r="A8454"/>
      <c r="B8454"/>
      <c r="D8454"/>
      <c r="G8454"/>
      <c r="L8454"/>
    </row>
    <row r="8455" spans="1:12" x14ac:dyDescent="0.25">
      <c r="A8455"/>
      <c r="B8455"/>
      <c r="D8455"/>
      <c r="G8455"/>
      <c r="L8455"/>
    </row>
    <row r="8456" spans="1:12" x14ac:dyDescent="0.25">
      <c r="A8456"/>
      <c r="B8456"/>
      <c r="D8456"/>
      <c r="G8456"/>
      <c r="L8456"/>
    </row>
    <row r="8457" spans="1:12" x14ac:dyDescent="0.25">
      <c r="A8457"/>
      <c r="B8457"/>
      <c r="D8457"/>
      <c r="G8457"/>
      <c r="L8457"/>
    </row>
    <row r="8458" spans="1:12" x14ac:dyDescent="0.25">
      <c r="A8458"/>
      <c r="B8458"/>
      <c r="D8458"/>
      <c r="G8458"/>
      <c r="L8458"/>
    </row>
    <row r="8459" spans="1:12" x14ac:dyDescent="0.25">
      <c r="A8459"/>
      <c r="B8459"/>
      <c r="D8459"/>
      <c r="G8459"/>
      <c r="L8459"/>
    </row>
    <row r="8460" spans="1:12" x14ac:dyDescent="0.25">
      <c r="A8460"/>
      <c r="B8460"/>
      <c r="D8460"/>
      <c r="G8460"/>
      <c r="L8460"/>
    </row>
    <row r="8461" spans="1:12" x14ac:dyDescent="0.25">
      <c r="A8461"/>
      <c r="B8461"/>
      <c r="D8461"/>
      <c r="G8461"/>
      <c r="L8461"/>
    </row>
    <row r="8462" spans="1:12" x14ac:dyDescent="0.25">
      <c r="A8462"/>
      <c r="B8462"/>
      <c r="D8462"/>
      <c r="G8462"/>
      <c r="L8462"/>
    </row>
    <row r="8463" spans="1:12" x14ac:dyDescent="0.25">
      <c r="A8463"/>
      <c r="B8463"/>
      <c r="D8463"/>
      <c r="G8463"/>
      <c r="L8463"/>
    </row>
    <row r="8464" spans="1:12" x14ac:dyDescent="0.25">
      <c r="A8464"/>
      <c r="B8464"/>
      <c r="D8464"/>
      <c r="G8464"/>
      <c r="L8464"/>
    </row>
    <row r="8465" spans="1:12" x14ac:dyDescent="0.25">
      <c r="A8465"/>
      <c r="B8465"/>
      <c r="D8465"/>
      <c r="G8465"/>
      <c r="L8465"/>
    </row>
    <row r="8466" spans="1:12" x14ac:dyDescent="0.25">
      <c r="A8466"/>
      <c r="B8466"/>
      <c r="D8466"/>
      <c r="G8466"/>
      <c r="L8466"/>
    </row>
    <row r="8467" spans="1:12" x14ac:dyDescent="0.25">
      <c r="A8467"/>
      <c r="B8467"/>
      <c r="D8467"/>
      <c r="G8467"/>
      <c r="L8467"/>
    </row>
    <row r="8468" spans="1:12" x14ac:dyDescent="0.25">
      <c r="A8468"/>
      <c r="B8468"/>
      <c r="D8468"/>
      <c r="G8468"/>
      <c r="L8468"/>
    </row>
    <row r="8469" spans="1:12" x14ac:dyDescent="0.25">
      <c r="A8469"/>
      <c r="B8469"/>
      <c r="D8469"/>
      <c r="G8469"/>
      <c r="L8469"/>
    </row>
    <row r="8470" spans="1:12" x14ac:dyDescent="0.25">
      <c r="A8470"/>
      <c r="B8470"/>
      <c r="D8470"/>
      <c r="G8470"/>
      <c r="L8470"/>
    </row>
    <row r="8471" spans="1:12" x14ac:dyDescent="0.25">
      <c r="A8471"/>
      <c r="B8471"/>
      <c r="D8471"/>
      <c r="G8471"/>
      <c r="L8471"/>
    </row>
    <row r="8472" spans="1:12" x14ac:dyDescent="0.25">
      <c r="A8472"/>
      <c r="B8472"/>
      <c r="D8472"/>
      <c r="G8472"/>
      <c r="L8472"/>
    </row>
    <row r="8473" spans="1:12" x14ac:dyDescent="0.25">
      <c r="A8473"/>
      <c r="B8473"/>
      <c r="D8473"/>
      <c r="G8473"/>
      <c r="L8473"/>
    </row>
    <row r="8474" spans="1:12" x14ac:dyDescent="0.25">
      <c r="A8474"/>
      <c r="B8474"/>
      <c r="D8474"/>
      <c r="G8474"/>
      <c r="L8474"/>
    </row>
    <row r="8475" spans="1:12" x14ac:dyDescent="0.25">
      <c r="A8475"/>
      <c r="B8475"/>
      <c r="D8475"/>
      <c r="G8475"/>
      <c r="L8475"/>
    </row>
    <row r="8476" spans="1:12" x14ac:dyDescent="0.25">
      <c r="A8476"/>
      <c r="B8476"/>
      <c r="D8476"/>
      <c r="G8476"/>
      <c r="L8476"/>
    </row>
    <row r="8477" spans="1:12" x14ac:dyDescent="0.25">
      <c r="A8477"/>
      <c r="B8477"/>
      <c r="D8477"/>
      <c r="G8477"/>
      <c r="L8477"/>
    </row>
    <row r="8478" spans="1:12" x14ac:dyDescent="0.25">
      <c r="A8478"/>
      <c r="B8478"/>
      <c r="D8478"/>
      <c r="G8478"/>
      <c r="L8478"/>
    </row>
    <row r="8479" spans="1:12" x14ac:dyDescent="0.25">
      <c r="A8479"/>
      <c r="B8479"/>
      <c r="D8479"/>
      <c r="G8479"/>
      <c r="L8479"/>
    </row>
    <row r="8480" spans="1:12" x14ac:dyDescent="0.25">
      <c r="A8480"/>
      <c r="B8480"/>
      <c r="D8480"/>
      <c r="G8480"/>
      <c r="L8480"/>
    </row>
    <row r="8481" spans="1:12" x14ac:dyDescent="0.25">
      <c r="A8481"/>
      <c r="B8481"/>
      <c r="D8481"/>
      <c r="G8481"/>
      <c r="L8481"/>
    </row>
    <row r="8482" spans="1:12" x14ac:dyDescent="0.25">
      <c r="A8482"/>
      <c r="B8482"/>
      <c r="D8482"/>
      <c r="G8482"/>
      <c r="L8482"/>
    </row>
    <row r="8483" spans="1:12" x14ac:dyDescent="0.25">
      <c r="A8483"/>
      <c r="B8483"/>
      <c r="D8483"/>
      <c r="G8483"/>
      <c r="L8483"/>
    </row>
    <row r="8484" spans="1:12" x14ac:dyDescent="0.25">
      <c r="A8484"/>
      <c r="B8484"/>
      <c r="D8484"/>
      <c r="G8484"/>
      <c r="L8484"/>
    </row>
    <row r="8485" spans="1:12" x14ac:dyDescent="0.25">
      <c r="A8485"/>
      <c r="B8485"/>
      <c r="D8485"/>
      <c r="G8485"/>
      <c r="L8485"/>
    </row>
    <row r="8486" spans="1:12" x14ac:dyDescent="0.25">
      <c r="A8486"/>
      <c r="B8486"/>
      <c r="D8486"/>
      <c r="G8486"/>
      <c r="L8486"/>
    </row>
    <row r="8487" spans="1:12" x14ac:dyDescent="0.25">
      <c r="A8487"/>
      <c r="B8487"/>
      <c r="D8487"/>
      <c r="G8487"/>
      <c r="L8487"/>
    </row>
    <row r="8488" spans="1:12" x14ac:dyDescent="0.25">
      <c r="A8488"/>
      <c r="B8488"/>
      <c r="D8488"/>
      <c r="G8488"/>
      <c r="L8488"/>
    </row>
    <row r="8489" spans="1:12" x14ac:dyDescent="0.25">
      <c r="A8489"/>
      <c r="B8489"/>
      <c r="D8489"/>
      <c r="G8489"/>
      <c r="L8489"/>
    </row>
    <row r="8490" spans="1:12" x14ac:dyDescent="0.25">
      <c r="A8490"/>
      <c r="B8490"/>
      <c r="D8490"/>
      <c r="G8490"/>
      <c r="L8490"/>
    </row>
    <row r="8491" spans="1:12" x14ac:dyDescent="0.25">
      <c r="A8491"/>
      <c r="B8491"/>
      <c r="D8491"/>
      <c r="G8491"/>
      <c r="L8491"/>
    </row>
    <row r="8492" spans="1:12" x14ac:dyDescent="0.25">
      <c r="A8492"/>
      <c r="B8492"/>
      <c r="D8492"/>
      <c r="G8492"/>
      <c r="L8492"/>
    </row>
    <row r="8493" spans="1:12" x14ac:dyDescent="0.25">
      <c r="A8493"/>
      <c r="B8493"/>
      <c r="D8493"/>
      <c r="G8493"/>
      <c r="L8493"/>
    </row>
    <row r="8494" spans="1:12" x14ac:dyDescent="0.25">
      <c r="A8494"/>
      <c r="B8494"/>
      <c r="D8494"/>
      <c r="G8494"/>
      <c r="L8494"/>
    </row>
    <row r="8495" spans="1:12" x14ac:dyDescent="0.25">
      <c r="A8495"/>
      <c r="B8495"/>
      <c r="D8495"/>
      <c r="G8495"/>
      <c r="L8495"/>
    </row>
    <row r="8496" spans="1:12" x14ac:dyDescent="0.25">
      <c r="A8496"/>
      <c r="B8496"/>
      <c r="D8496"/>
      <c r="G8496"/>
      <c r="L8496"/>
    </row>
    <row r="8497" spans="1:12" x14ac:dyDescent="0.25">
      <c r="A8497"/>
      <c r="B8497"/>
      <c r="D8497"/>
      <c r="G8497"/>
      <c r="L8497"/>
    </row>
    <row r="8498" spans="1:12" x14ac:dyDescent="0.25">
      <c r="A8498"/>
      <c r="B8498"/>
      <c r="D8498"/>
      <c r="G8498"/>
      <c r="L8498"/>
    </row>
    <row r="8499" spans="1:12" x14ac:dyDescent="0.25">
      <c r="A8499"/>
      <c r="B8499"/>
      <c r="D8499"/>
      <c r="G8499"/>
      <c r="L8499"/>
    </row>
    <row r="8500" spans="1:12" x14ac:dyDescent="0.25">
      <c r="A8500"/>
      <c r="B8500"/>
      <c r="D8500"/>
      <c r="G8500"/>
      <c r="L8500"/>
    </row>
    <row r="8501" spans="1:12" x14ac:dyDescent="0.25">
      <c r="A8501"/>
      <c r="B8501"/>
      <c r="D8501"/>
      <c r="G8501"/>
      <c r="L8501"/>
    </row>
    <row r="8502" spans="1:12" x14ac:dyDescent="0.25">
      <c r="A8502"/>
      <c r="B8502"/>
      <c r="D8502"/>
      <c r="G8502"/>
      <c r="L8502"/>
    </row>
    <row r="8503" spans="1:12" x14ac:dyDescent="0.25">
      <c r="A8503"/>
      <c r="B8503"/>
      <c r="D8503"/>
      <c r="G8503"/>
      <c r="L8503"/>
    </row>
    <row r="8504" spans="1:12" x14ac:dyDescent="0.25">
      <c r="A8504"/>
      <c r="B8504"/>
      <c r="D8504"/>
      <c r="G8504"/>
      <c r="L8504"/>
    </row>
    <row r="8505" spans="1:12" x14ac:dyDescent="0.25">
      <c r="A8505"/>
      <c r="B8505"/>
      <c r="D8505"/>
      <c r="G8505"/>
      <c r="L8505"/>
    </row>
    <row r="8506" spans="1:12" x14ac:dyDescent="0.25">
      <c r="A8506"/>
      <c r="B8506"/>
      <c r="D8506"/>
      <c r="G8506"/>
      <c r="L8506"/>
    </row>
    <row r="8507" spans="1:12" x14ac:dyDescent="0.25">
      <c r="A8507"/>
      <c r="B8507"/>
      <c r="D8507"/>
      <c r="G8507"/>
      <c r="L8507"/>
    </row>
    <row r="8508" spans="1:12" x14ac:dyDescent="0.25">
      <c r="A8508"/>
      <c r="B8508"/>
      <c r="D8508"/>
      <c r="G8508"/>
      <c r="L8508"/>
    </row>
    <row r="8509" spans="1:12" x14ac:dyDescent="0.25">
      <c r="A8509"/>
      <c r="B8509"/>
      <c r="D8509"/>
      <c r="G8509"/>
      <c r="L8509"/>
    </row>
    <row r="8510" spans="1:12" x14ac:dyDescent="0.25">
      <c r="A8510"/>
      <c r="B8510"/>
      <c r="D8510"/>
      <c r="G8510"/>
      <c r="L8510"/>
    </row>
    <row r="8511" spans="1:12" x14ac:dyDescent="0.25">
      <c r="A8511"/>
      <c r="B8511"/>
      <c r="D8511"/>
      <c r="G8511"/>
      <c r="L8511"/>
    </row>
    <row r="8512" spans="1:12" x14ac:dyDescent="0.25">
      <c r="A8512"/>
      <c r="B8512"/>
      <c r="D8512"/>
      <c r="G8512"/>
      <c r="L8512"/>
    </row>
    <row r="8513" spans="1:12" x14ac:dyDescent="0.25">
      <c r="A8513"/>
      <c r="B8513"/>
      <c r="D8513"/>
      <c r="G8513"/>
      <c r="L8513"/>
    </row>
    <row r="8514" spans="1:12" x14ac:dyDescent="0.25">
      <c r="A8514"/>
      <c r="B8514"/>
      <c r="D8514"/>
      <c r="G8514"/>
      <c r="L8514"/>
    </row>
    <row r="8515" spans="1:12" x14ac:dyDescent="0.25">
      <c r="A8515"/>
      <c r="B8515"/>
      <c r="D8515"/>
      <c r="G8515"/>
      <c r="L8515"/>
    </row>
    <row r="8516" spans="1:12" x14ac:dyDescent="0.25">
      <c r="A8516"/>
      <c r="B8516"/>
      <c r="D8516"/>
      <c r="G8516"/>
      <c r="L8516"/>
    </row>
    <row r="8517" spans="1:12" x14ac:dyDescent="0.25">
      <c r="A8517"/>
      <c r="B8517"/>
      <c r="D8517"/>
      <c r="G8517"/>
      <c r="L8517"/>
    </row>
    <row r="8518" spans="1:12" x14ac:dyDescent="0.25">
      <c r="A8518"/>
      <c r="B8518"/>
      <c r="D8518"/>
      <c r="G8518"/>
      <c r="L8518"/>
    </row>
    <row r="8519" spans="1:12" x14ac:dyDescent="0.25">
      <c r="A8519"/>
      <c r="B8519"/>
      <c r="D8519"/>
      <c r="G8519"/>
      <c r="L8519"/>
    </row>
    <row r="8520" spans="1:12" x14ac:dyDescent="0.25">
      <c r="A8520"/>
      <c r="B8520"/>
      <c r="D8520"/>
      <c r="G8520"/>
      <c r="L8520"/>
    </row>
    <row r="8521" spans="1:12" x14ac:dyDescent="0.25">
      <c r="A8521"/>
      <c r="B8521"/>
      <c r="D8521"/>
      <c r="G8521"/>
      <c r="L8521"/>
    </row>
    <row r="8522" spans="1:12" x14ac:dyDescent="0.25">
      <c r="A8522"/>
      <c r="B8522"/>
      <c r="D8522"/>
      <c r="G8522"/>
      <c r="L8522"/>
    </row>
    <row r="8523" spans="1:12" x14ac:dyDescent="0.25">
      <c r="A8523"/>
      <c r="B8523"/>
      <c r="D8523"/>
      <c r="G8523"/>
      <c r="L8523"/>
    </row>
    <row r="8524" spans="1:12" x14ac:dyDescent="0.25">
      <c r="A8524"/>
      <c r="B8524"/>
      <c r="D8524"/>
      <c r="G8524"/>
      <c r="L8524"/>
    </row>
    <row r="8525" spans="1:12" x14ac:dyDescent="0.25">
      <c r="A8525"/>
      <c r="B8525"/>
      <c r="D8525"/>
      <c r="G8525"/>
      <c r="L8525"/>
    </row>
    <row r="8526" spans="1:12" x14ac:dyDescent="0.25">
      <c r="A8526"/>
      <c r="B8526"/>
      <c r="D8526"/>
      <c r="G8526"/>
      <c r="L8526"/>
    </row>
    <row r="8527" spans="1:12" x14ac:dyDescent="0.25">
      <c r="A8527"/>
      <c r="B8527"/>
      <c r="D8527"/>
      <c r="G8527"/>
      <c r="L8527"/>
    </row>
    <row r="8528" spans="1:12" x14ac:dyDescent="0.25">
      <c r="A8528"/>
      <c r="B8528"/>
      <c r="D8528"/>
      <c r="G8528"/>
      <c r="L8528"/>
    </row>
    <row r="8529" spans="1:12" x14ac:dyDescent="0.25">
      <c r="A8529"/>
      <c r="B8529"/>
      <c r="D8529"/>
      <c r="G8529"/>
      <c r="L8529"/>
    </row>
    <row r="8530" spans="1:12" x14ac:dyDescent="0.25">
      <c r="A8530"/>
      <c r="B8530"/>
      <c r="D8530"/>
      <c r="G8530"/>
      <c r="L8530"/>
    </row>
    <row r="8531" spans="1:12" x14ac:dyDescent="0.25">
      <c r="A8531"/>
      <c r="B8531"/>
      <c r="D8531"/>
      <c r="G8531"/>
      <c r="L8531"/>
    </row>
    <row r="8532" spans="1:12" x14ac:dyDescent="0.25">
      <c r="A8532"/>
      <c r="B8532"/>
      <c r="D8532"/>
      <c r="G8532"/>
      <c r="L8532"/>
    </row>
    <row r="8533" spans="1:12" x14ac:dyDescent="0.25">
      <c r="A8533"/>
      <c r="B8533"/>
      <c r="D8533"/>
      <c r="G8533"/>
      <c r="L8533"/>
    </row>
    <row r="8534" spans="1:12" x14ac:dyDescent="0.25">
      <c r="A8534"/>
      <c r="B8534"/>
      <c r="D8534"/>
      <c r="G8534"/>
      <c r="L8534"/>
    </row>
    <row r="8535" spans="1:12" x14ac:dyDescent="0.25">
      <c r="A8535"/>
      <c r="B8535"/>
      <c r="D8535"/>
      <c r="G8535"/>
      <c r="L8535"/>
    </row>
    <row r="8536" spans="1:12" x14ac:dyDescent="0.25">
      <c r="A8536"/>
      <c r="B8536"/>
      <c r="D8536"/>
      <c r="G8536"/>
      <c r="L8536"/>
    </row>
    <row r="8537" spans="1:12" x14ac:dyDescent="0.25">
      <c r="A8537"/>
      <c r="B8537"/>
      <c r="D8537"/>
      <c r="G8537"/>
      <c r="L8537"/>
    </row>
    <row r="8538" spans="1:12" x14ac:dyDescent="0.25">
      <c r="A8538"/>
      <c r="B8538"/>
      <c r="D8538"/>
      <c r="G8538"/>
      <c r="L8538"/>
    </row>
    <row r="8539" spans="1:12" x14ac:dyDescent="0.25">
      <c r="A8539"/>
      <c r="B8539"/>
      <c r="D8539"/>
      <c r="G8539"/>
      <c r="L8539"/>
    </row>
    <row r="8540" spans="1:12" x14ac:dyDescent="0.25">
      <c r="A8540"/>
      <c r="B8540"/>
      <c r="D8540"/>
      <c r="G8540"/>
      <c r="L8540"/>
    </row>
    <row r="8541" spans="1:12" x14ac:dyDescent="0.25">
      <c r="A8541"/>
      <c r="B8541"/>
      <c r="D8541"/>
      <c r="G8541"/>
      <c r="L8541"/>
    </row>
    <row r="8542" spans="1:12" x14ac:dyDescent="0.25">
      <c r="A8542"/>
      <c r="B8542"/>
      <c r="D8542"/>
      <c r="G8542"/>
      <c r="L8542"/>
    </row>
    <row r="8543" spans="1:12" x14ac:dyDescent="0.25">
      <c r="A8543"/>
      <c r="B8543"/>
      <c r="D8543"/>
      <c r="G8543"/>
      <c r="L8543"/>
    </row>
    <row r="8544" spans="1:12" x14ac:dyDescent="0.25">
      <c r="A8544"/>
      <c r="B8544"/>
      <c r="D8544"/>
      <c r="G8544"/>
      <c r="L8544"/>
    </row>
    <row r="8545" spans="1:12" x14ac:dyDescent="0.25">
      <c r="A8545"/>
      <c r="B8545"/>
      <c r="D8545"/>
      <c r="G8545"/>
      <c r="L8545"/>
    </row>
    <row r="8546" spans="1:12" x14ac:dyDescent="0.25">
      <c r="A8546"/>
      <c r="B8546"/>
      <c r="D8546"/>
      <c r="G8546"/>
      <c r="L8546"/>
    </row>
    <row r="8547" spans="1:12" x14ac:dyDescent="0.25">
      <c r="A8547"/>
      <c r="B8547"/>
      <c r="D8547"/>
      <c r="G8547"/>
      <c r="L8547"/>
    </row>
    <row r="8548" spans="1:12" x14ac:dyDescent="0.25">
      <c r="A8548"/>
      <c r="B8548"/>
      <c r="D8548"/>
      <c r="G8548"/>
      <c r="L8548"/>
    </row>
    <row r="8549" spans="1:12" x14ac:dyDescent="0.25">
      <c r="A8549"/>
      <c r="B8549"/>
      <c r="D8549"/>
      <c r="G8549"/>
      <c r="L8549"/>
    </row>
    <row r="8550" spans="1:12" x14ac:dyDescent="0.25">
      <c r="A8550"/>
      <c r="B8550"/>
      <c r="D8550"/>
      <c r="G8550"/>
      <c r="L8550"/>
    </row>
    <row r="8551" spans="1:12" x14ac:dyDescent="0.25">
      <c r="A8551"/>
      <c r="B8551"/>
      <c r="D8551"/>
      <c r="G8551"/>
      <c r="L8551"/>
    </row>
    <row r="8552" spans="1:12" x14ac:dyDescent="0.25">
      <c r="A8552"/>
      <c r="B8552"/>
      <c r="D8552"/>
      <c r="G8552"/>
      <c r="L8552"/>
    </row>
    <row r="8553" spans="1:12" x14ac:dyDescent="0.25">
      <c r="A8553"/>
      <c r="B8553"/>
      <c r="D8553"/>
      <c r="G8553"/>
      <c r="L8553"/>
    </row>
    <row r="8554" spans="1:12" x14ac:dyDescent="0.25">
      <c r="A8554"/>
      <c r="B8554"/>
      <c r="D8554"/>
      <c r="G8554"/>
      <c r="L8554"/>
    </row>
    <row r="8555" spans="1:12" x14ac:dyDescent="0.25">
      <c r="A8555"/>
      <c r="B8555"/>
      <c r="D8555"/>
      <c r="G8555"/>
      <c r="L8555"/>
    </row>
    <row r="8556" spans="1:12" x14ac:dyDescent="0.25">
      <c r="A8556"/>
      <c r="B8556"/>
      <c r="D8556"/>
      <c r="G8556"/>
      <c r="L8556"/>
    </row>
    <row r="8557" spans="1:12" x14ac:dyDescent="0.25">
      <c r="A8557"/>
      <c r="B8557"/>
      <c r="D8557"/>
      <c r="G8557"/>
      <c r="L8557"/>
    </row>
    <row r="8558" spans="1:12" x14ac:dyDescent="0.25">
      <c r="A8558"/>
      <c r="B8558"/>
      <c r="D8558"/>
      <c r="G8558"/>
      <c r="L8558"/>
    </row>
    <row r="8559" spans="1:12" x14ac:dyDescent="0.25">
      <c r="A8559"/>
      <c r="B8559"/>
      <c r="D8559"/>
      <c r="G8559"/>
      <c r="L8559"/>
    </row>
    <row r="8560" spans="1:12" x14ac:dyDescent="0.25">
      <c r="A8560"/>
      <c r="B8560"/>
      <c r="D8560"/>
      <c r="G8560"/>
      <c r="L8560"/>
    </row>
    <row r="8561" spans="1:12" x14ac:dyDescent="0.25">
      <c r="A8561"/>
      <c r="B8561"/>
      <c r="D8561"/>
      <c r="G8561"/>
      <c r="L8561"/>
    </row>
    <row r="8562" spans="1:12" x14ac:dyDescent="0.25">
      <c r="A8562"/>
      <c r="B8562"/>
      <c r="D8562"/>
      <c r="G8562"/>
      <c r="L8562"/>
    </row>
    <row r="8563" spans="1:12" x14ac:dyDescent="0.25">
      <c r="A8563"/>
      <c r="B8563"/>
      <c r="D8563"/>
      <c r="G8563"/>
      <c r="L8563"/>
    </row>
    <row r="8564" spans="1:12" x14ac:dyDescent="0.25">
      <c r="A8564"/>
      <c r="B8564"/>
      <c r="D8564"/>
      <c r="G8564"/>
      <c r="L8564"/>
    </row>
    <row r="8565" spans="1:12" x14ac:dyDescent="0.25">
      <c r="A8565"/>
      <c r="B8565"/>
      <c r="D8565"/>
      <c r="G8565"/>
      <c r="L8565"/>
    </row>
    <row r="8566" spans="1:12" x14ac:dyDescent="0.25">
      <c r="A8566"/>
      <c r="B8566"/>
      <c r="D8566"/>
      <c r="G8566"/>
      <c r="L8566"/>
    </row>
    <row r="8567" spans="1:12" x14ac:dyDescent="0.25">
      <c r="A8567"/>
      <c r="B8567"/>
      <c r="D8567"/>
      <c r="G8567"/>
      <c r="L8567"/>
    </row>
    <row r="8568" spans="1:12" x14ac:dyDescent="0.25">
      <c r="A8568"/>
      <c r="B8568"/>
      <c r="D8568"/>
      <c r="G8568"/>
      <c r="L8568"/>
    </row>
    <row r="8569" spans="1:12" x14ac:dyDescent="0.25">
      <c r="A8569"/>
      <c r="B8569"/>
      <c r="D8569"/>
      <c r="G8569"/>
      <c r="L8569"/>
    </row>
    <row r="8570" spans="1:12" x14ac:dyDescent="0.25">
      <c r="A8570"/>
      <c r="B8570"/>
      <c r="D8570"/>
      <c r="G8570"/>
      <c r="L8570"/>
    </row>
    <row r="8571" spans="1:12" x14ac:dyDescent="0.25">
      <c r="A8571"/>
      <c r="B8571"/>
      <c r="D8571"/>
      <c r="G8571"/>
      <c r="L8571"/>
    </row>
    <row r="8572" spans="1:12" x14ac:dyDescent="0.25">
      <c r="A8572"/>
      <c r="B8572"/>
      <c r="D8572"/>
      <c r="G8572"/>
      <c r="L8572"/>
    </row>
    <row r="8573" spans="1:12" x14ac:dyDescent="0.25">
      <c r="A8573"/>
      <c r="B8573"/>
      <c r="D8573"/>
      <c r="G8573"/>
      <c r="L8573"/>
    </row>
    <row r="8574" spans="1:12" x14ac:dyDescent="0.25">
      <c r="A8574"/>
      <c r="B8574"/>
      <c r="D8574"/>
      <c r="G8574"/>
      <c r="L8574"/>
    </row>
    <row r="8575" spans="1:12" x14ac:dyDescent="0.25">
      <c r="A8575"/>
      <c r="B8575"/>
      <c r="D8575"/>
      <c r="G8575"/>
      <c r="L8575"/>
    </row>
    <row r="8576" spans="1:12" x14ac:dyDescent="0.25">
      <c r="A8576"/>
      <c r="B8576"/>
      <c r="D8576"/>
      <c r="G8576"/>
      <c r="L8576"/>
    </row>
    <row r="8577" spans="1:12" x14ac:dyDescent="0.25">
      <c r="A8577"/>
      <c r="B8577"/>
      <c r="D8577"/>
      <c r="G8577"/>
      <c r="L8577"/>
    </row>
    <row r="8578" spans="1:12" x14ac:dyDescent="0.25">
      <c r="A8578"/>
      <c r="B8578"/>
      <c r="D8578"/>
      <c r="G8578"/>
      <c r="L8578"/>
    </row>
    <row r="8579" spans="1:12" x14ac:dyDescent="0.25">
      <c r="A8579"/>
      <c r="B8579"/>
      <c r="D8579"/>
      <c r="G8579"/>
      <c r="L8579"/>
    </row>
    <row r="8580" spans="1:12" x14ac:dyDescent="0.25">
      <c r="A8580"/>
      <c r="B8580"/>
      <c r="D8580"/>
      <c r="G8580"/>
      <c r="L8580"/>
    </row>
    <row r="8581" spans="1:12" x14ac:dyDescent="0.25">
      <c r="A8581"/>
      <c r="B8581"/>
      <c r="D8581"/>
      <c r="G8581"/>
      <c r="L8581"/>
    </row>
    <row r="8582" spans="1:12" x14ac:dyDescent="0.25">
      <c r="A8582"/>
      <c r="B8582"/>
      <c r="D8582"/>
      <c r="G8582"/>
      <c r="L8582"/>
    </row>
    <row r="8583" spans="1:12" x14ac:dyDescent="0.25">
      <c r="A8583"/>
      <c r="B8583"/>
      <c r="D8583"/>
      <c r="G8583"/>
      <c r="L8583"/>
    </row>
    <row r="8584" spans="1:12" x14ac:dyDescent="0.25">
      <c r="A8584"/>
      <c r="B8584"/>
      <c r="D8584"/>
      <c r="G8584"/>
      <c r="L8584"/>
    </row>
    <row r="8585" spans="1:12" x14ac:dyDescent="0.25">
      <c r="A8585"/>
      <c r="B8585"/>
      <c r="D8585"/>
      <c r="G8585"/>
      <c r="L8585"/>
    </row>
    <row r="8586" spans="1:12" x14ac:dyDescent="0.25">
      <c r="A8586"/>
      <c r="B8586"/>
      <c r="D8586"/>
      <c r="G8586"/>
      <c r="L8586"/>
    </row>
    <row r="8587" spans="1:12" x14ac:dyDescent="0.25">
      <c r="A8587"/>
      <c r="B8587"/>
      <c r="D8587"/>
      <c r="G8587"/>
      <c r="L8587"/>
    </row>
    <row r="8588" spans="1:12" x14ac:dyDescent="0.25">
      <c r="A8588"/>
      <c r="B8588"/>
      <c r="D8588"/>
      <c r="G8588"/>
      <c r="L8588"/>
    </row>
    <row r="8589" spans="1:12" x14ac:dyDescent="0.25">
      <c r="A8589"/>
      <c r="B8589"/>
      <c r="D8589"/>
      <c r="G8589"/>
      <c r="L8589"/>
    </row>
    <row r="8590" spans="1:12" x14ac:dyDescent="0.25">
      <c r="A8590"/>
      <c r="B8590"/>
      <c r="D8590"/>
      <c r="G8590"/>
      <c r="L8590"/>
    </row>
    <row r="8591" spans="1:12" x14ac:dyDescent="0.25">
      <c r="A8591"/>
      <c r="B8591"/>
      <c r="D8591"/>
      <c r="G8591"/>
      <c r="L8591"/>
    </row>
    <row r="8592" spans="1:12" x14ac:dyDescent="0.25">
      <c r="A8592"/>
      <c r="B8592"/>
      <c r="D8592"/>
      <c r="G8592"/>
      <c r="L8592"/>
    </row>
    <row r="8593" spans="1:12" x14ac:dyDescent="0.25">
      <c r="A8593"/>
      <c r="B8593"/>
      <c r="D8593"/>
      <c r="G8593"/>
      <c r="L8593"/>
    </row>
    <row r="8594" spans="1:12" x14ac:dyDescent="0.25">
      <c r="A8594"/>
      <c r="B8594"/>
      <c r="D8594"/>
      <c r="G8594"/>
      <c r="L8594"/>
    </row>
    <row r="8595" spans="1:12" x14ac:dyDescent="0.25">
      <c r="A8595"/>
      <c r="B8595"/>
      <c r="D8595"/>
      <c r="G8595"/>
      <c r="L8595"/>
    </row>
    <row r="8596" spans="1:12" x14ac:dyDescent="0.25">
      <c r="A8596"/>
      <c r="B8596"/>
      <c r="D8596"/>
      <c r="G8596"/>
      <c r="L8596"/>
    </row>
    <row r="8597" spans="1:12" x14ac:dyDescent="0.25">
      <c r="A8597"/>
      <c r="B8597"/>
      <c r="D8597"/>
      <c r="G8597"/>
      <c r="L8597"/>
    </row>
    <row r="8598" spans="1:12" x14ac:dyDescent="0.25">
      <c r="A8598"/>
      <c r="B8598"/>
      <c r="D8598"/>
      <c r="G8598"/>
      <c r="L8598"/>
    </row>
    <row r="8599" spans="1:12" x14ac:dyDescent="0.25">
      <c r="A8599"/>
      <c r="B8599"/>
      <c r="D8599"/>
      <c r="G8599"/>
      <c r="L8599"/>
    </row>
    <row r="8600" spans="1:12" x14ac:dyDescent="0.25">
      <c r="A8600"/>
      <c r="B8600"/>
      <c r="D8600"/>
      <c r="G8600"/>
      <c r="L8600"/>
    </row>
    <row r="8601" spans="1:12" x14ac:dyDescent="0.25">
      <c r="A8601"/>
      <c r="B8601"/>
      <c r="D8601"/>
      <c r="G8601"/>
      <c r="L8601"/>
    </row>
    <row r="8602" spans="1:12" x14ac:dyDescent="0.25">
      <c r="A8602"/>
      <c r="B8602"/>
      <c r="D8602"/>
      <c r="G8602"/>
      <c r="L8602"/>
    </row>
    <row r="8603" spans="1:12" x14ac:dyDescent="0.25">
      <c r="A8603"/>
      <c r="B8603"/>
      <c r="D8603"/>
      <c r="G8603"/>
      <c r="L8603"/>
    </row>
    <row r="8604" spans="1:12" x14ac:dyDescent="0.25">
      <c r="A8604"/>
      <c r="B8604"/>
      <c r="D8604"/>
      <c r="G8604"/>
      <c r="L8604"/>
    </row>
    <row r="8605" spans="1:12" x14ac:dyDescent="0.25">
      <c r="A8605"/>
      <c r="B8605"/>
      <c r="D8605"/>
      <c r="G8605"/>
      <c r="L8605"/>
    </row>
    <row r="8606" spans="1:12" x14ac:dyDescent="0.25">
      <c r="A8606"/>
      <c r="B8606"/>
      <c r="D8606"/>
      <c r="G8606"/>
      <c r="L8606"/>
    </row>
    <row r="8607" spans="1:12" x14ac:dyDescent="0.25">
      <c r="A8607"/>
      <c r="B8607"/>
      <c r="D8607"/>
      <c r="G8607"/>
      <c r="L8607"/>
    </row>
    <row r="8608" spans="1:12" x14ac:dyDescent="0.25">
      <c r="A8608"/>
      <c r="B8608"/>
      <c r="D8608"/>
      <c r="G8608"/>
      <c r="L8608"/>
    </row>
    <row r="8609" spans="1:12" x14ac:dyDescent="0.25">
      <c r="A8609"/>
      <c r="B8609"/>
      <c r="D8609"/>
      <c r="G8609"/>
      <c r="L8609"/>
    </row>
    <row r="8610" spans="1:12" x14ac:dyDescent="0.25">
      <c r="A8610"/>
      <c r="B8610"/>
      <c r="D8610"/>
      <c r="G8610"/>
      <c r="L8610"/>
    </row>
    <row r="8611" spans="1:12" x14ac:dyDescent="0.25">
      <c r="A8611"/>
      <c r="B8611"/>
      <c r="D8611"/>
      <c r="G8611"/>
      <c r="L8611"/>
    </row>
    <row r="8612" spans="1:12" x14ac:dyDescent="0.25">
      <c r="A8612"/>
      <c r="B8612"/>
      <c r="D8612"/>
      <c r="G8612"/>
      <c r="L8612"/>
    </row>
    <row r="8613" spans="1:12" x14ac:dyDescent="0.25">
      <c r="A8613"/>
      <c r="B8613"/>
      <c r="D8613"/>
      <c r="G8613"/>
      <c r="L8613"/>
    </row>
    <row r="8614" spans="1:12" x14ac:dyDescent="0.25">
      <c r="A8614"/>
      <c r="B8614"/>
      <c r="D8614"/>
      <c r="G8614"/>
      <c r="L8614"/>
    </row>
    <row r="8615" spans="1:12" x14ac:dyDescent="0.25">
      <c r="A8615"/>
      <c r="B8615"/>
      <c r="D8615"/>
      <c r="G8615"/>
      <c r="L8615"/>
    </row>
    <row r="8616" spans="1:12" x14ac:dyDescent="0.25">
      <c r="A8616"/>
      <c r="B8616"/>
      <c r="D8616"/>
      <c r="G8616"/>
      <c r="L8616"/>
    </row>
    <row r="8617" spans="1:12" x14ac:dyDescent="0.25">
      <c r="A8617"/>
      <c r="B8617"/>
      <c r="D8617"/>
      <c r="G8617"/>
      <c r="L8617"/>
    </row>
    <row r="8618" spans="1:12" x14ac:dyDescent="0.25">
      <c r="A8618"/>
      <c r="B8618"/>
      <c r="D8618"/>
      <c r="G8618"/>
      <c r="L8618"/>
    </row>
    <row r="8619" spans="1:12" x14ac:dyDescent="0.25">
      <c r="A8619"/>
      <c r="B8619"/>
      <c r="D8619"/>
      <c r="G8619"/>
      <c r="L8619"/>
    </row>
    <row r="8620" spans="1:12" x14ac:dyDescent="0.25">
      <c r="A8620"/>
      <c r="B8620"/>
      <c r="D8620"/>
      <c r="G8620"/>
      <c r="L8620"/>
    </row>
    <row r="8621" spans="1:12" x14ac:dyDescent="0.25">
      <c r="A8621"/>
      <c r="B8621"/>
      <c r="D8621"/>
      <c r="G8621"/>
      <c r="L8621"/>
    </row>
    <row r="8622" spans="1:12" x14ac:dyDescent="0.25">
      <c r="A8622"/>
      <c r="B8622"/>
      <c r="D8622"/>
      <c r="G8622"/>
      <c r="L8622"/>
    </row>
    <row r="8623" spans="1:12" x14ac:dyDescent="0.25">
      <c r="A8623"/>
      <c r="B8623"/>
      <c r="D8623"/>
      <c r="G8623"/>
      <c r="L8623"/>
    </row>
    <row r="8624" spans="1:12" x14ac:dyDescent="0.25">
      <c r="A8624"/>
      <c r="B8624"/>
      <c r="D8624"/>
      <c r="G8624"/>
      <c r="L8624"/>
    </row>
    <row r="8625" spans="1:12" x14ac:dyDescent="0.25">
      <c r="A8625"/>
      <c r="B8625"/>
      <c r="D8625"/>
      <c r="G8625"/>
      <c r="L8625"/>
    </row>
    <row r="8626" spans="1:12" x14ac:dyDescent="0.25">
      <c r="A8626"/>
      <c r="B8626"/>
      <c r="D8626"/>
      <c r="G8626"/>
      <c r="L8626"/>
    </row>
    <row r="8627" spans="1:12" x14ac:dyDescent="0.25">
      <c r="A8627"/>
      <c r="B8627"/>
      <c r="D8627"/>
      <c r="G8627"/>
      <c r="L8627"/>
    </row>
    <row r="8628" spans="1:12" x14ac:dyDescent="0.25">
      <c r="A8628"/>
      <c r="B8628"/>
      <c r="D8628"/>
      <c r="G8628"/>
      <c r="L8628"/>
    </row>
    <row r="8629" spans="1:12" x14ac:dyDescent="0.25">
      <c r="A8629"/>
      <c r="B8629"/>
      <c r="D8629"/>
      <c r="G8629"/>
      <c r="L8629"/>
    </row>
    <row r="8630" spans="1:12" x14ac:dyDescent="0.25">
      <c r="A8630"/>
      <c r="B8630"/>
      <c r="D8630"/>
      <c r="G8630"/>
      <c r="L8630"/>
    </row>
    <row r="8631" spans="1:12" x14ac:dyDescent="0.25">
      <c r="A8631"/>
      <c r="B8631"/>
      <c r="D8631"/>
      <c r="G8631"/>
      <c r="L8631"/>
    </row>
    <row r="8632" spans="1:12" x14ac:dyDescent="0.25">
      <c r="A8632"/>
      <c r="B8632"/>
      <c r="D8632"/>
      <c r="G8632"/>
      <c r="L8632"/>
    </row>
    <row r="8633" spans="1:12" x14ac:dyDescent="0.25">
      <c r="A8633"/>
      <c r="B8633"/>
      <c r="D8633"/>
      <c r="G8633"/>
      <c r="L8633"/>
    </row>
    <row r="8634" spans="1:12" x14ac:dyDescent="0.25">
      <c r="A8634"/>
      <c r="B8634"/>
      <c r="D8634"/>
      <c r="G8634"/>
      <c r="L8634"/>
    </row>
    <row r="8635" spans="1:12" x14ac:dyDescent="0.25">
      <c r="A8635"/>
      <c r="B8635"/>
      <c r="D8635"/>
      <c r="G8635"/>
      <c r="L8635"/>
    </row>
    <row r="8636" spans="1:12" x14ac:dyDescent="0.25">
      <c r="A8636"/>
      <c r="B8636"/>
      <c r="D8636"/>
      <c r="G8636"/>
      <c r="L8636"/>
    </row>
    <row r="8637" spans="1:12" x14ac:dyDescent="0.25">
      <c r="A8637"/>
      <c r="B8637"/>
      <c r="D8637"/>
      <c r="G8637"/>
      <c r="L8637"/>
    </row>
    <row r="8638" spans="1:12" x14ac:dyDescent="0.25">
      <c r="A8638"/>
      <c r="B8638"/>
      <c r="D8638"/>
      <c r="G8638"/>
      <c r="L8638"/>
    </row>
    <row r="8639" spans="1:12" x14ac:dyDescent="0.25">
      <c r="A8639"/>
      <c r="B8639"/>
      <c r="D8639"/>
      <c r="G8639"/>
      <c r="L8639"/>
    </row>
    <row r="8640" spans="1:12" x14ac:dyDescent="0.25">
      <c r="A8640"/>
      <c r="B8640"/>
      <c r="D8640"/>
      <c r="G8640"/>
      <c r="L8640"/>
    </row>
    <row r="8641" spans="1:12" x14ac:dyDescent="0.25">
      <c r="A8641"/>
      <c r="B8641"/>
      <c r="D8641"/>
      <c r="G8641"/>
      <c r="L8641"/>
    </row>
    <row r="8642" spans="1:12" x14ac:dyDescent="0.25">
      <c r="A8642"/>
      <c r="B8642"/>
      <c r="D8642"/>
      <c r="G8642"/>
      <c r="L8642"/>
    </row>
    <row r="8643" spans="1:12" x14ac:dyDescent="0.25">
      <c r="A8643"/>
      <c r="B8643"/>
      <c r="D8643"/>
      <c r="G8643"/>
      <c r="L8643"/>
    </row>
    <row r="8644" spans="1:12" x14ac:dyDescent="0.25">
      <c r="A8644"/>
      <c r="B8644"/>
      <c r="D8644"/>
      <c r="G8644"/>
      <c r="L8644"/>
    </row>
    <row r="8645" spans="1:12" x14ac:dyDescent="0.25">
      <c r="A8645"/>
      <c r="B8645"/>
      <c r="D8645"/>
      <c r="G8645"/>
      <c r="L8645"/>
    </row>
    <row r="8646" spans="1:12" x14ac:dyDescent="0.25">
      <c r="A8646"/>
      <c r="B8646"/>
      <c r="D8646"/>
      <c r="G8646"/>
      <c r="L8646"/>
    </row>
    <row r="8647" spans="1:12" x14ac:dyDescent="0.25">
      <c r="A8647"/>
      <c r="B8647"/>
      <c r="D8647"/>
      <c r="G8647"/>
      <c r="L8647"/>
    </row>
    <row r="8648" spans="1:12" x14ac:dyDescent="0.25">
      <c r="A8648"/>
      <c r="B8648"/>
      <c r="D8648"/>
      <c r="G8648"/>
      <c r="L8648"/>
    </row>
    <row r="8649" spans="1:12" x14ac:dyDescent="0.25">
      <c r="A8649"/>
      <c r="B8649"/>
      <c r="D8649"/>
      <c r="G8649"/>
      <c r="L8649"/>
    </row>
    <row r="8650" spans="1:12" x14ac:dyDescent="0.25">
      <c r="A8650"/>
      <c r="B8650"/>
      <c r="D8650"/>
      <c r="G8650"/>
      <c r="L8650"/>
    </row>
    <row r="8651" spans="1:12" x14ac:dyDescent="0.25">
      <c r="A8651"/>
      <c r="B8651"/>
      <c r="D8651"/>
      <c r="G8651"/>
      <c r="L8651"/>
    </row>
    <row r="8652" spans="1:12" x14ac:dyDescent="0.25">
      <c r="A8652"/>
      <c r="B8652"/>
      <c r="D8652"/>
      <c r="G8652"/>
      <c r="L8652"/>
    </row>
    <row r="8653" spans="1:12" x14ac:dyDescent="0.25">
      <c r="A8653"/>
      <c r="B8653"/>
      <c r="D8653"/>
      <c r="G8653"/>
      <c r="L8653"/>
    </row>
    <row r="8654" spans="1:12" x14ac:dyDescent="0.25">
      <c r="A8654"/>
      <c r="B8654"/>
      <c r="D8654"/>
      <c r="G8654"/>
      <c r="L8654"/>
    </row>
    <row r="8655" spans="1:12" x14ac:dyDescent="0.25">
      <c r="A8655"/>
      <c r="B8655"/>
      <c r="D8655"/>
      <c r="G8655"/>
      <c r="L8655"/>
    </row>
    <row r="8656" spans="1:12" x14ac:dyDescent="0.25">
      <c r="A8656"/>
      <c r="B8656"/>
      <c r="D8656"/>
      <c r="G8656"/>
      <c r="L8656"/>
    </row>
    <row r="8657" spans="1:12" x14ac:dyDescent="0.25">
      <c r="A8657"/>
      <c r="B8657"/>
      <c r="D8657"/>
      <c r="G8657"/>
      <c r="L8657"/>
    </row>
    <row r="8658" spans="1:12" x14ac:dyDescent="0.25">
      <c r="A8658"/>
      <c r="B8658"/>
      <c r="D8658"/>
      <c r="G8658"/>
      <c r="L8658"/>
    </row>
    <row r="8659" spans="1:12" x14ac:dyDescent="0.25">
      <c r="A8659"/>
      <c r="B8659"/>
      <c r="D8659"/>
      <c r="G8659"/>
      <c r="L8659"/>
    </row>
    <row r="8660" spans="1:12" x14ac:dyDescent="0.25">
      <c r="A8660"/>
      <c r="B8660"/>
      <c r="D8660"/>
      <c r="G8660"/>
      <c r="L8660"/>
    </row>
    <row r="8661" spans="1:12" x14ac:dyDescent="0.25">
      <c r="A8661"/>
      <c r="B8661"/>
      <c r="D8661"/>
      <c r="G8661"/>
      <c r="L8661"/>
    </row>
    <row r="8662" spans="1:12" x14ac:dyDescent="0.25">
      <c r="A8662"/>
      <c r="B8662"/>
      <c r="D8662"/>
      <c r="G8662"/>
      <c r="L8662"/>
    </row>
    <row r="8663" spans="1:12" x14ac:dyDescent="0.25">
      <c r="A8663"/>
      <c r="B8663"/>
      <c r="D8663"/>
      <c r="G8663"/>
      <c r="L8663"/>
    </row>
    <row r="8664" spans="1:12" x14ac:dyDescent="0.25">
      <c r="A8664"/>
      <c r="B8664"/>
      <c r="D8664"/>
      <c r="G8664"/>
      <c r="L8664"/>
    </row>
    <row r="8665" spans="1:12" x14ac:dyDescent="0.25">
      <c r="A8665"/>
      <c r="B8665"/>
      <c r="D8665"/>
      <c r="G8665"/>
      <c r="L8665"/>
    </row>
    <row r="8666" spans="1:12" x14ac:dyDescent="0.25">
      <c r="A8666"/>
      <c r="B8666"/>
      <c r="D8666"/>
      <c r="G8666"/>
      <c r="L8666"/>
    </row>
    <row r="8667" spans="1:12" x14ac:dyDescent="0.25">
      <c r="A8667"/>
      <c r="B8667"/>
      <c r="D8667"/>
      <c r="G8667"/>
      <c r="L8667"/>
    </row>
    <row r="8668" spans="1:12" x14ac:dyDescent="0.25">
      <c r="A8668"/>
      <c r="B8668"/>
      <c r="D8668"/>
      <c r="G8668"/>
      <c r="L8668"/>
    </row>
    <row r="8669" spans="1:12" x14ac:dyDescent="0.25">
      <c r="A8669"/>
      <c r="B8669"/>
      <c r="D8669"/>
      <c r="G8669"/>
      <c r="L8669"/>
    </row>
    <row r="8670" spans="1:12" x14ac:dyDescent="0.25">
      <c r="A8670"/>
      <c r="B8670"/>
      <c r="D8670"/>
      <c r="G8670"/>
      <c r="L8670"/>
    </row>
    <row r="8671" spans="1:12" x14ac:dyDescent="0.25">
      <c r="A8671"/>
      <c r="B8671"/>
      <c r="D8671"/>
      <c r="G8671"/>
      <c r="L8671"/>
    </row>
    <row r="8672" spans="1:12" x14ac:dyDescent="0.25">
      <c r="A8672"/>
      <c r="B8672"/>
      <c r="D8672"/>
      <c r="G8672"/>
      <c r="L8672"/>
    </row>
    <row r="8673" spans="1:12" x14ac:dyDescent="0.25">
      <c r="A8673"/>
      <c r="B8673"/>
      <c r="D8673"/>
      <c r="G8673"/>
      <c r="L8673"/>
    </row>
    <row r="8674" spans="1:12" x14ac:dyDescent="0.25">
      <c r="A8674"/>
      <c r="B8674"/>
      <c r="D8674"/>
      <c r="G8674"/>
      <c r="L8674"/>
    </row>
    <row r="8675" spans="1:12" x14ac:dyDescent="0.25">
      <c r="A8675"/>
      <c r="B8675"/>
      <c r="D8675"/>
      <c r="G8675"/>
      <c r="L8675"/>
    </row>
    <row r="8676" spans="1:12" x14ac:dyDescent="0.25">
      <c r="A8676"/>
      <c r="B8676"/>
      <c r="D8676"/>
      <c r="G8676"/>
      <c r="L8676"/>
    </row>
    <row r="8677" spans="1:12" x14ac:dyDescent="0.25">
      <c r="A8677"/>
      <c r="B8677"/>
      <c r="D8677"/>
      <c r="G8677"/>
      <c r="L8677"/>
    </row>
    <row r="8678" spans="1:12" x14ac:dyDescent="0.25">
      <c r="A8678"/>
      <c r="B8678"/>
      <c r="D8678"/>
      <c r="G8678"/>
      <c r="L8678"/>
    </row>
    <row r="8679" spans="1:12" x14ac:dyDescent="0.25">
      <c r="A8679"/>
      <c r="B8679"/>
      <c r="D8679"/>
      <c r="G8679"/>
      <c r="L8679"/>
    </row>
    <row r="8680" spans="1:12" x14ac:dyDescent="0.25">
      <c r="A8680"/>
      <c r="B8680"/>
      <c r="D8680"/>
      <c r="G8680"/>
      <c r="L8680"/>
    </row>
    <row r="8681" spans="1:12" x14ac:dyDescent="0.25">
      <c r="A8681"/>
      <c r="B8681"/>
      <c r="D8681"/>
      <c r="G8681"/>
      <c r="L8681"/>
    </row>
    <row r="8682" spans="1:12" x14ac:dyDescent="0.25">
      <c r="A8682"/>
      <c r="B8682"/>
      <c r="D8682"/>
      <c r="G8682"/>
      <c r="L8682"/>
    </row>
    <row r="8683" spans="1:12" x14ac:dyDescent="0.25">
      <c r="A8683"/>
      <c r="B8683"/>
      <c r="D8683"/>
      <c r="G8683"/>
      <c r="L8683"/>
    </row>
    <row r="8684" spans="1:12" x14ac:dyDescent="0.25">
      <c r="A8684"/>
      <c r="B8684"/>
      <c r="D8684"/>
      <c r="G8684"/>
      <c r="L8684"/>
    </row>
    <row r="8685" spans="1:12" x14ac:dyDescent="0.25">
      <c r="A8685"/>
      <c r="B8685"/>
      <c r="D8685"/>
      <c r="G8685"/>
      <c r="L8685"/>
    </row>
    <row r="8686" spans="1:12" x14ac:dyDescent="0.25">
      <c r="A8686"/>
      <c r="B8686"/>
      <c r="D8686"/>
      <c r="G8686"/>
      <c r="L8686"/>
    </row>
    <row r="8687" spans="1:12" x14ac:dyDescent="0.25">
      <c r="A8687"/>
      <c r="B8687"/>
      <c r="D8687"/>
      <c r="G8687"/>
      <c r="L8687"/>
    </row>
    <row r="8688" spans="1:12" x14ac:dyDescent="0.25">
      <c r="A8688"/>
      <c r="B8688"/>
      <c r="D8688"/>
      <c r="G8688"/>
      <c r="L8688"/>
    </row>
    <row r="8689" spans="1:12" x14ac:dyDescent="0.25">
      <c r="A8689"/>
      <c r="B8689"/>
      <c r="D8689"/>
      <c r="G8689"/>
      <c r="L8689"/>
    </row>
    <row r="8690" spans="1:12" x14ac:dyDescent="0.25">
      <c r="A8690"/>
      <c r="B8690"/>
      <c r="D8690"/>
      <c r="G8690"/>
      <c r="L8690"/>
    </row>
    <row r="8691" spans="1:12" x14ac:dyDescent="0.25">
      <c r="A8691"/>
      <c r="B8691"/>
      <c r="D8691"/>
      <c r="G8691"/>
      <c r="L8691"/>
    </row>
    <row r="8692" spans="1:12" x14ac:dyDescent="0.25">
      <c r="A8692"/>
      <c r="B8692"/>
      <c r="D8692"/>
      <c r="G8692"/>
      <c r="L8692"/>
    </row>
    <row r="8693" spans="1:12" x14ac:dyDescent="0.25">
      <c r="A8693"/>
      <c r="B8693"/>
      <c r="D8693"/>
      <c r="G8693"/>
      <c r="L8693"/>
    </row>
    <row r="8694" spans="1:12" x14ac:dyDescent="0.25">
      <c r="A8694"/>
      <c r="B8694"/>
      <c r="D8694"/>
      <c r="G8694"/>
      <c r="L8694"/>
    </row>
    <row r="8695" spans="1:12" x14ac:dyDescent="0.25">
      <c r="A8695"/>
      <c r="B8695"/>
      <c r="D8695"/>
      <c r="G8695"/>
      <c r="L8695"/>
    </row>
    <row r="8696" spans="1:12" x14ac:dyDescent="0.25">
      <c r="A8696"/>
      <c r="B8696"/>
      <c r="D8696"/>
      <c r="G8696"/>
      <c r="L8696"/>
    </row>
    <row r="8697" spans="1:12" x14ac:dyDescent="0.25">
      <c r="A8697"/>
      <c r="B8697"/>
      <c r="D8697"/>
      <c r="G8697"/>
      <c r="L8697"/>
    </row>
    <row r="8698" spans="1:12" x14ac:dyDescent="0.25">
      <c r="A8698"/>
      <c r="B8698"/>
      <c r="D8698"/>
      <c r="G8698"/>
      <c r="L8698"/>
    </row>
    <row r="8699" spans="1:12" x14ac:dyDescent="0.25">
      <c r="A8699"/>
      <c r="B8699"/>
      <c r="D8699"/>
      <c r="G8699"/>
      <c r="L8699"/>
    </row>
    <row r="8700" spans="1:12" x14ac:dyDescent="0.25">
      <c r="A8700"/>
      <c r="B8700"/>
      <c r="D8700"/>
      <c r="G8700"/>
      <c r="L8700"/>
    </row>
    <row r="8701" spans="1:12" x14ac:dyDescent="0.25">
      <c r="A8701"/>
      <c r="B8701"/>
      <c r="D8701"/>
      <c r="G8701"/>
      <c r="L8701"/>
    </row>
    <row r="8702" spans="1:12" x14ac:dyDescent="0.25">
      <c r="A8702"/>
      <c r="B8702"/>
      <c r="D8702"/>
      <c r="G8702"/>
      <c r="L8702"/>
    </row>
    <row r="8703" spans="1:12" x14ac:dyDescent="0.25">
      <c r="A8703"/>
      <c r="B8703"/>
      <c r="D8703"/>
      <c r="G8703"/>
      <c r="L8703"/>
    </row>
    <row r="8704" spans="1:12" x14ac:dyDescent="0.25">
      <c r="A8704"/>
      <c r="B8704"/>
      <c r="D8704"/>
      <c r="G8704"/>
      <c r="L8704"/>
    </row>
    <row r="8705" spans="1:12" x14ac:dyDescent="0.25">
      <c r="A8705"/>
      <c r="B8705"/>
      <c r="D8705"/>
      <c r="G8705"/>
      <c r="L8705"/>
    </row>
    <row r="8706" spans="1:12" x14ac:dyDescent="0.25">
      <c r="A8706"/>
      <c r="B8706"/>
      <c r="D8706"/>
      <c r="G8706"/>
      <c r="L8706"/>
    </row>
    <row r="8707" spans="1:12" x14ac:dyDescent="0.25">
      <c r="A8707"/>
      <c r="B8707"/>
      <c r="D8707"/>
      <c r="G8707"/>
      <c r="L8707"/>
    </row>
    <row r="8708" spans="1:12" x14ac:dyDescent="0.25">
      <c r="A8708"/>
      <c r="B8708"/>
      <c r="D8708"/>
      <c r="G8708"/>
      <c r="L8708"/>
    </row>
    <row r="8709" spans="1:12" x14ac:dyDescent="0.25">
      <c r="A8709"/>
      <c r="B8709"/>
      <c r="D8709"/>
      <c r="G8709"/>
      <c r="L8709"/>
    </row>
    <row r="8710" spans="1:12" x14ac:dyDescent="0.25">
      <c r="A8710"/>
      <c r="B8710"/>
      <c r="D8710"/>
      <c r="G8710"/>
      <c r="L8710"/>
    </row>
    <row r="8711" spans="1:12" x14ac:dyDescent="0.25">
      <c r="A8711"/>
      <c r="B8711"/>
      <c r="D8711"/>
      <c r="G8711"/>
      <c r="L8711"/>
    </row>
    <row r="8712" spans="1:12" x14ac:dyDescent="0.25">
      <c r="A8712"/>
      <c r="B8712"/>
      <c r="D8712"/>
      <c r="G8712"/>
      <c r="L8712"/>
    </row>
    <row r="8713" spans="1:12" x14ac:dyDescent="0.25">
      <c r="A8713"/>
      <c r="B8713"/>
      <c r="D8713"/>
      <c r="G8713"/>
      <c r="L8713"/>
    </row>
    <row r="8714" spans="1:12" x14ac:dyDescent="0.25">
      <c r="A8714"/>
      <c r="B8714"/>
      <c r="D8714"/>
      <c r="G8714"/>
      <c r="L8714"/>
    </row>
    <row r="8715" spans="1:12" x14ac:dyDescent="0.25">
      <c r="A8715"/>
      <c r="B8715"/>
      <c r="D8715"/>
      <c r="G8715"/>
      <c r="L8715"/>
    </row>
    <row r="8716" spans="1:12" x14ac:dyDescent="0.25">
      <c r="A8716"/>
      <c r="B8716"/>
      <c r="D8716"/>
      <c r="G8716"/>
      <c r="L8716"/>
    </row>
    <row r="8717" spans="1:12" x14ac:dyDescent="0.25">
      <c r="A8717"/>
      <c r="B8717"/>
      <c r="D8717"/>
      <c r="G8717"/>
      <c r="L8717"/>
    </row>
    <row r="8718" spans="1:12" x14ac:dyDescent="0.25">
      <c r="A8718"/>
      <c r="B8718"/>
      <c r="D8718"/>
      <c r="G8718"/>
      <c r="L8718"/>
    </row>
    <row r="8719" spans="1:12" x14ac:dyDescent="0.25">
      <c r="A8719"/>
      <c r="B8719"/>
      <c r="D8719"/>
      <c r="G8719"/>
      <c r="L8719"/>
    </row>
    <row r="8720" spans="1:12" x14ac:dyDescent="0.25">
      <c r="A8720"/>
      <c r="B8720"/>
      <c r="D8720"/>
      <c r="G8720"/>
      <c r="L8720"/>
    </row>
    <row r="8721" spans="1:12" x14ac:dyDescent="0.25">
      <c r="A8721"/>
      <c r="B8721"/>
      <c r="D8721"/>
      <c r="G8721"/>
      <c r="L8721"/>
    </row>
    <row r="8722" spans="1:12" x14ac:dyDescent="0.25">
      <c r="A8722"/>
      <c r="B8722"/>
      <c r="D8722"/>
      <c r="G8722"/>
      <c r="L8722"/>
    </row>
    <row r="8723" spans="1:12" x14ac:dyDescent="0.25">
      <c r="A8723"/>
      <c r="B8723"/>
      <c r="D8723"/>
      <c r="G8723"/>
      <c r="L8723"/>
    </row>
    <row r="8724" spans="1:12" x14ac:dyDescent="0.25">
      <c r="A8724"/>
      <c r="B8724"/>
      <c r="D8724"/>
      <c r="G8724"/>
      <c r="L8724"/>
    </row>
    <row r="8725" spans="1:12" x14ac:dyDescent="0.25">
      <c r="A8725"/>
      <c r="B8725"/>
      <c r="D8725"/>
      <c r="G8725"/>
      <c r="L8725"/>
    </row>
    <row r="8726" spans="1:12" x14ac:dyDescent="0.25">
      <c r="A8726"/>
      <c r="B8726"/>
      <c r="D8726"/>
      <c r="G8726"/>
      <c r="L8726"/>
    </row>
    <row r="8727" spans="1:12" x14ac:dyDescent="0.25">
      <c r="A8727"/>
      <c r="B8727"/>
      <c r="D8727"/>
      <c r="G8727"/>
      <c r="L8727"/>
    </row>
    <row r="8728" spans="1:12" x14ac:dyDescent="0.25">
      <c r="A8728"/>
      <c r="B8728"/>
      <c r="D8728"/>
      <c r="G8728"/>
      <c r="L8728"/>
    </row>
    <row r="8729" spans="1:12" x14ac:dyDescent="0.25">
      <c r="A8729"/>
      <c r="B8729"/>
      <c r="D8729"/>
      <c r="G8729"/>
      <c r="L8729"/>
    </row>
    <row r="8730" spans="1:12" x14ac:dyDescent="0.25">
      <c r="A8730"/>
      <c r="B8730"/>
      <c r="D8730"/>
      <c r="G8730"/>
      <c r="L8730"/>
    </row>
    <row r="8731" spans="1:12" x14ac:dyDescent="0.25">
      <c r="A8731"/>
      <c r="B8731"/>
      <c r="D8731"/>
      <c r="G8731"/>
      <c r="L8731"/>
    </row>
    <row r="8732" spans="1:12" x14ac:dyDescent="0.25">
      <c r="A8732"/>
      <c r="B8732"/>
      <c r="D8732"/>
      <c r="G8732"/>
      <c r="L8732"/>
    </row>
    <row r="8733" spans="1:12" x14ac:dyDescent="0.25">
      <c r="A8733"/>
      <c r="B8733"/>
      <c r="D8733"/>
      <c r="G8733"/>
      <c r="L8733"/>
    </row>
    <row r="8734" spans="1:12" x14ac:dyDescent="0.25">
      <c r="A8734"/>
      <c r="B8734"/>
      <c r="D8734"/>
      <c r="G8734"/>
      <c r="L8734"/>
    </row>
    <row r="8735" spans="1:12" x14ac:dyDescent="0.25">
      <c r="A8735"/>
      <c r="B8735"/>
      <c r="D8735"/>
      <c r="G8735"/>
      <c r="L8735"/>
    </row>
    <row r="8736" spans="1:12" x14ac:dyDescent="0.25">
      <c r="A8736"/>
      <c r="B8736"/>
      <c r="D8736"/>
      <c r="G8736"/>
      <c r="L8736"/>
    </row>
    <row r="8737" spans="1:12" x14ac:dyDescent="0.25">
      <c r="A8737"/>
      <c r="B8737"/>
      <c r="D8737"/>
      <c r="G8737"/>
      <c r="L8737"/>
    </row>
    <row r="8738" spans="1:12" x14ac:dyDescent="0.25">
      <c r="A8738"/>
      <c r="B8738"/>
      <c r="D8738"/>
      <c r="G8738"/>
      <c r="L8738"/>
    </row>
    <row r="8739" spans="1:12" x14ac:dyDescent="0.25">
      <c r="A8739"/>
      <c r="B8739"/>
      <c r="D8739"/>
      <c r="G8739"/>
      <c r="L8739"/>
    </row>
    <row r="8740" spans="1:12" x14ac:dyDescent="0.25">
      <c r="A8740"/>
      <c r="B8740"/>
      <c r="D8740"/>
      <c r="G8740"/>
      <c r="L8740"/>
    </row>
    <row r="8741" spans="1:12" x14ac:dyDescent="0.25">
      <c r="A8741"/>
      <c r="B8741"/>
      <c r="D8741"/>
      <c r="G8741"/>
      <c r="L8741"/>
    </row>
    <row r="8742" spans="1:12" x14ac:dyDescent="0.25">
      <c r="A8742"/>
      <c r="B8742"/>
      <c r="D8742"/>
      <c r="G8742"/>
      <c r="L8742"/>
    </row>
    <row r="8743" spans="1:12" x14ac:dyDescent="0.25">
      <c r="A8743"/>
      <c r="B8743"/>
      <c r="D8743"/>
      <c r="G8743"/>
      <c r="L8743"/>
    </row>
    <row r="8744" spans="1:12" x14ac:dyDescent="0.25">
      <c r="A8744"/>
      <c r="B8744"/>
      <c r="D8744"/>
      <c r="G8744"/>
      <c r="L8744"/>
    </row>
    <row r="8745" spans="1:12" x14ac:dyDescent="0.25">
      <c r="A8745"/>
      <c r="B8745"/>
      <c r="D8745"/>
      <c r="G8745"/>
      <c r="L8745"/>
    </row>
    <row r="8746" spans="1:12" x14ac:dyDescent="0.25">
      <c r="A8746"/>
      <c r="B8746"/>
      <c r="D8746"/>
      <c r="G8746"/>
      <c r="L8746"/>
    </row>
    <row r="8747" spans="1:12" x14ac:dyDescent="0.25">
      <c r="A8747"/>
      <c r="B8747"/>
      <c r="D8747"/>
      <c r="G8747"/>
      <c r="L8747"/>
    </row>
    <row r="8748" spans="1:12" x14ac:dyDescent="0.25">
      <c r="A8748"/>
      <c r="B8748"/>
      <c r="D8748"/>
      <c r="G8748"/>
      <c r="L8748"/>
    </row>
    <row r="8749" spans="1:12" x14ac:dyDescent="0.25">
      <c r="A8749"/>
      <c r="B8749"/>
      <c r="D8749"/>
      <c r="G8749"/>
      <c r="L8749"/>
    </row>
    <row r="8750" spans="1:12" x14ac:dyDescent="0.25">
      <c r="A8750"/>
      <c r="B8750"/>
      <c r="D8750"/>
      <c r="G8750"/>
      <c r="L8750"/>
    </row>
    <row r="8751" spans="1:12" x14ac:dyDescent="0.25">
      <c r="A8751"/>
      <c r="B8751"/>
      <c r="D8751"/>
      <c r="G8751"/>
      <c r="L8751"/>
    </row>
    <row r="8752" spans="1:12" x14ac:dyDescent="0.25">
      <c r="A8752"/>
      <c r="B8752"/>
      <c r="D8752"/>
      <c r="G8752"/>
      <c r="L8752"/>
    </row>
    <row r="8753" spans="1:12" x14ac:dyDescent="0.25">
      <c r="A8753"/>
      <c r="B8753"/>
      <c r="D8753"/>
      <c r="G8753"/>
      <c r="L8753"/>
    </row>
    <row r="8754" spans="1:12" x14ac:dyDescent="0.25">
      <c r="A8754"/>
      <c r="B8754"/>
      <c r="D8754"/>
      <c r="G8754"/>
      <c r="L8754"/>
    </row>
    <row r="8755" spans="1:12" x14ac:dyDescent="0.25">
      <c r="A8755"/>
      <c r="B8755"/>
      <c r="D8755"/>
      <c r="G8755"/>
      <c r="L8755"/>
    </row>
    <row r="8756" spans="1:12" x14ac:dyDescent="0.25">
      <c r="A8756"/>
      <c r="B8756"/>
      <c r="D8756"/>
      <c r="G8756"/>
      <c r="L8756"/>
    </row>
    <row r="8757" spans="1:12" x14ac:dyDescent="0.25">
      <c r="A8757"/>
      <c r="B8757"/>
      <c r="D8757"/>
      <c r="G8757"/>
      <c r="L8757"/>
    </row>
    <row r="8758" spans="1:12" x14ac:dyDescent="0.25">
      <c r="A8758"/>
      <c r="B8758"/>
      <c r="D8758"/>
      <c r="G8758"/>
      <c r="L8758"/>
    </row>
    <row r="8759" spans="1:12" x14ac:dyDescent="0.25">
      <c r="A8759"/>
      <c r="B8759"/>
      <c r="D8759"/>
      <c r="G8759"/>
      <c r="L8759"/>
    </row>
    <row r="8760" spans="1:12" x14ac:dyDescent="0.25">
      <c r="A8760"/>
      <c r="B8760"/>
      <c r="D8760"/>
      <c r="G8760"/>
      <c r="L8760"/>
    </row>
    <row r="8761" spans="1:12" x14ac:dyDescent="0.25">
      <c r="A8761"/>
      <c r="B8761"/>
      <c r="D8761"/>
      <c r="G8761"/>
      <c r="L8761"/>
    </row>
    <row r="8762" spans="1:12" x14ac:dyDescent="0.25">
      <c r="A8762"/>
      <c r="B8762"/>
      <c r="D8762"/>
      <c r="G8762"/>
      <c r="L8762"/>
    </row>
    <row r="8763" spans="1:12" x14ac:dyDescent="0.25">
      <c r="A8763"/>
      <c r="B8763"/>
      <c r="D8763"/>
      <c r="G8763"/>
      <c r="L8763"/>
    </row>
    <row r="8764" spans="1:12" x14ac:dyDescent="0.25">
      <c r="A8764"/>
      <c r="B8764"/>
      <c r="D8764"/>
      <c r="G8764"/>
      <c r="L8764"/>
    </row>
    <row r="8765" spans="1:12" x14ac:dyDescent="0.25">
      <c r="A8765"/>
      <c r="B8765"/>
      <c r="D8765"/>
      <c r="G8765"/>
      <c r="L8765"/>
    </row>
    <row r="8766" spans="1:12" x14ac:dyDescent="0.25">
      <c r="A8766"/>
      <c r="B8766"/>
      <c r="D8766"/>
      <c r="G8766"/>
      <c r="L8766"/>
    </row>
    <row r="8767" spans="1:12" x14ac:dyDescent="0.25">
      <c r="A8767"/>
      <c r="B8767"/>
      <c r="D8767"/>
      <c r="G8767"/>
      <c r="L8767"/>
    </row>
    <row r="8768" spans="1:12" x14ac:dyDescent="0.25">
      <c r="A8768"/>
      <c r="B8768"/>
      <c r="D8768"/>
      <c r="G8768"/>
      <c r="L8768"/>
    </row>
    <row r="8769" spans="1:12" x14ac:dyDescent="0.25">
      <c r="A8769"/>
      <c r="B8769"/>
      <c r="D8769"/>
      <c r="G8769"/>
      <c r="L8769"/>
    </row>
    <row r="8770" spans="1:12" x14ac:dyDescent="0.25">
      <c r="A8770"/>
      <c r="B8770"/>
      <c r="D8770"/>
      <c r="G8770"/>
      <c r="L8770"/>
    </row>
    <row r="8771" spans="1:12" x14ac:dyDescent="0.25">
      <c r="A8771"/>
      <c r="B8771"/>
      <c r="D8771"/>
      <c r="G8771"/>
      <c r="L8771"/>
    </row>
    <row r="8772" spans="1:12" x14ac:dyDescent="0.25">
      <c r="A8772"/>
      <c r="B8772"/>
      <c r="D8772"/>
      <c r="G8772"/>
      <c r="L8772"/>
    </row>
    <row r="8773" spans="1:12" x14ac:dyDescent="0.25">
      <c r="A8773"/>
      <c r="B8773"/>
      <c r="D8773"/>
      <c r="G8773"/>
      <c r="L8773"/>
    </row>
    <row r="8774" spans="1:12" x14ac:dyDescent="0.25">
      <c r="A8774"/>
      <c r="B8774"/>
      <c r="D8774"/>
      <c r="G8774"/>
      <c r="L8774"/>
    </row>
    <row r="8775" spans="1:12" x14ac:dyDescent="0.25">
      <c r="A8775"/>
      <c r="B8775"/>
      <c r="D8775"/>
      <c r="G8775"/>
      <c r="L8775"/>
    </row>
    <row r="8776" spans="1:12" x14ac:dyDescent="0.25">
      <c r="A8776"/>
      <c r="B8776"/>
      <c r="D8776"/>
      <c r="G8776"/>
      <c r="L8776"/>
    </row>
    <row r="8777" spans="1:12" x14ac:dyDescent="0.25">
      <c r="A8777"/>
      <c r="B8777"/>
      <c r="D8777"/>
      <c r="G8777"/>
      <c r="L8777"/>
    </row>
    <row r="8778" spans="1:12" x14ac:dyDescent="0.25">
      <c r="A8778"/>
      <c r="B8778"/>
      <c r="D8778"/>
      <c r="G8778"/>
      <c r="L8778"/>
    </row>
    <row r="8779" spans="1:12" x14ac:dyDescent="0.25">
      <c r="A8779"/>
      <c r="B8779"/>
      <c r="D8779"/>
      <c r="G8779"/>
      <c r="L8779"/>
    </row>
    <row r="8780" spans="1:12" x14ac:dyDescent="0.25">
      <c r="A8780"/>
      <c r="B8780"/>
      <c r="D8780"/>
      <c r="G8780"/>
      <c r="L8780"/>
    </row>
    <row r="8781" spans="1:12" x14ac:dyDescent="0.25">
      <c r="A8781"/>
      <c r="B8781"/>
      <c r="D8781"/>
      <c r="G8781"/>
      <c r="L8781"/>
    </row>
    <row r="8782" spans="1:12" x14ac:dyDescent="0.25">
      <c r="A8782"/>
      <c r="B8782"/>
      <c r="D8782"/>
      <c r="G8782"/>
      <c r="L8782"/>
    </row>
    <row r="8783" spans="1:12" x14ac:dyDescent="0.25">
      <c r="A8783"/>
      <c r="B8783"/>
      <c r="D8783"/>
      <c r="G8783"/>
      <c r="L8783"/>
    </row>
    <row r="8784" spans="1:12" x14ac:dyDescent="0.25">
      <c r="A8784"/>
      <c r="B8784"/>
      <c r="D8784"/>
      <c r="G8784"/>
      <c r="L8784"/>
    </row>
    <row r="8785" spans="1:12" x14ac:dyDescent="0.25">
      <c r="A8785"/>
      <c r="B8785"/>
      <c r="D8785"/>
      <c r="G8785"/>
      <c r="L8785"/>
    </row>
    <row r="8786" spans="1:12" x14ac:dyDescent="0.25">
      <c r="A8786"/>
      <c r="B8786"/>
      <c r="D8786"/>
      <c r="G8786"/>
      <c r="L8786"/>
    </row>
    <row r="8787" spans="1:12" x14ac:dyDescent="0.25">
      <c r="A8787"/>
      <c r="B8787"/>
      <c r="D8787"/>
      <c r="G8787"/>
      <c r="L8787"/>
    </row>
    <row r="8788" spans="1:12" x14ac:dyDescent="0.25">
      <c r="A8788"/>
      <c r="B8788"/>
      <c r="D8788"/>
      <c r="G8788"/>
      <c r="L8788"/>
    </row>
    <row r="8789" spans="1:12" x14ac:dyDescent="0.25">
      <c r="A8789"/>
      <c r="B8789"/>
      <c r="D8789"/>
      <c r="G8789"/>
      <c r="L8789"/>
    </row>
    <row r="8790" spans="1:12" x14ac:dyDescent="0.25">
      <c r="A8790"/>
      <c r="B8790"/>
      <c r="D8790"/>
      <c r="G8790"/>
      <c r="L8790"/>
    </row>
    <row r="8791" spans="1:12" x14ac:dyDescent="0.25">
      <c r="A8791"/>
      <c r="B8791"/>
      <c r="D8791"/>
      <c r="G8791"/>
      <c r="L8791"/>
    </row>
    <row r="8792" spans="1:12" x14ac:dyDescent="0.25">
      <c r="A8792"/>
      <c r="B8792"/>
      <c r="D8792"/>
      <c r="G8792"/>
      <c r="L8792"/>
    </row>
    <row r="8793" spans="1:12" x14ac:dyDescent="0.25">
      <c r="A8793"/>
      <c r="B8793"/>
      <c r="D8793"/>
      <c r="G8793"/>
      <c r="L8793"/>
    </row>
    <row r="8794" spans="1:12" x14ac:dyDescent="0.25">
      <c r="A8794"/>
      <c r="B8794"/>
      <c r="D8794"/>
      <c r="G8794"/>
      <c r="L8794"/>
    </row>
    <row r="8795" spans="1:12" x14ac:dyDescent="0.25">
      <c r="A8795"/>
      <c r="B8795"/>
      <c r="D8795"/>
      <c r="G8795"/>
      <c r="L8795"/>
    </row>
    <row r="8796" spans="1:12" x14ac:dyDescent="0.25">
      <c r="A8796"/>
      <c r="B8796"/>
      <c r="D8796"/>
      <c r="G8796"/>
      <c r="L8796"/>
    </row>
    <row r="8797" spans="1:12" x14ac:dyDescent="0.25">
      <c r="A8797"/>
      <c r="B8797"/>
      <c r="D8797"/>
      <c r="G8797"/>
      <c r="L8797"/>
    </row>
    <row r="8798" spans="1:12" x14ac:dyDescent="0.25">
      <c r="A8798"/>
      <c r="B8798"/>
      <c r="D8798"/>
      <c r="G8798"/>
      <c r="L8798"/>
    </row>
    <row r="8799" spans="1:12" x14ac:dyDescent="0.25">
      <c r="A8799"/>
      <c r="B8799"/>
      <c r="D8799"/>
      <c r="G8799"/>
      <c r="L8799"/>
    </row>
    <row r="8800" spans="1:12" x14ac:dyDescent="0.25">
      <c r="A8800"/>
      <c r="B8800"/>
      <c r="D8800"/>
      <c r="G8800"/>
      <c r="L8800"/>
    </row>
    <row r="8801" spans="1:12" x14ac:dyDescent="0.25">
      <c r="A8801"/>
      <c r="B8801"/>
      <c r="D8801"/>
      <c r="G8801"/>
      <c r="L8801"/>
    </row>
    <row r="8802" spans="1:12" x14ac:dyDescent="0.25">
      <c r="A8802"/>
      <c r="B8802"/>
      <c r="D8802"/>
      <c r="G8802"/>
      <c r="L8802"/>
    </row>
    <row r="8803" spans="1:12" x14ac:dyDescent="0.25">
      <c r="A8803"/>
      <c r="B8803"/>
      <c r="D8803"/>
      <c r="G8803"/>
      <c r="L8803"/>
    </row>
    <row r="8804" spans="1:12" x14ac:dyDescent="0.25">
      <c r="A8804"/>
      <c r="B8804"/>
      <c r="D8804"/>
      <c r="G8804"/>
      <c r="L8804"/>
    </row>
    <row r="8805" spans="1:12" x14ac:dyDescent="0.25">
      <c r="A8805"/>
      <c r="B8805"/>
      <c r="D8805"/>
      <c r="G8805"/>
      <c r="L8805"/>
    </row>
    <row r="8806" spans="1:12" x14ac:dyDescent="0.25">
      <c r="A8806"/>
      <c r="B8806"/>
      <c r="D8806"/>
      <c r="G8806"/>
      <c r="L8806"/>
    </row>
    <row r="8807" spans="1:12" x14ac:dyDescent="0.25">
      <c r="A8807"/>
      <c r="B8807"/>
      <c r="D8807"/>
      <c r="G8807"/>
      <c r="L8807"/>
    </row>
    <row r="8808" spans="1:12" x14ac:dyDescent="0.25">
      <c r="A8808"/>
      <c r="B8808"/>
      <c r="D8808"/>
      <c r="G8808"/>
      <c r="L8808"/>
    </row>
    <row r="8809" spans="1:12" x14ac:dyDescent="0.25">
      <c r="A8809"/>
      <c r="B8809"/>
      <c r="D8809"/>
      <c r="G8809"/>
      <c r="L8809"/>
    </row>
    <row r="8810" spans="1:12" x14ac:dyDescent="0.25">
      <c r="A8810"/>
      <c r="B8810"/>
      <c r="D8810"/>
      <c r="G8810"/>
      <c r="L8810"/>
    </row>
    <row r="8811" spans="1:12" x14ac:dyDescent="0.25">
      <c r="A8811"/>
      <c r="B8811"/>
      <c r="D8811"/>
      <c r="G8811"/>
      <c r="L8811"/>
    </row>
    <row r="8812" spans="1:12" x14ac:dyDescent="0.25">
      <c r="A8812"/>
      <c r="B8812"/>
      <c r="D8812"/>
      <c r="G8812"/>
      <c r="L8812"/>
    </row>
    <row r="8813" spans="1:12" x14ac:dyDescent="0.25">
      <c r="A8813"/>
      <c r="B8813"/>
      <c r="D8813"/>
      <c r="G8813"/>
      <c r="L8813"/>
    </row>
    <row r="8814" spans="1:12" x14ac:dyDescent="0.25">
      <c r="A8814"/>
      <c r="B8814"/>
      <c r="D8814"/>
      <c r="G8814"/>
      <c r="L8814"/>
    </row>
    <row r="8815" spans="1:12" x14ac:dyDescent="0.25">
      <c r="A8815"/>
      <c r="B8815"/>
      <c r="D8815"/>
      <c r="G8815"/>
      <c r="L8815"/>
    </row>
    <row r="8816" spans="1:12" x14ac:dyDescent="0.25">
      <c r="A8816"/>
      <c r="B8816"/>
      <c r="D8816"/>
      <c r="G8816"/>
      <c r="L8816"/>
    </row>
    <row r="8817" spans="1:12" x14ac:dyDescent="0.25">
      <c r="A8817"/>
      <c r="B8817"/>
      <c r="D8817"/>
      <c r="G8817"/>
      <c r="L8817"/>
    </row>
    <row r="8818" spans="1:12" x14ac:dyDescent="0.25">
      <c r="A8818"/>
      <c r="B8818"/>
      <c r="D8818"/>
      <c r="G8818"/>
      <c r="L8818"/>
    </row>
    <row r="8819" spans="1:12" x14ac:dyDescent="0.25">
      <c r="A8819"/>
      <c r="B8819"/>
      <c r="D8819"/>
      <c r="G8819"/>
      <c r="L8819"/>
    </row>
    <row r="8820" spans="1:12" x14ac:dyDescent="0.25">
      <c r="A8820"/>
      <c r="B8820"/>
      <c r="D8820"/>
      <c r="G8820"/>
      <c r="L8820"/>
    </row>
    <row r="8821" spans="1:12" x14ac:dyDescent="0.25">
      <c r="A8821"/>
      <c r="B8821"/>
      <c r="D8821"/>
      <c r="G8821"/>
      <c r="L8821"/>
    </row>
    <row r="8822" spans="1:12" x14ac:dyDescent="0.25">
      <c r="A8822"/>
      <c r="B8822"/>
      <c r="D8822"/>
      <c r="G8822"/>
      <c r="L8822"/>
    </row>
    <row r="8823" spans="1:12" x14ac:dyDescent="0.25">
      <c r="A8823"/>
      <c r="B8823"/>
      <c r="D8823"/>
      <c r="G8823"/>
      <c r="L8823"/>
    </row>
    <row r="8824" spans="1:12" x14ac:dyDescent="0.25">
      <c r="A8824"/>
      <c r="B8824"/>
      <c r="D8824"/>
      <c r="G8824"/>
      <c r="L8824"/>
    </row>
    <row r="8825" spans="1:12" x14ac:dyDescent="0.25">
      <c r="A8825"/>
      <c r="B8825"/>
      <c r="D8825"/>
      <c r="G8825"/>
      <c r="L8825"/>
    </row>
    <row r="8826" spans="1:12" x14ac:dyDescent="0.25">
      <c r="A8826"/>
      <c r="B8826"/>
      <c r="D8826"/>
      <c r="G8826"/>
      <c r="L8826"/>
    </row>
    <row r="8827" spans="1:12" x14ac:dyDescent="0.25">
      <c r="A8827"/>
      <c r="B8827"/>
      <c r="D8827"/>
      <c r="G8827"/>
      <c r="L8827"/>
    </row>
    <row r="8828" spans="1:12" x14ac:dyDescent="0.25">
      <c r="A8828"/>
      <c r="B8828"/>
      <c r="D8828"/>
      <c r="G8828"/>
      <c r="L8828"/>
    </row>
    <row r="8829" spans="1:12" x14ac:dyDescent="0.25">
      <c r="A8829"/>
      <c r="B8829"/>
      <c r="D8829"/>
      <c r="G8829"/>
      <c r="L8829"/>
    </row>
    <row r="8830" spans="1:12" x14ac:dyDescent="0.25">
      <c r="A8830"/>
      <c r="B8830"/>
      <c r="D8830"/>
      <c r="G8830"/>
      <c r="L8830"/>
    </row>
    <row r="8831" spans="1:12" x14ac:dyDescent="0.25">
      <c r="A8831"/>
      <c r="B8831"/>
      <c r="D8831"/>
      <c r="G8831"/>
      <c r="L8831"/>
    </row>
    <row r="8832" spans="1:12" x14ac:dyDescent="0.25">
      <c r="A8832"/>
      <c r="B8832"/>
      <c r="D8832"/>
      <c r="G8832"/>
      <c r="L8832"/>
    </row>
    <row r="8833" spans="1:12" x14ac:dyDescent="0.25">
      <c r="A8833"/>
      <c r="B8833"/>
      <c r="D8833"/>
      <c r="G8833"/>
      <c r="L8833"/>
    </row>
    <row r="8834" spans="1:12" x14ac:dyDescent="0.25">
      <c r="A8834"/>
      <c r="B8834"/>
      <c r="D8834"/>
      <c r="G8834"/>
      <c r="L8834"/>
    </row>
    <row r="8835" spans="1:12" x14ac:dyDescent="0.25">
      <c r="A8835"/>
      <c r="B8835"/>
      <c r="D8835"/>
      <c r="G8835"/>
      <c r="L8835"/>
    </row>
    <row r="8836" spans="1:12" x14ac:dyDescent="0.25">
      <c r="A8836"/>
      <c r="B8836"/>
      <c r="D8836"/>
      <c r="G8836"/>
      <c r="L8836"/>
    </row>
    <row r="8837" spans="1:12" x14ac:dyDescent="0.25">
      <c r="A8837"/>
      <c r="B8837"/>
      <c r="D8837"/>
      <c r="G8837"/>
      <c r="L8837"/>
    </row>
    <row r="8838" spans="1:12" x14ac:dyDescent="0.25">
      <c r="A8838"/>
      <c r="B8838"/>
      <c r="D8838"/>
      <c r="G8838"/>
      <c r="L8838"/>
    </row>
    <row r="8839" spans="1:12" x14ac:dyDescent="0.25">
      <c r="A8839"/>
      <c r="B8839"/>
      <c r="D8839"/>
      <c r="G8839"/>
      <c r="L8839"/>
    </row>
    <row r="8840" spans="1:12" x14ac:dyDescent="0.25">
      <c r="A8840"/>
      <c r="B8840"/>
      <c r="D8840"/>
      <c r="G8840"/>
      <c r="L8840"/>
    </row>
    <row r="8841" spans="1:12" x14ac:dyDescent="0.25">
      <c r="A8841"/>
      <c r="B8841"/>
      <c r="D8841"/>
      <c r="G8841"/>
      <c r="L8841"/>
    </row>
    <row r="8842" spans="1:12" x14ac:dyDescent="0.25">
      <c r="A8842"/>
      <c r="B8842"/>
      <c r="D8842"/>
      <c r="G8842"/>
      <c r="L8842"/>
    </row>
    <row r="8843" spans="1:12" x14ac:dyDescent="0.25">
      <c r="A8843"/>
      <c r="B8843"/>
      <c r="D8843"/>
      <c r="G8843"/>
      <c r="L8843"/>
    </row>
    <row r="8844" spans="1:12" x14ac:dyDescent="0.25">
      <c r="A8844"/>
      <c r="B8844"/>
      <c r="D8844"/>
      <c r="G8844"/>
      <c r="L8844"/>
    </row>
    <row r="8845" spans="1:12" x14ac:dyDescent="0.25">
      <c r="A8845"/>
      <c r="B8845"/>
      <c r="D8845"/>
      <c r="G8845"/>
      <c r="L8845"/>
    </row>
    <row r="8846" spans="1:12" x14ac:dyDescent="0.25">
      <c r="A8846"/>
      <c r="B8846"/>
      <c r="D8846"/>
      <c r="G8846"/>
      <c r="L8846"/>
    </row>
    <row r="8847" spans="1:12" x14ac:dyDescent="0.25">
      <c r="A8847"/>
      <c r="B8847"/>
      <c r="D8847"/>
      <c r="G8847"/>
      <c r="L8847"/>
    </row>
    <row r="8848" spans="1:12" x14ac:dyDescent="0.25">
      <c r="A8848"/>
      <c r="B8848"/>
      <c r="D8848"/>
      <c r="G8848"/>
      <c r="L8848"/>
    </row>
    <row r="8849" spans="1:12" x14ac:dyDescent="0.25">
      <c r="A8849"/>
      <c r="B8849"/>
      <c r="D8849"/>
      <c r="G8849"/>
      <c r="L8849"/>
    </row>
    <row r="8850" spans="1:12" x14ac:dyDescent="0.25">
      <c r="A8850"/>
      <c r="B8850"/>
      <c r="D8850"/>
      <c r="G8850"/>
      <c r="L8850"/>
    </row>
    <row r="8851" spans="1:12" x14ac:dyDescent="0.25">
      <c r="A8851"/>
      <c r="B8851"/>
      <c r="D8851"/>
      <c r="G8851"/>
      <c r="L8851"/>
    </row>
    <row r="8852" spans="1:12" x14ac:dyDescent="0.25">
      <c r="A8852"/>
      <c r="B8852"/>
      <c r="D8852"/>
      <c r="G8852"/>
      <c r="L8852"/>
    </row>
    <row r="8853" spans="1:12" x14ac:dyDescent="0.25">
      <c r="A8853"/>
      <c r="B8853"/>
      <c r="D8853"/>
      <c r="G8853"/>
      <c r="L8853"/>
    </row>
    <row r="8854" spans="1:12" x14ac:dyDescent="0.25">
      <c r="A8854"/>
      <c r="B8854"/>
      <c r="D8854"/>
      <c r="G8854"/>
      <c r="L8854"/>
    </row>
    <row r="8855" spans="1:12" x14ac:dyDescent="0.25">
      <c r="A8855"/>
      <c r="B8855"/>
      <c r="D8855"/>
      <c r="G8855"/>
      <c r="L8855"/>
    </row>
    <row r="8856" spans="1:12" x14ac:dyDescent="0.25">
      <c r="A8856"/>
      <c r="B8856"/>
      <c r="D8856"/>
      <c r="G8856"/>
      <c r="L8856"/>
    </row>
    <row r="8857" spans="1:12" x14ac:dyDescent="0.25">
      <c r="A8857"/>
      <c r="B8857"/>
      <c r="D8857"/>
      <c r="G8857"/>
      <c r="L8857"/>
    </row>
    <row r="8858" spans="1:12" x14ac:dyDescent="0.25">
      <c r="A8858"/>
      <c r="B8858"/>
      <c r="D8858"/>
      <c r="G8858"/>
      <c r="L8858"/>
    </row>
    <row r="8859" spans="1:12" x14ac:dyDescent="0.25">
      <c r="A8859"/>
      <c r="B8859"/>
      <c r="D8859"/>
      <c r="G8859"/>
      <c r="L8859"/>
    </row>
    <row r="8860" spans="1:12" x14ac:dyDescent="0.25">
      <c r="A8860"/>
      <c r="B8860"/>
      <c r="D8860"/>
      <c r="G8860"/>
      <c r="L8860"/>
    </row>
    <row r="8861" spans="1:12" x14ac:dyDescent="0.25">
      <c r="A8861"/>
      <c r="B8861"/>
      <c r="D8861"/>
      <c r="G8861"/>
      <c r="L8861"/>
    </row>
    <row r="8862" spans="1:12" x14ac:dyDescent="0.25">
      <c r="A8862"/>
      <c r="B8862"/>
      <c r="D8862"/>
      <c r="G8862"/>
      <c r="L8862"/>
    </row>
    <row r="8863" spans="1:12" x14ac:dyDescent="0.25">
      <c r="A8863"/>
      <c r="B8863"/>
      <c r="D8863"/>
      <c r="G8863"/>
      <c r="L8863"/>
    </row>
    <row r="8864" spans="1:12" x14ac:dyDescent="0.25">
      <c r="A8864"/>
      <c r="B8864"/>
      <c r="D8864"/>
      <c r="G8864"/>
      <c r="L8864"/>
    </row>
    <row r="8865" spans="1:12" x14ac:dyDescent="0.25">
      <c r="A8865"/>
      <c r="B8865"/>
      <c r="D8865"/>
      <c r="G8865"/>
      <c r="L8865"/>
    </row>
    <row r="8866" spans="1:12" x14ac:dyDescent="0.25">
      <c r="A8866"/>
      <c r="B8866"/>
      <c r="D8866"/>
      <c r="G8866"/>
      <c r="L8866"/>
    </row>
    <row r="8867" spans="1:12" x14ac:dyDescent="0.25">
      <c r="A8867"/>
      <c r="B8867"/>
      <c r="D8867"/>
      <c r="G8867"/>
      <c r="L8867"/>
    </row>
    <row r="8868" spans="1:12" x14ac:dyDescent="0.25">
      <c r="A8868"/>
      <c r="B8868"/>
      <c r="D8868"/>
      <c r="G8868"/>
      <c r="L8868"/>
    </row>
    <row r="8869" spans="1:12" x14ac:dyDescent="0.25">
      <c r="A8869"/>
      <c r="B8869"/>
      <c r="D8869"/>
      <c r="G8869"/>
      <c r="L8869"/>
    </row>
    <row r="8870" spans="1:12" x14ac:dyDescent="0.25">
      <c r="A8870"/>
      <c r="B8870"/>
      <c r="D8870"/>
      <c r="G8870"/>
      <c r="L8870"/>
    </row>
    <row r="8871" spans="1:12" x14ac:dyDescent="0.25">
      <c r="A8871"/>
      <c r="B8871"/>
      <c r="D8871"/>
      <c r="G8871"/>
      <c r="L8871"/>
    </row>
    <row r="8872" spans="1:12" x14ac:dyDescent="0.25">
      <c r="A8872"/>
      <c r="B8872"/>
      <c r="D8872"/>
      <c r="G8872"/>
      <c r="L8872"/>
    </row>
    <row r="8873" spans="1:12" x14ac:dyDescent="0.25">
      <c r="A8873"/>
      <c r="B8873"/>
      <c r="D8873"/>
      <c r="G8873"/>
      <c r="L8873"/>
    </row>
    <row r="8874" spans="1:12" x14ac:dyDescent="0.25">
      <c r="A8874"/>
      <c r="B8874"/>
      <c r="D8874"/>
      <c r="G8874"/>
      <c r="L8874"/>
    </row>
    <row r="8875" spans="1:12" x14ac:dyDescent="0.25">
      <c r="A8875"/>
      <c r="B8875"/>
      <c r="D8875"/>
      <c r="G8875"/>
      <c r="L8875"/>
    </row>
    <row r="8876" spans="1:12" x14ac:dyDescent="0.25">
      <c r="A8876"/>
      <c r="B8876"/>
      <c r="D8876"/>
      <c r="G8876"/>
      <c r="L8876"/>
    </row>
    <row r="8877" spans="1:12" x14ac:dyDescent="0.25">
      <c r="A8877"/>
      <c r="B8877"/>
      <c r="D8877"/>
      <c r="G8877"/>
      <c r="L8877"/>
    </row>
    <row r="8878" spans="1:12" x14ac:dyDescent="0.25">
      <c r="A8878"/>
      <c r="B8878"/>
      <c r="D8878"/>
      <c r="G8878"/>
      <c r="L8878"/>
    </row>
    <row r="8879" spans="1:12" x14ac:dyDescent="0.25">
      <c r="A8879"/>
      <c r="B8879"/>
      <c r="D8879"/>
      <c r="G8879"/>
      <c r="L8879"/>
    </row>
    <row r="8880" spans="1:12" x14ac:dyDescent="0.25">
      <c r="A8880"/>
      <c r="B8880"/>
      <c r="D8880"/>
      <c r="G8880"/>
      <c r="L8880"/>
    </row>
    <row r="8881" spans="1:12" x14ac:dyDescent="0.25">
      <c r="A8881"/>
      <c r="B8881"/>
      <c r="D8881"/>
      <c r="G8881"/>
      <c r="L8881"/>
    </row>
    <row r="8882" spans="1:12" x14ac:dyDescent="0.25">
      <c r="A8882"/>
      <c r="B8882"/>
      <c r="D8882"/>
      <c r="G8882"/>
      <c r="L8882"/>
    </row>
    <row r="8883" spans="1:12" x14ac:dyDescent="0.25">
      <c r="A8883"/>
      <c r="B8883"/>
      <c r="D8883"/>
      <c r="G8883"/>
      <c r="L8883"/>
    </row>
    <row r="8884" spans="1:12" x14ac:dyDescent="0.25">
      <c r="A8884"/>
      <c r="B8884"/>
      <c r="D8884"/>
      <c r="G8884"/>
      <c r="L8884"/>
    </row>
    <row r="8885" spans="1:12" x14ac:dyDescent="0.25">
      <c r="A8885"/>
      <c r="B8885"/>
      <c r="D8885"/>
      <c r="G8885"/>
      <c r="L8885"/>
    </row>
    <row r="8886" spans="1:12" x14ac:dyDescent="0.25">
      <c r="A8886"/>
      <c r="B8886"/>
      <c r="D8886"/>
      <c r="G8886"/>
      <c r="L8886"/>
    </row>
    <row r="8887" spans="1:12" x14ac:dyDescent="0.25">
      <c r="A8887"/>
      <c r="B8887"/>
      <c r="D8887"/>
      <c r="G8887"/>
      <c r="L8887"/>
    </row>
    <row r="8888" spans="1:12" x14ac:dyDescent="0.25">
      <c r="A8888"/>
      <c r="B8888"/>
      <c r="D8888"/>
      <c r="G8888"/>
      <c r="L8888"/>
    </row>
    <row r="8889" spans="1:12" x14ac:dyDescent="0.25">
      <c r="A8889"/>
      <c r="B8889"/>
      <c r="D8889"/>
      <c r="G8889"/>
      <c r="L8889"/>
    </row>
    <row r="8890" spans="1:12" x14ac:dyDescent="0.25">
      <c r="A8890"/>
      <c r="B8890"/>
      <c r="D8890"/>
      <c r="G8890"/>
      <c r="L8890"/>
    </row>
    <row r="8891" spans="1:12" x14ac:dyDescent="0.25">
      <c r="A8891"/>
      <c r="B8891"/>
      <c r="D8891"/>
      <c r="G8891"/>
      <c r="L8891"/>
    </row>
    <row r="8892" spans="1:12" x14ac:dyDescent="0.25">
      <c r="A8892"/>
      <c r="B8892"/>
      <c r="D8892"/>
      <c r="G8892"/>
      <c r="L8892"/>
    </row>
    <row r="8893" spans="1:12" x14ac:dyDescent="0.25">
      <c r="A8893"/>
      <c r="B8893"/>
      <c r="D8893"/>
      <c r="G8893"/>
      <c r="L8893"/>
    </row>
    <row r="8894" spans="1:12" x14ac:dyDescent="0.25">
      <c r="A8894"/>
      <c r="B8894"/>
      <c r="D8894"/>
      <c r="G8894"/>
      <c r="L8894"/>
    </row>
    <row r="8895" spans="1:12" x14ac:dyDescent="0.25">
      <c r="A8895"/>
      <c r="B8895"/>
      <c r="D8895"/>
      <c r="G8895"/>
      <c r="L8895"/>
    </row>
    <row r="8896" spans="1:12" x14ac:dyDescent="0.25">
      <c r="A8896"/>
      <c r="B8896"/>
      <c r="D8896"/>
      <c r="G8896"/>
      <c r="L8896"/>
    </row>
    <row r="8897" spans="1:12" x14ac:dyDescent="0.25">
      <c r="A8897"/>
      <c r="B8897"/>
      <c r="D8897"/>
      <c r="G8897"/>
      <c r="L8897"/>
    </row>
    <row r="8898" spans="1:12" x14ac:dyDescent="0.25">
      <c r="A8898"/>
      <c r="B8898"/>
      <c r="D8898"/>
      <c r="G8898"/>
      <c r="L8898"/>
    </row>
    <row r="8899" spans="1:12" x14ac:dyDescent="0.25">
      <c r="A8899"/>
      <c r="B8899"/>
      <c r="D8899"/>
      <c r="G8899"/>
      <c r="L8899"/>
    </row>
    <row r="8900" spans="1:12" x14ac:dyDescent="0.25">
      <c r="A8900"/>
      <c r="B8900"/>
      <c r="D8900"/>
      <c r="G8900"/>
      <c r="L8900"/>
    </row>
    <row r="8901" spans="1:12" x14ac:dyDescent="0.25">
      <c r="A8901"/>
      <c r="B8901"/>
      <c r="D8901"/>
      <c r="G8901"/>
      <c r="L8901"/>
    </row>
    <row r="8902" spans="1:12" x14ac:dyDescent="0.25">
      <c r="A8902"/>
      <c r="B8902"/>
      <c r="D8902"/>
      <c r="G8902"/>
      <c r="L8902"/>
    </row>
    <row r="8903" spans="1:12" x14ac:dyDescent="0.25">
      <c r="A8903"/>
      <c r="B8903"/>
      <c r="D8903"/>
      <c r="G8903"/>
      <c r="L8903"/>
    </row>
    <row r="8904" spans="1:12" x14ac:dyDescent="0.25">
      <c r="A8904"/>
      <c r="B8904"/>
      <c r="D8904"/>
      <c r="G8904"/>
      <c r="L8904"/>
    </row>
    <row r="8905" spans="1:12" x14ac:dyDescent="0.25">
      <c r="A8905"/>
      <c r="B8905"/>
      <c r="D8905"/>
      <c r="G8905"/>
      <c r="L8905"/>
    </row>
    <row r="8906" spans="1:12" x14ac:dyDescent="0.25">
      <c r="A8906"/>
      <c r="B8906"/>
      <c r="D8906"/>
      <c r="G8906"/>
      <c r="L8906"/>
    </row>
    <row r="8907" spans="1:12" x14ac:dyDescent="0.25">
      <c r="A8907"/>
      <c r="B8907"/>
      <c r="D8907"/>
      <c r="G8907"/>
      <c r="L8907"/>
    </row>
    <row r="8908" spans="1:12" x14ac:dyDescent="0.25">
      <c r="A8908"/>
      <c r="B8908"/>
      <c r="D8908"/>
      <c r="G8908"/>
      <c r="L8908"/>
    </row>
    <row r="8909" spans="1:12" x14ac:dyDescent="0.25">
      <c r="A8909"/>
      <c r="B8909"/>
      <c r="D8909"/>
      <c r="G8909"/>
      <c r="L8909"/>
    </row>
    <row r="8910" spans="1:12" x14ac:dyDescent="0.25">
      <c r="A8910"/>
      <c r="B8910"/>
      <c r="D8910"/>
      <c r="G8910"/>
      <c r="L8910"/>
    </row>
    <row r="8911" spans="1:12" x14ac:dyDescent="0.25">
      <c r="A8911"/>
      <c r="B8911"/>
      <c r="D8911"/>
      <c r="G8911"/>
      <c r="L8911"/>
    </row>
    <row r="8912" spans="1:12" x14ac:dyDescent="0.25">
      <c r="A8912"/>
      <c r="B8912"/>
      <c r="D8912"/>
      <c r="G8912"/>
      <c r="L8912"/>
    </row>
    <row r="8913" spans="1:12" x14ac:dyDescent="0.25">
      <c r="A8913"/>
      <c r="B8913"/>
      <c r="D8913"/>
      <c r="G8913"/>
      <c r="L8913"/>
    </row>
    <row r="8914" spans="1:12" x14ac:dyDescent="0.25">
      <c r="A8914"/>
      <c r="B8914"/>
      <c r="D8914"/>
      <c r="G8914"/>
      <c r="L8914"/>
    </row>
    <row r="8915" spans="1:12" x14ac:dyDescent="0.25">
      <c r="A8915"/>
      <c r="B8915"/>
      <c r="D8915"/>
      <c r="G8915"/>
      <c r="L8915"/>
    </row>
    <row r="8916" spans="1:12" x14ac:dyDescent="0.25">
      <c r="A8916"/>
      <c r="B8916"/>
      <c r="D8916"/>
      <c r="G8916"/>
      <c r="L8916"/>
    </row>
    <row r="8917" spans="1:12" x14ac:dyDescent="0.25">
      <c r="A8917"/>
      <c r="B8917"/>
      <c r="D8917"/>
      <c r="G8917"/>
      <c r="L8917"/>
    </row>
    <row r="8918" spans="1:12" x14ac:dyDescent="0.25">
      <c r="A8918"/>
      <c r="B8918"/>
      <c r="D8918"/>
      <c r="G8918"/>
      <c r="L8918"/>
    </row>
    <row r="8919" spans="1:12" x14ac:dyDescent="0.25">
      <c r="A8919"/>
      <c r="B8919"/>
      <c r="D8919"/>
      <c r="G8919"/>
      <c r="L8919"/>
    </row>
    <row r="8920" spans="1:12" x14ac:dyDescent="0.25">
      <c r="A8920"/>
      <c r="B8920"/>
      <c r="D8920"/>
      <c r="G8920"/>
      <c r="L8920"/>
    </row>
    <row r="8921" spans="1:12" x14ac:dyDescent="0.25">
      <c r="A8921"/>
      <c r="B8921"/>
      <c r="D8921"/>
      <c r="G8921"/>
      <c r="L8921"/>
    </row>
    <row r="8922" spans="1:12" x14ac:dyDescent="0.25">
      <c r="A8922"/>
      <c r="B8922"/>
      <c r="D8922"/>
      <c r="G8922"/>
      <c r="L8922"/>
    </row>
    <row r="8923" spans="1:12" x14ac:dyDescent="0.25">
      <c r="A8923"/>
      <c r="B8923"/>
      <c r="D8923"/>
      <c r="G8923"/>
      <c r="L8923"/>
    </row>
    <row r="8924" spans="1:12" x14ac:dyDescent="0.25">
      <c r="A8924"/>
      <c r="B8924"/>
      <c r="D8924"/>
      <c r="G8924"/>
      <c r="L8924"/>
    </row>
    <row r="8925" spans="1:12" x14ac:dyDescent="0.25">
      <c r="A8925"/>
      <c r="B8925"/>
      <c r="D8925"/>
      <c r="G8925"/>
      <c r="L8925"/>
    </row>
    <row r="8926" spans="1:12" x14ac:dyDescent="0.25">
      <c r="A8926"/>
      <c r="B8926"/>
      <c r="D8926"/>
      <c r="G8926"/>
      <c r="L8926"/>
    </row>
    <row r="8927" spans="1:12" x14ac:dyDescent="0.25">
      <c r="A8927"/>
      <c r="B8927"/>
      <c r="D8927"/>
      <c r="G8927"/>
      <c r="L8927"/>
    </row>
    <row r="8928" spans="1:12" x14ac:dyDescent="0.25">
      <c r="A8928"/>
      <c r="B8928"/>
      <c r="D8928"/>
      <c r="G8928"/>
      <c r="L8928"/>
    </row>
    <row r="8929" spans="1:12" x14ac:dyDescent="0.25">
      <c r="A8929"/>
      <c r="B8929"/>
      <c r="D8929"/>
      <c r="G8929"/>
      <c r="L8929"/>
    </row>
    <row r="8930" spans="1:12" x14ac:dyDescent="0.25">
      <c r="A8930"/>
      <c r="B8930"/>
      <c r="D8930"/>
      <c r="G8930"/>
      <c r="L8930"/>
    </row>
    <row r="8931" spans="1:12" x14ac:dyDescent="0.25">
      <c r="A8931"/>
      <c r="B8931"/>
      <c r="D8931"/>
      <c r="G8931"/>
      <c r="L8931"/>
    </row>
    <row r="8932" spans="1:12" x14ac:dyDescent="0.25">
      <c r="A8932"/>
      <c r="B8932"/>
      <c r="D8932"/>
      <c r="G8932"/>
      <c r="L8932"/>
    </row>
    <row r="8933" spans="1:12" x14ac:dyDescent="0.25">
      <c r="A8933"/>
      <c r="B8933"/>
      <c r="D8933"/>
      <c r="G8933"/>
      <c r="L8933"/>
    </row>
    <row r="8934" spans="1:12" x14ac:dyDescent="0.25">
      <c r="A8934"/>
      <c r="B8934"/>
      <c r="D8934"/>
      <c r="G8934"/>
      <c r="L8934"/>
    </row>
    <row r="8935" spans="1:12" x14ac:dyDescent="0.25">
      <c r="A8935"/>
      <c r="B8935"/>
      <c r="D8935"/>
      <c r="G8935"/>
      <c r="L8935"/>
    </row>
    <row r="8936" spans="1:12" x14ac:dyDescent="0.25">
      <c r="A8936"/>
      <c r="B8936"/>
      <c r="D8936"/>
      <c r="G8936"/>
      <c r="L8936"/>
    </row>
    <row r="8937" spans="1:12" x14ac:dyDescent="0.25">
      <c r="A8937"/>
      <c r="B8937"/>
      <c r="D8937"/>
      <c r="G8937"/>
      <c r="L8937"/>
    </row>
    <row r="8938" spans="1:12" x14ac:dyDescent="0.25">
      <c r="A8938"/>
      <c r="B8938"/>
      <c r="D8938"/>
      <c r="G8938"/>
      <c r="L8938"/>
    </row>
    <row r="8939" spans="1:12" x14ac:dyDescent="0.25">
      <c r="A8939"/>
      <c r="B8939"/>
      <c r="D8939"/>
      <c r="G8939"/>
      <c r="L8939"/>
    </row>
    <row r="8940" spans="1:12" x14ac:dyDescent="0.25">
      <c r="A8940"/>
      <c r="B8940"/>
      <c r="D8940"/>
      <c r="G8940"/>
      <c r="L8940"/>
    </row>
    <row r="8941" spans="1:12" x14ac:dyDescent="0.25">
      <c r="A8941"/>
      <c r="B8941"/>
      <c r="D8941"/>
      <c r="G8941"/>
      <c r="L8941"/>
    </row>
    <row r="8942" spans="1:12" x14ac:dyDescent="0.25">
      <c r="A8942"/>
      <c r="B8942"/>
      <c r="D8942"/>
      <c r="G8942"/>
      <c r="L8942"/>
    </row>
    <row r="8943" spans="1:12" x14ac:dyDescent="0.25">
      <c r="A8943"/>
      <c r="B8943"/>
      <c r="D8943"/>
      <c r="G8943"/>
      <c r="L8943"/>
    </row>
    <row r="8944" spans="1:12" x14ac:dyDescent="0.25">
      <c r="A8944"/>
      <c r="B8944"/>
      <c r="D8944"/>
      <c r="G8944"/>
      <c r="L8944"/>
    </row>
    <row r="8945" spans="1:12" x14ac:dyDescent="0.25">
      <c r="A8945"/>
      <c r="B8945"/>
      <c r="D8945"/>
      <c r="G8945"/>
      <c r="L8945"/>
    </row>
    <row r="8946" spans="1:12" x14ac:dyDescent="0.25">
      <c r="A8946"/>
      <c r="B8946"/>
      <c r="D8946"/>
      <c r="G8946"/>
      <c r="L8946"/>
    </row>
    <row r="8947" spans="1:12" x14ac:dyDescent="0.25">
      <c r="A8947"/>
      <c r="B8947"/>
      <c r="D8947"/>
      <c r="G8947"/>
      <c r="L8947"/>
    </row>
    <row r="8948" spans="1:12" x14ac:dyDescent="0.25">
      <c r="A8948"/>
      <c r="B8948"/>
      <c r="D8948"/>
      <c r="G8948"/>
      <c r="L8948"/>
    </row>
    <row r="8949" spans="1:12" x14ac:dyDescent="0.25">
      <c r="A8949"/>
      <c r="B8949"/>
      <c r="D8949"/>
      <c r="G8949"/>
      <c r="L8949"/>
    </row>
    <row r="8950" spans="1:12" x14ac:dyDescent="0.25">
      <c r="A8950"/>
      <c r="B8950"/>
      <c r="D8950"/>
      <c r="G8950"/>
      <c r="L8950"/>
    </row>
    <row r="8951" spans="1:12" x14ac:dyDescent="0.25">
      <c r="A8951"/>
      <c r="B8951"/>
      <c r="D8951"/>
      <c r="G8951"/>
      <c r="L8951"/>
    </row>
    <row r="8952" spans="1:12" x14ac:dyDescent="0.25">
      <c r="A8952"/>
      <c r="B8952"/>
      <c r="D8952"/>
      <c r="G8952"/>
      <c r="L8952"/>
    </row>
    <row r="8953" spans="1:12" x14ac:dyDescent="0.25">
      <c r="A8953"/>
      <c r="B8953"/>
      <c r="D8953"/>
      <c r="G8953"/>
      <c r="L8953"/>
    </row>
    <row r="8954" spans="1:12" x14ac:dyDescent="0.25">
      <c r="A8954"/>
      <c r="B8954"/>
      <c r="D8954"/>
      <c r="G8954"/>
      <c r="L8954"/>
    </row>
    <row r="8955" spans="1:12" x14ac:dyDescent="0.25">
      <c r="A8955"/>
      <c r="B8955"/>
      <c r="D8955"/>
      <c r="G8955"/>
      <c r="L8955"/>
    </row>
    <row r="8956" spans="1:12" x14ac:dyDescent="0.25">
      <c r="A8956"/>
      <c r="B8956"/>
      <c r="D8956"/>
      <c r="G8956"/>
      <c r="L8956"/>
    </row>
    <row r="8957" spans="1:12" x14ac:dyDescent="0.25">
      <c r="A8957"/>
      <c r="B8957"/>
      <c r="D8957"/>
      <c r="G8957"/>
      <c r="L8957"/>
    </row>
    <row r="8958" spans="1:12" x14ac:dyDescent="0.25">
      <c r="A8958"/>
      <c r="B8958"/>
      <c r="D8958"/>
      <c r="G8958"/>
      <c r="L8958"/>
    </row>
    <row r="8959" spans="1:12" x14ac:dyDescent="0.25">
      <c r="A8959"/>
      <c r="B8959"/>
      <c r="D8959"/>
      <c r="G8959"/>
      <c r="L8959"/>
    </row>
    <row r="8960" spans="1:12" x14ac:dyDescent="0.25">
      <c r="A8960"/>
      <c r="B8960"/>
      <c r="D8960"/>
      <c r="G8960"/>
      <c r="L8960"/>
    </row>
    <row r="8961" spans="1:12" x14ac:dyDescent="0.25">
      <c r="A8961"/>
      <c r="B8961"/>
      <c r="D8961"/>
      <c r="G8961"/>
      <c r="L8961"/>
    </row>
    <row r="8962" spans="1:12" x14ac:dyDescent="0.25">
      <c r="A8962"/>
      <c r="B8962"/>
      <c r="D8962"/>
      <c r="G8962"/>
      <c r="L8962"/>
    </row>
    <row r="8963" spans="1:12" x14ac:dyDescent="0.25">
      <c r="A8963"/>
      <c r="B8963"/>
      <c r="D8963"/>
      <c r="G8963"/>
      <c r="L8963"/>
    </row>
    <row r="8964" spans="1:12" x14ac:dyDescent="0.25">
      <c r="A8964"/>
      <c r="B8964"/>
      <c r="D8964"/>
      <c r="G8964"/>
      <c r="L8964"/>
    </row>
    <row r="8965" spans="1:12" x14ac:dyDescent="0.25">
      <c r="A8965"/>
      <c r="B8965"/>
      <c r="D8965"/>
      <c r="G8965"/>
      <c r="L8965"/>
    </row>
    <row r="8966" spans="1:12" x14ac:dyDescent="0.25">
      <c r="A8966"/>
      <c r="B8966"/>
      <c r="D8966"/>
      <c r="G8966"/>
      <c r="L8966"/>
    </row>
    <row r="8967" spans="1:12" x14ac:dyDescent="0.25">
      <c r="A8967"/>
      <c r="B8967"/>
      <c r="D8967"/>
      <c r="G8967"/>
      <c r="L8967"/>
    </row>
    <row r="8968" spans="1:12" x14ac:dyDescent="0.25">
      <c r="A8968"/>
      <c r="B8968"/>
      <c r="D8968"/>
      <c r="G8968"/>
      <c r="L8968"/>
    </row>
    <row r="8969" spans="1:12" x14ac:dyDescent="0.25">
      <c r="A8969"/>
      <c r="B8969"/>
      <c r="D8969"/>
      <c r="G8969"/>
      <c r="L8969"/>
    </row>
    <row r="8970" spans="1:12" x14ac:dyDescent="0.25">
      <c r="A8970"/>
      <c r="B8970"/>
      <c r="D8970"/>
      <c r="G8970"/>
      <c r="L8970"/>
    </row>
    <row r="8971" spans="1:12" x14ac:dyDescent="0.25">
      <c r="A8971"/>
      <c r="B8971"/>
      <c r="D8971"/>
      <c r="G8971"/>
      <c r="L8971"/>
    </row>
    <row r="8972" spans="1:12" x14ac:dyDescent="0.25">
      <c r="A8972"/>
      <c r="B8972"/>
      <c r="D8972"/>
      <c r="G8972"/>
      <c r="L8972"/>
    </row>
    <row r="8973" spans="1:12" x14ac:dyDescent="0.25">
      <c r="A8973"/>
      <c r="B8973"/>
      <c r="D8973"/>
      <c r="G8973"/>
      <c r="L8973"/>
    </row>
    <row r="8974" spans="1:12" x14ac:dyDescent="0.25">
      <c r="A8974"/>
      <c r="B8974"/>
      <c r="D8974"/>
      <c r="G8974"/>
      <c r="L8974"/>
    </row>
    <row r="8975" spans="1:12" x14ac:dyDescent="0.25">
      <c r="A8975"/>
      <c r="B8975"/>
      <c r="D8975"/>
      <c r="G8975"/>
      <c r="L8975"/>
    </row>
    <row r="8976" spans="1:12" x14ac:dyDescent="0.25">
      <c r="A8976"/>
      <c r="B8976"/>
      <c r="D8976"/>
      <c r="G8976"/>
      <c r="L8976"/>
    </row>
    <row r="8977" spans="1:12" x14ac:dyDescent="0.25">
      <c r="A8977"/>
      <c r="B8977"/>
      <c r="D8977"/>
      <c r="G8977"/>
      <c r="L8977"/>
    </row>
    <row r="8978" spans="1:12" x14ac:dyDescent="0.25">
      <c r="A8978"/>
      <c r="B8978"/>
      <c r="D8978"/>
      <c r="G8978"/>
      <c r="L8978"/>
    </row>
    <row r="8979" spans="1:12" x14ac:dyDescent="0.25">
      <c r="A8979"/>
      <c r="B8979"/>
      <c r="D8979"/>
      <c r="G8979"/>
      <c r="L8979"/>
    </row>
    <row r="8980" spans="1:12" x14ac:dyDescent="0.25">
      <c r="A8980"/>
      <c r="B8980"/>
      <c r="D8980"/>
      <c r="G8980"/>
      <c r="L8980"/>
    </row>
    <row r="8981" spans="1:12" x14ac:dyDescent="0.25">
      <c r="A8981"/>
      <c r="B8981"/>
      <c r="D8981"/>
      <c r="G8981"/>
      <c r="L8981"/>
    </row>
    <row r="8982" spans="1:12" x14ac:dyDescent="0.25">
      <c r="A8982"/>
      <c r="B8982"/>
      <c r="D8982"/>
      <c r="G8982"/>
      <c r="L8982"/>
    </row>
    <row r="8983" spans="1:12" x14ac:dyDescent="0.25">
      <c r="A8983"/>
      <c r="B8983"/>
      <c r="D8983"/>
      <c r="G8983"/>
      <c r="L8983"/>
    </row>
    <row r="8984" spans="1:12" x14ac:dyDescent="0.25">
      <c r="A8984"/>
      <c r="B8984"/>
      <c r="D8984"/>
      <c r="G8984"/>
      <c r="L8984"/>
    </row>
    <row r="8985" spans="1:12" x14ac:dyDescent="0.25">
      <c r="A8985"/>
      <c r="B8985"/>
      <c r="D8985"/>
      <c r="G8985"/>
      <c r="L8985"/>
    </row>
    <row r="8986" spans="1:12" x14ac:dyDescent="0.25">
      <c r="A8986"/>
      <c r="B8986"/>
      <c r="D8986"/>
      <c r="G8986"/>
      <c r="L8986"/>
    </row>
    <row r="8987" spans="1:12" x14ac:dyDescent="0.25">
      <c r="A8987"/>
      <c r="B8987"/>
      <c r="D8987"/>
      <c r="G8987"/>
      <c r="L8987"/>
    </row>
    <row r="8988" spans="1:12" x14ac:dyDescent="0.25">
      <c r="A8988"/>
      <c r="B8988"/>
      <c r="D8988"/>
      <c r="G8988"/>
      <c r="L8988"/>
    </row>
    <row r="8989" spans="1:12" x14ac:dyDescent="0.25">
      <c r="A8989"/>
      <c r="B8989"/>
      <c r="D8989"/>
      <c r="G8989"/>
      <c r="L8989"/>
    </row>
    <row r="8990" spans="1:12" x14ac:dyDescent="0.25">
      <c r="A8990"/>
      <c r="B8990"/>
      <c r="D8990"/>
      <c r="G8990"/>
      <c r="L8990"/>
    </row>
    <row r="8991" spans="1:12" x14ac:dyDescent="0.25">
      <c r="A8991"/>
      <c r="B8991"/>
      <c r="D8991"/>
      <c r="G8991"/>
      <c r="L8991"/>
    </row>
    <row r="8992" spans="1:12" x14ac:dyDescent="0.25">
      <c r="A8992"/>
      <c r="B8992"/>
      <c r="D8992"/>
      <c r="G8992"/>
      <c r="L8992"/>
    </row>
    <row r="8993" spans="1:12" x14ac:dyDescent="0.25">
      <c r="A8993"/>
      <c r="B8993"/>
      <c r="D8993"/>
      <c r="G8993"/>
      <c r="L8993"/>
    </row>
    <row r="8994" spans="1:12" x14ac:dyDescent="0.25">
      <c r="A8994"/>
      <c r="B8994"/>
      <c r="D8994"/>
      <c r="G8994"/>
      <c r="L8994"/>
    </row>
    <row r="8995" spans="1:12" x14ac:dyDescent="0.25">
      <c r="A8995"/>
      <c r="B8995"/>
      <c r="D8995"/>
      <c r="G8995"/>
      <c r="L8995"/>
    </row>
    <row r="8996" spans="1:12" x14ac:dyDescent="0.25">
      <c r="A8996"/>
      <c r="B8996"/>
      <c r="D8996"/>
      <c r="G8996"/>
      <c r="L8996"/>
    </row>
    <row r="8997" spans="1:12" x14ac:dyDescent="0.25">
      <c r="A8997"/>
      <c r="B8997"/>
      <c r="D8997"/>
      <c r="G8997"/>
      <c r="L8997"/>
    </row>
    <row r="8998" spans="1:12" x14ac:dyDescent="0.25">
      <c r="A8998"/>
      <c r="B8998"/>
      <c r="D8998"/>
      <c r="G8998"/>
      <c r="L8998"/>
    </row>
    <row r="8999" spans="1:12" x14ac:dyDescent="0.25">
      <c r="A8999"/>
      <c r="B8999"/>
      <c r="D8999"/>
      <c r="G8999"/>
      <c r="L8999"/>
    </row>
    <row r="9000" spans="1:12" x14ac:dyDescent="0.25">
      <c r="A9000"/>
      <c r="B9000"/>
      <c r="D9000"/>
      <c r="G9000"/>
      <c r="L9000"/>
    </row>
    <row r="9001" spans="1:12" x14ac:dyDescent="0.25">
      <c r="A9001"/>
      <c r="B9001"/>
      <c r="D9001"/>
      <c r="G9001"/>
      <c r="L9001"/>
    </row>
    <row r="9002" spans="1:12" x14ac:dyDescent="0.25">
      <c r="A9002"/>
      <c r="B9002"/>
      <c r="D9002"/>
      <c r="G9002"/>
      <c r="L9002"/>
    </row>
    <row r="9003" spans="1:12" x14ac:dyDescent="0.25">
      <c r="A9003"/>
      <c r="B9003"/>
      <c r="D9003"/>
      <c r="G9003"/>
      <c r="L9003"/>
    </row>
    <row r="9004" spans="1:12" x14ac:dyDescent="0.25">
      <c r="A9004"/>
      <c r="B9004"/>
      <c r="D9004"/>
      <c r="G9004"/>
      <c r="L9004"/>
    </row>
    <row r="9005" spans="1:12" x14ac:dyDescent="0.25">
      <c r="A9005"/>
      <c r="B9005"/>
      <c r="D9005"/>
      <c r="G9005"/>
      <c r="L9005"/>
    </row>
    <row r="9006" spans="1:12" x14ac:dyDescent="0.25">
      <c r="A9006"/>
      <c r="B9006"/>
      <c r="D9006"/>
      <c r="G9006"/>
      <c r="L9006"/>
    </row>
    <row r="9007" spans="1:12" x14ac:dyDescent="0.25">
      <c r="A9007"/>
      <c r="B9007"/>
      <c r="D9007"/>
      <c r="G9007"/>
      <c r="L9007"/>
    </row>
    <row r="9008" spans="1:12" x14ac:dyDescent="0.25">
      <c r="A9008"/>
      <c r="B9008"/>
      <c r="D9008"/>
      <c r="G9008"/>
      <c r="L9008"/>
    </row>
    <row r="9009" spans="1:12" x14ac:dyDescent="0.25">
      <c r="A9009"/>
      <c r="B9009"/>
      <c r="D9009"/>
      <c r="G9009"/>
      <c r="L9009"/>
    </row>
    <row r="9010" spans="1:12" x14ac:dyDescent="0.25">
      <c r="A9010"/>
      <c r="B9010"/>
      <c r="D9010"/>
      <c r="G9010"/>
      <c r="L9010"/>
    </row>
    <row r="9011" spans="1:12" x14ac:dyDescent="0.25">
      <c r="A9011"/>
      <c r="B9011"/>
      <c r="D9011"/>
      <c r="G9011"/>
      <c r="L9011"/>
    </row>
    <row r="9012" spans="1:12" x14ac:dyDescent="0.25">
      <c r="A9012"/>
      <c r="B9012"/>
      <c r="D9012"/>
      <c r="G9012"/>
      <c r="L9012"/>
    </row>
    <row r="9013" spans="1:12" x14ac:dyDescent="0.25">
      <c r="A9013"/>
      <c r="B9013"/>
      <c r="D9013"/>
      <c r="G9013"/>
      <c r="L9013"/>
    </row>
    <row r="9014" spans="1:12" x14ac:dyDescent="0.25">
      <c r="A9014"/>
      <c r="B9014"/>
      <c r="D9014"/>
      <c r="G9014"/>
      <c r="L9014"/>
    </row>
    <row r="9015" spans="1:12" x14ac:dyDescent="0.25">
      <c r="A9015"/>
      <c r="B9015"/>
      <c r="D9015"/>
      <c r="G9015"/>
      <c r="L9015"/>
    </row>
    <row r="9016" spans="1:12" x14ac:dyDescent="0.25">
      <c r="A9016"/>
      <c r="B9016"/>
      <c r="D9016"/>
      <c r="G9016"/>
      <c r="L9016"/>
    </row>
    <row r="9017" spans="1:12" x14ac:dyDescent="0.25">
      <c r="A9017"/>
      <c r="B9017"/>
      <c r="D9017"/>
      <c r="G9017"/>
      <c r="L9017"/>
    </row>
    <row r="9018" spans="1:12" x14ac:dyDescent="0.25">
      <c r="A9018"/>
      <c r="B9018"/>
      <c r="D9018"/>
      <c r="G9018"/>
      <c r="L9018"/>
    </row>
    <row r="9019" spans="1:12" x14ac:dyDescent="0.25">
      <c r="A9019"/>
      <c r="B9019"/>
      <c r="D9019"/>
      <c r="G9019"/>
      <c r="L9019"/>
    </row>
    <row r="9020" spans="1:12" x14ac:dyDescent="0.25">
      <c r="A9020"/>
      <c r="B9020"/>
      <c r="D9020"/>
      <c r="G9020"/>
      <c r="L9020"/>
    </row>
    <row r="9021" spans="1:12" x14ac:dyDescent="0.25">
      <c r="A9021"/>
      <c r="B9021"/>
      <c r="D9021"/>
      <c r="G9021"/>
      <c r="L9021"/>
    </row>
    <row r="9022" spans="1:12" x14ac:dyDescent="0.25">
      <c r="A9022"/>
      <c r="B9022"/>
      <c r="D9022"/>
      <c r="G9022"/>
      <c r="L9022"/>
    </row>
    <row r="9023" spans="1:12" x14ac:dyDescent="0.25">
      <c r="A9023"/>
      <c r="B9023"/>
      <c r="D9023"/>
      <c r="G9023"/>
      <c r="L9023"/>
    </row>
    <row r="9024" spans="1:12" x14ac:dyDescent="0.25">
      <c r="A9024"/>
      <c r="B9024"/>
      <c r="D9024"/>
      <c r="G9024"/>
      <c r="L9024"/>
    </row>
    <row r="9025" spans="1:12" x14ac:dyDescent="0.25">
      <c r="A9025"/>
      <c r="B9025"/>
      <c r="D9025"/>
      <c r="G9025"/>
      <c r="L9025"/>
    </row>
    <row r="9026" spans="1:12" x14ac:dyDescent="0.25">
      <c r="A9026"/>
      <c r="B9026"/>
      <c r="D9026"/>
      <c r="G9026"/>
      <c r="L9026"/>
    </row>
    <row r="9027" spans="1:12" x14ac:dyDescent="0.25">
      <c r="A9027"/>
      <c r="B9027"/>
      <c r="D9027"/>
      <c r="G9027"/>
      <c r="L9027"/>
    </row>
    <row r="9028" spans="1:12" x14ac:dyDescent="0.25">
      <c r="A9028"/>
      <c r="B9028"/>
      <c r="D9028"/>
      <c r="G9028"/>
      <c r="L9028"/>
    </row>
    <row r="9029" spans="1:12" x14ac:dyDescent="0.25">
      <c r="A9029"/>
      <c r="B9029"/>
      <c r="D9029"/>
      <c r="G9029"/>
      <c r="L9029"/>
    </row>
    <row r="9030" spans="1:12" x14ac:dyDescent="0.25">
      <c r="A9030"/>
      <c r="B9030"/>
      <c r="D9030"/>
      <c r="G9030"/>
      <c r="L9030"/>
    </row>
    <row r="9031" spans="1:12" x14ac:dyDescent="0.25">
      <c r="A9031"/>
      <c r="B9031"/>
      <c r="D9031"/>
      <c r="G9031"/>
      <c r="L9031"/>
    </row>
    <row r="9032" spans="1:12" x14ac:dyDescent="0.25">
      <c r="A9032"/>
      <c r="B9032"/>
      <c r="D9032"/>
      <c r="G9032"/>
      <c r="L9032"/>
    </row>
    <row r="9033" spans="1:12" x14ac:dyDescent="0.25">
      <c r="A9033"/>
      <c r="B9033"/>
      <c r="D9033"/>
      <c r="G9033"/>
      <c r="L9033"/>
    </row>
    <row r="9034" spans="1:12" x14ac:dyDescent="0.25">
      <c r="A9034"/>
      <c r="B9034"/>
      <c r="D9034"/>
      <c r="G9034"/>
      <c r="L9034"/>
    </row>
    <row r="9035" spans="1:12" x14ac:dyDescent="0.25">
      <c r="A9035"/>
      <c r="B9035"/>
      <c r="D9035"/>
      <c r="G9035"/>
      <c r="L9035"/>
    </row>
    <row r="9036" spans="1:12" x14ac:dyDescent="0.25">
      <c r="A9036"/>
      <c r="B9036"/>
      <c r="D9036"/>
      <c r="G9036"/>
      <c r="L9036"/>
    </row>
    <row r="9037" spans="1:12" x14ac:dyDescent="0.25">
      <c r="A9037"/>
      <c r="B9037"/>
      <c r="D9037"/>
      <c r="G9037"/>
      <c r="L9037"/>
    </row>
    <row r="9038" spans="1:12" x14ac:dyDescent="0.25">
      <c r="A9038"/>
      <c r="B9038"/>
      <c r="D9038"/>
      <c r="G9038"/>
      <c r="L9038"/>
    </row>
    <row r="9039" spans="1:12" x14ac:dyDescent="0.25">
      <c r="A9039"/>
      <c r="B9039"/>
      <c r="D9039"/>
      <c r="G9039"/>
      <c r="L9039"/>
    </row>
    <row r="9040" spans="1:12" x14ac:dyDescent="0.25">
      <c r="A9040"/>
      <c r="B9040"/>
      <c r="D9040"/>
      <c r="G9040"/>
      <c r="L9040"/>
    </row>
    <row r="9041" spans="1:12" x14ac:dyDescent="0.25">
      <c r="A9041"/>
      <c r="B9041"/>
      <c r="D9041"/>
      <c r="G9041"/>
      <c r="L9041"/>
    </row>
    <row r="9042" spans="1:12" x14ac:dyDescent="0.25">
      <c r="A9042"/>
      <c r="B9042"/>
      <c r="D9042"/>
      <c r="G9042"/>
      <c r="L9042"/>
    </row>
    <row r="9043" spans="1:12" x14ac:dyDescent="0.25">
      <c r="A9043"/>
      <c r="B9043"/>
      <c r="D9043"/>
      <c r="G9043"/>
      <c r="L9043"/>
    </row>
    <row r="9044" spans="1:12" x14ac:dyDescent="0.25">
      <c r="A9044"/>
      <c r="B9044"/>
      <c r="D9044"/>
      <c r="G9044"/>
      <c r="L9044"/>
    </row>
    <row r="9045" spans="1:12" x14ac:dyDescent="0.25">
      <c r="A9045"/>
      <c r="B9045"/>
      <c r="D9045"/>
      <c r="G9045"/>
      <c r="L9045"/>
    </row>
    <row r="9046" spans="1:12" x14ac:dyDescent="0.25">
      <c r="A9046"/>
      <c r="B9046"/>
      <c r="D9046"/>
      <c r="G9046"/>
      <c r="L9046"/>
    </row>
    <row r="9047" spans="1:12" x14ac:dyDescent="0.25">
      <c r="A9047"/>
      <c r="B9047"/>
      <c r="D9047"/>
      <c r="G9047"/>
      <c r="L9047"/>
    </row>
    <row r="9048" spans="1:12" x14ac:dyDescent="0.25">
      <c r="A9048"/>
      <c r="B9048"/>
      <c r="D9048"/>
      <c r="G9048"/>
      <c r="L9048"/>
    </row>
    <row r="9049" spans="1:12" x14ac:dyDescent="0.25">
      <c r="A9049"/>
      <c r="B9049"/>
      <c r="D9049"/>
      <c r="G9049"/>
      <c r="L9049"/>
    </row>
    <row r="9050" spans="1:12" x14ac:dyDescent="0.25">
      <c r="A9050"/>
      <c r="B9050"/>
      <c r="D9050"/>
      <c r="G9050"/>
      <c r="L9050"/>
    </row>
    <row r="9051" spans="1:12" x14ac:dyDescent="0.25">
      <c r="A9051"/>
      <c r="B9051"/>
      <c r="D9051"/>
      <c r="G9051"/>
      <c r="L9051"/>
    </row>
    <row r="9052" spans="1:12" x14ac:dyDescent="0.25">
      <c r="A9052"/>
      <c r="B9052"/>
      <c r="D9052"/>
      <c r="G9052"/>
      <c r="L9052"/>
    </row>
    <row r="9053" spans="1:12" x14ac:dyDescent="0.25">
      <c r="A9053"/>
      <c r="B9053"/>
      <c r="D9053"/>
      <c r="G9053"/>
      <c r="L9053"/>
    </row>
    <row r="9054" spans="1:12" x14ac:dyDescent="0.25">
      <c r="A9054"/>
      <c r="B9054"/>
      <c r="D9054"/>
      <c r="G9054"/>
      <c r="L9054"/>
    </row>
    <row r="9055" spans="1:12" x14ac:dyDescent="0.25">
      <c r="A9055"/>
      <c r="B9055"/>
      <c r="D9055"/>
      <c r="G9055"/>
      <c r="L9055"/>
    </row>
    <row r="9056" spans="1:12" x14ac:dyDescent="0.25">
      <c r="A9056"/>
      <c r="B9056"/>
      <c r="D9056"/>
      <c r="G9056"/>
      <c r="L9056"/>
    </row>
    <row r="9057" spans="1:12" x14ac:dyDescent="0.25">
      <c r="A9057"/>
      <c r="B9057"/>
      <c r="D9057"/>
      <c r="G9057"/>
      <c r="L9057"/>
    </row>
    <row r="9058" spans="1:12" x14ac:dyDescent="0.25">
      <c r="A9058"/>
      <c r="B9058"/>
      <c r="D9058"/>
      <c r="G9058"/>
      <c r="L9058"/>
    </row>
    <row r="9059" spans="1:12" x14ac:dyDescent="0.25">
      <c r="A9059"/>
      <c r="B9059"/>
      <c r="D9059"/>
      <c r="G9059"/>
      <c r="L9059"/>
    </row>
    <row r="9060" spans="1:12" x14ac:dyDescent="0.25">
      <c r="A9060"/>
      <c r="B9060"/>
      <c r="D9060"/>
      <c r="G9060"/>
      <c r="L9060"/>
    </row>
    <row r="9061" spans="1:12" x14ac:dyDescent="0.25">
      <c r="A9061"/>
      <c r="B9061"/>
      <c r="D9061"/>
      <c r="G9061"/>
      <c r="L9061"/>
    </row>
    <row r="9062" spans="1:12" x14ac:dyDescent="0.25">
      <c r="A9062"/>
      <c r="B9062"/>
      <c r="D9062"/>
      <c r="G9062"/>
      <c r="L9062"/>
    </row>
    <row r="9063" spans="1:12" x14ac:dyDescent="0.25">
      <c r="A9063"/>
      <c r="B9063"/>
      <c r="D9063"/>
      <c r="G9063"/>
      <c r="L9063"/>
    </row>
    <row r="9064" spans="1:12" x14ac:dyDescent="0.25">
      <c r="A9064"/>
      <c r="B9064"/>
      <c r="D9064"/>
      <c r="G9064"/>
      <c r="L9064"/>
    </row>
    <row r="9065" spans="1:12" x14ac:dyDescent="0.25">
      <c r="A9065"/>
      <c r="B9065"/>
      <c r="D9065"/>
      <c r="G9065"/>
      <c r="L9065"/>
    </row>
    <row r="9066" spans="1:12" x14ac:dyDescent="0.25">
      <c r="A9066"/>
      <c r="B9066"/>
      <c r="D9066"/>
      <c r="G9066"/>
      <c r="L9066"/>
    </row>
    <row r="9067" spans="1:12" x14ac:dyDescent="0.25">
      <c r="A9067"/>
      <c r="B9067"/>
      <c r="D9067"/>
      <c r="G9067"/>
      <c r="L9067"/>
    </row>
    <row r="9068" spans="1:12" x14ac:dyDescent="0.25">
      <c r="A9068"/>
      <c r="B9068"/>
      <c r="D9068"/>
      <c r="G9068"/>
      <c r="L9068"/>
    </row>
    <row r="9069" spans="1:12" x14ac:dyDescent="0.25">
      <c r="A9069"/>
      <c r="B9069"/>
      <c r="D9069"/>
      <c r="G9069"/>
      <c r="L9069"/>
    </row>
    <row r="9070" spans="1:12" x14ac:dyDescent="0.25">
      <c r="A9070"/>
      <c r="B9070"/>
      <c r="D9070"/>
      <c r="G9070"/>
      <c r="L9070"/>
    </row>
    <row r="9071" spans="1:12" x14ac:dyDescent="0.25">
      <c r="A9071"/>
      <c r="B9071"/>
      <c r="D9071"/>
      <c r="G9071"/>
      <c r="L9071"/>
    </row>
    <row r="9072" spans="1:12" x14ac:dyDescent="0.25">
      <c r="A9072"/>
      <c r="B9072"/>
      <c r="D9072"/>
      <c r="G9072"/>
      <c r="L9072"/>
    </row>
    <row r="9073" spans="1:12" x14ac:dyDescent="0.25">
      <c r="A9073"/>
      <c r="B9073"/>
      <c r="D9073"/>
      <c r="G9073"/>
      <c r="L9073"/>
    </row>
    <row r="9074" spans="1:12" x14ac:dyDescent="0.25">
      <c r="A9074"/>
      <c r="B9074"/>
      <c r="D9074"/>
      <c r="G9074"/>
      <c r="L9074"/>
    </row>
    <row r="9075" spans="1:12" x14ac:dyDescent="0.25">
      <c r="A9075"/>
      <c r="B9075"/>
      <c r="D9075"/>
      <c r="G9075"/>
      <c r="L9075"/>
    </row>
    <row r="9076" spans="1:12" x14ac:dyDescent="0.25">
      <c r="A9076"/>
      <c r="B9076"/>
      <c r="D9076"/>
      <c r="G9076"/>
      <c r="L9076"/>
    </row>
    <row r="9077" spans="1:12" x14ac:dyDescent="0.25">
      <c r="A9077"/>
      <c r="B9077"/>
      <c r="D9077"/>
      <c r="G9077"/>
      <c r="L9077"/>
    </row>
    <row r="9078" spans="1:12" x14ac:dyDescent="0.25">
      <c r="A9078"/>
      <c r="B9078"/>
      <c r="D9078"/>
      <c r="G9078"/>
      <c r="L9078"/>
    </row>
    <row r="9079" spans="1:12" x14ac:dyDescent="0.25">
      <c r="A9079"/>
      <c r="B9079"/>
      <c r="D9079"/>
      <c r="G9079"/>
      <c r="L9079"/>
    </row>
    <row r="9080" spans="1:12" x14ac:dyDescent="0.25">
      <c r="A9080"/>
      <c r="B9080"/>
      <c r="D9080"/>
      <c r="G9080"/>
      <c r="L9080"/>
    </row>
    <row r="9081" spans="1:12" x14ac:dyDescent="0.25">
      <c r="A9081"/>
      <c r="B9081"/>
      <c r="D9081"/>
      <c r="G9081"/>
      <c r="L9081"/>
    </row>
    <row r="9082" spans="1:12" x14ac:dyDescent="0.25">
      <c r="A9082"/>
      <c r="B9082"/>
      <c r="D9082"/>
      <c r="G9082"/>
      <c r="L9082"/>
    </row>
    <row r="9083" spans="1:12" x14ac:dyDescent="0.25">
      <c r="A9083"/>
      <c r="B9083"/>
      <c r="D9083"/>
      <c r="G9083"/>
      <c r="L9083"/>
    </row>
    <row r="9084" spans="1:12" x14ac:dyDescent="0.25">
      <c r="A9084"/>
      <c r="B9084"/>
      <c r="D9084"/>
      <c r="G9084"/>
      <c r="L9084"/>
    </row>
    <row r="9085" spans="1:12" x14ac:dyDescent="0.25">
      <c r="A9085"/>
      <c r="B9085"/>
      <c r="D9085"/>
      <c r="G9085"/>
      <c r="L9085"/>
    </row>
    <row r="9086" spans="1:12" x14ac:dyDescent="0.25">
      <c r="A9086"/>
      <c r="B9086"/>
      <c r="D9086"/>
      <c r="G9086"/>
      <c r="L9086"/>
    </row>
    <row r="9087" spans="1:12" x14ac:dyDescent="0.25">
      <c r="A9087"/>
      <c r="B9087"/>
      <c r="D9087"/>
      <c r="G9087"/>
      <c r="L9087"/>
    </row>
    <row r="9088" spans="1:12" x14ac:dyDescent="0.25">
      <c r="A9088"/>
      <c r="B9088"/>
      <c r="D9088"/>
      <c r="G9088"/>
      <c r="L9088"/>
    </row>
    <row r="9089" spans="1:12" x14ac:dyDescent="0.25">
      <c r="A9089"/>
      <c r="B9089"/>
      <c r="D9089"/>
      <c r="G9089"/>
      <c r="L9089"/>
    </row>
    <row r="9090" spans="1:12" x14ac:dyDescent="0.25">
      <c r="A9090"/>
      <c r="B9090"/>
      <c r="D9090"/>
      <c r="G9090"/>
      <c r="L9090"/>
    </row>
    <row r="9091" spans="1:12" x14ac:dyDescent="0.25">
      <c r="A9091"/>
      <c r="B9091"/>
      <c r="D9091"/>
      <c r="G9091"/>
      <c r="L9091"/>
    </row>
    <row r="9092" spans="1:12" x14ac:dyDescent="0.25">
      <c r="A9092"/>
      <c r="B9092"/>
      <c r="D9092"/>
      <c r="G9092"/>
      <c r="L9092"/>
    </row>
    <row r="9093" spans="1:12" x14ac:dyDescent="0.25">
      <c r="A9093"/>
      <c r="B9093"/>
      <c r="D9093"/>
      <c r="G9093"/>
      <c r="L9093"/>
    </row>
    <row r="9094" spans="1:12" x14ac:dyDescent="0.25">
      <c r="A9094"/>
      <c r="B9094"/>
      <c r="D9094"/>
      <c r="G9094"/>
      <c r="L9094"/>
    </row>
    <row r="9095" spans="1:12" x14ac:dyDescent="0.25">
      <c r="A9095"/>
      <c r="B9095"/>
      <c r="D9095"/>
      <c r="G9095"/>
      <c r="L9095"/>
    </row>
    <row r="9096" spans="1:12" x14ac:dyDescent="0.25">
      <c r="A9096"/>
      <c r="B9096"/>
      <c r="D9096"/>
      <c r="G9096"/>
      <c r="L9096"/>
    </row>
    <row r="9097" spans="1:12" x14ac:dyDescent="0.25">
      <c r="A9097"/>
      <c r="B9097"/>
      <c r="D9097"/>
      <c r="G9097"/>
      <c r="L9097"/>
    </row>
    <row r="9098" spans="1:12" x14ac:dyDescent="0.25">
      <c r="A9098"/>
      <c r="B9098"/>
      <c r="D9098"/>
      <c r="G9098"/>
      <c r="L9098"/>
    </row>
    <row r="9099" spans="1:12" x14ac:dyDescent="0.25">
      <c r="A9099"/>
      <c r="B9099"/>
      <c r="D9099"/>
      <c r="G9099"/>
      <c r="L9099"/>
    </row>
    <row r="9100" spans="1:12" x14ac:dyDescent="0.25">
      <c r="A9100"/>
      <c r="B9100"/>
      <c r="D9100"/>
      <c r="G9100"/>
      <c r="L9100"/>
    </row>
    <row r="9101" spans="1:12" x14ac:dyDescent="0.25">
      <c r="A9101"/>
      <c r="B9101"/>
      <c r="D9101"/>
      <c r="G9101"/>
      <c r="L9101"/>
    </row>
    <row r="9102" spans="1:12" x14ac:dyDescent="0.25">
      <c r="A9102"/>
      <c r="B9102"/>
      <c r="D9102"/>
      <c r="G9102"/>
      <c r="L9102"/>
    </row>
    <row r="9103" spans="1:12" x14ac:dyDescent="0.25">
      <c r="A9103"/>
      <c r="B9103"/>
      <c r="D9103"/>
      <c r="G9103"/>
      <c r="L9103"/>
    </row>
    <row r="9104" spans="1:12" x14ac:dyDescent="0.25">
      <c r="A9104"/>
      <c r="B9104"/>
      <c r="D9104"/>
      <c r="G9104"/>
      <c r="L9104"/>
    </row>
    <row r="9105" spans="1:12" x14ac:dyDescent="0.25">
      <c r="A9105"/>
      <c r="B9105"/>
      <c r="D9105"/>
      <c r="G9105"/>
      <c r="L9105"/>
    </row>
    <row r="9106" spans="1:12" x14ac:dyDescent="0.25">
      <c r="A9106"/>
      <c r="B9106"/>
      <c r="D9106"/>
      <c r="G9106"/>
      <c r="L9106"/>
    </row>
    <row r="9107" spans="1:12" x14ac:dyDescent="0.25">
      <c r="A9107"/>
      <c r="B9107"/>
      <c r="D9107"/>
      <c r="G9107"/>
      <c r="L9107"/>
    </row>
    <row r="9108" spans="1:12" x14ac:dyDescent="0.25">
      <c r="A9108"/>
      <c r="B9108"/>
      <c r="D9108"/>
      <c r="G9108"/>
      <c r="L9108"/>
    </row>
    <row r="9109" spans="1:12" x14ac:dyDescent="0.25">
      <c r="A9109"/>
      <c r="B9109"/>
      <c r="D9109"/>
      <c r="G9109"/>
      <c r="L9109"/>
    </row>
    <row r="9110" spans="1:12" x14ac:dyDescent="0.25">
      <c r="A9110"/>
      <c r="B9110"/>
      <c r="D9110"/>
      <c r="G9110"/>
      <c r="L9110"/>
    </row>
    <row r="9111" spans="1:12" x14ac:dyDescent="0.25">
      <c r="A9111"/>
      <c r="B9111"/>
      <c r="D9111"/>
      <c r="G9111"/>
      <c r="L9111"/>
    </row>
    <row r="9112" spans="1:12" x14ac:dyDescent="0.25">
      <c r="A9112"/>
      <c r="B9112"/>
      <c r="D9112"/>
      <c r="G9112"/>
      <c r="L9112"/>
    </row>
    <row r="9113" spans="1:12" x14ac:dyDescent="0.25">
      <c r="A9113"/>
      <c r="B9113"/>
      <c r="D9113"/>
      <c r="G9113"/>
      <c r="L9113"/>
    </row>
    <row r="9114" spans="1:12" x14ac:dyDescent="0.25">
      <c r="A9114"/>
      <c r="B9114"/>
      <c r="D9114"/>
      <c r="G9114"/>
      <c r="L9114"/>
    </row>
    <row r="9115" spans="1:12" x14ac:dyDescent="0.25">
      <c r="A9115"/>
      <c r="B9115"/>
      <c r="D9115"/>
      <c r="G9115"/>
      <c r="L9115"/>
    </row>
    <row r="9116" spans="1:12" x14ac:dyDescent="0.25">
      <c r="A9116"/>
      <c r="B9116"/>
      <c r="D9116"/>
      <c r="G9116"/>
      <c r="L9116"/>
    </row>
    <row r="9117" spans="1:12" x14ac:dyDescent="0.25">
      <c r="A9117"/>
      <c r="B9117"/>
      <c r="D9117"/>
      <c r="G9117"/>
      <c r="L9117"/>
    </row>
    <row r="9118" spans="1:12" x14ac:dyDescent="0.25">
      <c r="A9118"/>
      <c r="B9118"/>
      <c r="D9118"/>
      <c r="G9118"/>
      <c r="L9118"/>
    </row>
    <row r="9119" spans="1:12" x14ac:dyDescent="0.25">
      <c r="A9119"/>
      <c r="B9119"/>
      <c r="D9119"/>
      <c r="G9119"/>
      <c r="L9119"/>
    </row>
    <row r="9120" spans="1:12" x14ac:dyDescent="0.25">
      <c r="A9120"/>
      <c r="B9120"/>
      <c r="D9120"/>
      <c r="G9120"/>
      <c r="L9120"/>
    </row>
    <row r="9121" spans="1:12" x14ac:dyDescent="0.25">
      <c r="A9121"/>
      <c r="B9121"/>
      <c r="D9121"/>
      <c r="G9121"/>
      <c r="L9121"/>
    </row>
    <row r="9122" spans="1:12" x14ac:dyDescent="0.25">
      <c r="A9122"/>
      <c r="B9122"/>
      <c r="D9122"/>
      <c r="G9122"/>
      <c r="L9122"/>
    </row>
    <row r="9123" spans="1:12" x14ac:dyDescent="0.25">
      <c r="A9123"/>
      <c r="B9123"/>
      <c r="D9123"/>
      <c r="G9123"/>
      <c r="L9123"/>
    </row>
    <row r="9124" spans="1:12" x14ac:dyDescent="0.25">
      <c r="A9124"/>
      <c r="B9124"/>
      <c r="D9124"/>
      <c r="G9124"/>
      <c r="L9124"/>
    </row>
    <row r="9125" spans="1:12" x14ac:dyDescent="0.25">
      <c r="A9125"/>
      <c r="B9125"/>
      <c r="D9125"/>
      <c r="G9125"/>
      <c r="L9125"/>
    </row>
    <row r="9126" spans="1:12" x14ac:dyDescent="0.25">
      <c r="A9126"/>
      <c r="B9126"/>
      <c r="D9126"/>
      <c r="G9126"/>
      <c r="L9126"/>
    </row>
    <row r="9127" spans="1:12" x14ac:dyDescent="0.25">
      <c r="A9127"/>
      <c r="B9127"/>
      <c r="D9127"/>
      <c r="G9127"/>
      <c r="L9127"/>
    </row>
    <row r="9128" spans="1:12" x14ac:dyDescent="0.25">
      <c r="A9128"/>
      <c r="B9128"/>
      <c r="D9128"/>
      <c r="G9128"/>
      <c r="L9128"/>
    </row>
    <row r="9129" spans="1:12" x14ac:dyDescent="0.25">
      <c r="A9129"/>
      <c r="B9129"/>
      <c r="D9129"/>
      <c r="G9129"/>
      <c r="L9129"/>
    </row>
    <row r="9130" spans="1:12" x14ac:dyDescent="0.25">
      <c r="A9130"/>
      <c r="B9130"/>
      <c r="D9130"/>
      <c r="G9130"/>
      <c r="L9130"/>
    </row>
    <row r="9131" spans="1:12" x14ac:dyDescent="0.25">
      <c r="A9131"/>
      <c r="B9131"/>
      <c r="D9131"/>
      <c r="G9131"/>
      <c r="L9131"/>
    </row>
    <row r="9132" spans="1:12" x14ac:dyDescent="0.25">
      <c r="A9132"/>
      <c r="B9132"/>
      <c r="D9132"/>
      <c r="G9132"/>
      <c r="L9132"/>
    </row>
    <row r="9133" spans="1:12" x14ac:dyDescent="0.25">
      <c r="A9133"/>
      <c r="B9133"/>
      <c r="D9133"/>
      <c r="G9133"/>
      <c r="L9133"/>
    </row>
    <row r="9134" spans="1:12" x14ac:dyDescent="0.25">
      <c r="A9134"/>
      <c r="B9134"/>
      <c r="D9134"/>
      <c r="G9134"/>
      <c r="L9134"/>
    </row>
    <row r="9135" spans="1:12" x14ac:dyDescent="0.25">
      <c r="A9135"/>
      <c r="B9135"/>
      <c r="D9135"/>
      <c r="G9135"/>
      <c r="L9135"/>
    </row>
    <row r="9136" spans="1:12" x14ac:dyDescent="0.25">
      <c r="A9136"/>
      <c r="B9136"/>
      <c r="D9136"/>
      <c r="G9136"/>
      <c r="L9136"/>
    </row>
    <row r="9137" spans="1:12" x14ac:dyDescent="0.25">
      <c r="A9137"/>
      <c r="B9137"/>
      <c r="D9137"/>
      <c r="G9137"/>
      <c r="L9137"/>
    </row>
    <row r="9138" spans="1:12" x14ac:dyDescent="0.25">
      <c r="A9138"/>
      <c r="B9138"/>
      <c r="D9138"/>
      <c r="G9138"/>
      <c r="L9138"/>
    </row>
    <row r="9139" spans="1:12" x14ac:dyDescent="0.25">
      <c r="A9139"/>
      <c r="B9139"/>
      <c r="D9139"/>
      <c r="G9139"/>
      <c r="L9139"/>
    </row>
    <row r="9140" spans="1:12" x14ac:dyDescent="0.25">
      <c r="A9140"/>
      <c r="B9140"/>
      <c r="D9140"/>
      <c r="G9140"/>
      <c r="L9140"/>
    </row>
    <row r="9141" spans="1:12" x14ac:dyDescent="0.25">
      <c r="A9141"/>
      <c r="B9141"/>
      <c r="D9141"/>
      <c r="G9141"/>
      <c r="L9141"/>
    </row>
    <row r="9142" spans="1:12" x14ac:dyDescent="0.25">
      <c r="A9142"/>
      <c r="B9142"/>
      <c r="D9142"/>
      <c r="G9142"/>
      <c r="L9142"/>
    </row>
    <row r="9143" spans="1:12" x14ac:dyDescent="0.25">
      <c r="A9143"/>
      <c r="B9143"/>
      <c r="D9143"/>
      <c r="G9143"/>
      <c r="L9143"/>
    </row>
    <row r="9144" spans="1:12" x14ac:dyDescent="0.25">
      <c r="A9144"/>
      <c r="B9144"/>
      <c r="D9144"/>
      <c r="G9144"/>
      <c r="L9144"/>
    </row>
    <row r="9145" spans="1:12" x14ac:dyDescent="0.25">
      <c r="A9145"/>
      <c r="B9145"/>
      <c r="D9145"/>
      <c r="G9145"/>
      <c r="L9145"/>
    </row>
    <row r="9146" spans="1:12" x14ac:dyDescent="0.25">
      <c r="A9146"/>
      <c r="B9146"/>
      <c r="D9146"/>
      <c r="G9146"/>
      <c r="L9146"/>
    </row>
    <row r="9147" spans="1:12" x14ac:dyDescent="0.25">
      <c r="A9147"/>
      <c r="B9147"/>
      <c r="D9147"/>
      <c r="G9147"/>
      <c r="L9147"/>
    </row>
    <row r="9148" spans="1:12" x14ac:dyDescent="0.25">
      <c r="A9148"/>
      <c r="B9148"/>
      <c r="D9148"/>
      <c r="G9148"/>
      <c r="L9148"/>
    </row>
    <row r="9149" spans="1:12" x14ac:dyDescent="0.25">
      <c r="A9149"/>
      <c r="B9149"/>
      <c r="D9149"/>
      <c r="G9149"/>
      <c r="L9149"/>
    </row>
    <row r="9150" spans="1:12" x14ac:dyDescent="0.25">
      <c r="A9150"/>
      <c r="B9150"/>
      <c r="D9150"/>
      <c r="G9150"/>
      <c r="L9150"/>
    </row>
    <row r="9151" spans="1:12" x14ac:dyDescent="0.25">
      <c r="A9151"/>
      <c r="B9151"/>
      <c r="D9151"/>
      <c r="G9151"/>
      <c r="L9151"/>
    </row>
    <row r="9152" spans="1:12" x14ac:dyDescent="0.25">
      <c r="A9152"/>
      <c r="B9152"/>
      <c r="D9152"/>
      <c r="G9152"/>
      <c r="L9152"/>
    </row>
    <row r="9153" spans="1:12" x14ac:dyDescent="0.25">
      <c r="A9153"/>
      <c r="B9153"/>
      <c r="D9153"/>
      <c r="G9153"/>
      <c r="L9153"/>
    </row>
    <row r="9154" spans="1:12" x14ac:dyDescent="0.25">
      <c r="A9154"/>
      <c r="B9154"/>
      <c r="D9154"/>
      <c r="G9154"/>
      <c r="L9154"/>
    </row>
    <row r="9155" spans="1:12" x14ac:dyDescent="0.25">
      <c r="A9155"/>
      <c r="B9155"/>
      <c r="D9155"/>
      <c r="G9155"/>
      <c r="L9155"/>
    </row>
    <row r="9156" spans="1:12" x14ac:dyDescent="0.25">
      <c r="A9156"/>
      <c r="B9156"/>
      <c r="D9156"/>
      <c r="G9156"/>
      <c r="L9156"/>
    </row>
    <row r="9157" spans="1:12" x14ac:dyDescent="0.25">
      <c r="A9157"/>
      <c r="B9157"/>
      <c r="D9157"/>
      <c r="G9157"/>
      <c r="L9157"/>
    </row>
    <row r="9158" spans="1:12" x14ac:dyDescent="0.25">
      <c r="A9158"/>
      <c r="B9158"/>
      <c r="D9158"/>
      <c r="G9158"/>
      <c r="L9158"/>
    </row>
    <row r="9159" spans="1:12" x14ac:dyDescent="0.25">
      <c r="A9159"/>
      <c r="B9159"/>
      <c r="D9159"/>
      <c r="G9159"/>
      <c r="L9159"/>
    </row>
    <row r="9160" spans="1:12" x14ac:dyDescent="0.25">
      <c r="A9160"/>
      <c r="B9160"/>
      <c r="D9160"/>
      <c r="G9160"/>
      <c r="L9160"/>
    </row>
    <row r="9161" spans="1:12" x14ac:dyDescent="0.25">
      <c r="A9161"/>
      <c r="B9161"/>
      <c r="D9161"/>
      <c r="G9161"/>
      <c r="L9161"/>
    </row>
    <row r="9162" spans="1:12" x14ac:dyDescent="0.25">
      <c r="A9162"/>
      <c r="B9162"/>
      <c r="D9162"/>
      <c r="G9162"/>
      <c r="L9162"/>
    </row>
    <row r="9163" spans="1:12" x14ac:dyDescent="0.25">
      <c r="A9163"/>
      <c r="B9163"/>
      <c r="D9163"/>
      <c r="G9163"/>
      <c r="L9163"/>
    </row>
    <row r="9164" spans="1:12" x14ac:dyDescent="0.25">
      <c r="A9164"/>
      <c r="B9164"/>
      <c r="D9164"/>
      <c r="G9164"/>
      <c r="L9164"/>
    </row>
    <row r="9165" spans="1:12" x14ac:dyDescent="0.25">
      <c r="A9165"/>
      <c r="B9165"/>
      <c r="D9165"/>
      <c r="G9165"/>
      <c r="L9165"/>
    </row>
    <row r="9166" spans="1:12" x14ac:dyDescent="0.25">
      <c r="A9166"/>
      <c r="B9166"/>
      <c r="D9166"/>
      <c r="G9166"/>
      <c r="L9166"/>
    </row>
    <row r="9167" spans="1:12" x14ac:dyDescent="0.25">
      <c r="A9167"/>
      <c r="B9167"/>
      <c r="D9167"/>
      <c r="G9167"/>
      <c r="L9167"/>
    </row>
    <row r="9168" spans="1:12" x14ac:dyDescent="0.25">
      <c r="A9168"/>
      <c r="B9168"/>
      <c r="D9168"/>
      <c r="G9168"/>
      <c r="L9168"/>
    </row>
    <row r="9169" spans="1:12" x14ac:dyDescent="0.25">
      <c r="A9169"/>
      <c r="B9169"/>
      <c r="D9169"/>
      <c r="G9169"/>
      <c r="L9169"/>
    </row>
    <row r="9170" spans="1:12" x14ac:dyDescent="0.25">
      <c r="A9170"/>
      <c r="B9170"/>
      <c r="D9170"/>
      <c r="G9170"/>
      <c r="L9170"/>
    </row>
    <row r="9171" spans="1:12" x14ac:dyDescent="0.25">
      <c r="A9171"/>
      <c r="B9171"/>
      <c r="D9171"/>
      <c r="G9171"/>
      <c r="L9171"/>
    </row>
    <row r="9172" spans="1:12" x14ac:dyDescent="0.25">
      <c r="A9172"/>
      <c r="B9172"/>
      <c r="D9172"/>
      <c r="G9172"/>
      <c r="L9172"/>
    </row>
    <row r="9173" spans="1:12" x14ac:dyDescent="0.25">
      <c r="A9173"/>
      <c r="B9173"/>
      <c r="D9173"/>
      <c r="G9173"/>
      <c r="L9173"/>
    </row>
    <row r="9174" spans="1:12" x14ac:dyDescent="0.25">
      <c r="A9174"/>
      <c r="B9174"/>
      <c r="D9174"/>
      <c r="G9174"/>
      <c r="L9174"/>
    </row>
    <row r="9175" spans="1:12" x14ac:dyDescent="0.25">
      <c r="A9175"/>
      <c r="B9175"/>
      <c r="D9175"/>
      <c r="G9175"/>
      <c r="L9175"/>
    </row>
    <row r="9176" spans="1:12" x14ac:dyDescent="0.25">
      <c r="A9176"/>
      <c r="B9176"/>
      <c r="D9176"/>
      <c r="G9176"/>
      <c r="L9176"/>
    </row>
    <row r="9177" spans="1:12" x14ac:dyDescent="0.25">
      <c r="A9177"/>
      <c r="B9177"/>
      <c r="D9177"/>
      <c r="G9177"/>
      <c r="L9177"/>
    </row>
    <row r="9178" spans="1:12" x14ac:dyDescent="0.25">
      <c r="A9178"/>
      <c r="B9178"/>
      <c r="D9178"/>
      <c r="G9178"/>
      <c r="L9178"/>
    </row>
    <row r="9179" spans="1:12" x14ac:dyDescent="0.25">
      <c r="A9179"/>
      <c r="B9179"/>
      <c r="D9179"/>
      <c r="G9179"/>
      <c r="L9179"/>
    </row>
    <row r="9180" spans="1:12" x14ac:dyDescent="0.25">
      <c r="A9180"/>
      <c r="B9180"/>
      <c r="D9180"/>
      <c r="G9180"/>
      <c r="L9180"/>
    </row>
    <row r="9181" spans="1:12" x14ac:dyDescent="0.25">
      <c r="A9181"/>
      <c r="B9181"/>
      <c r="D9181"/>
      <c r="G9181"/>
      <c r="L9181"/>
    </row>
    <row r="9182" spans="1:12" x14ac:dyDescent="0.25">
      <c r="A9182"/>
      <c r="B9182"/>
      <c r="D9182"/>
      <c r="G9182"/>
      <c r="L9182"/>
    </row>
    <row r="9183" spans="1:12" x14ac:dyDescent="0.25">
      <c r="A9183"/>
      <c r="B9183"/>
      <c r="D9183"/>
      <c r="G9183"/>
      <c r="L9183"/>
    </row>
    <row r="9184" spans="1:12" x14ac:dyDescent="0.25">
      <c r="A9184"/>
      <c r="B9184"/>
      <c r="D9184"/>
      <c r="G9184"/>
      <c r="L9184"/>
    </row>
    <row r="9185" spans="1:12" x14ac:dyDescent="0.25">
      <c r="A9185"/>
      <c r="B9185"/>
      <c r="D9185"/>
      <c r="G9185"/>
      <c r="L9185"/>
    </row>
    <row r="9186" spans="1:12" x14ac:dyDescent="0.25">
      <c r="A9186"/>
      <c r="B9186"/>
      <c r="D9186"/>
      <c r="G9186"/>
      <c r="L9186"/>
    </row>
    <row r="9187" spans="1:12" x14ac:dyDescent="0.25">
      <c r="A9187"/>
      <c r="B9187"/>
      <c r="D9187"/>
      <c r="G9187"/>
      <c r="L9187"/>
    </row>
    <row r="9188" spans="1:12" x14ac:dyDescent="0.25">
      <c r="A9188"/>
      <c r="B9188"/>
      <c r="D9188"/>
      <c r="G9188"/>
      <c r="L9188"/>
    </row>
    <row r="9189" spans="1:12" x14ac:dyDescent="0.25">
      <c r="A9189"/>
      <c r="B9189"/>
      <c r="D9189"/>
      <c r="G9189"/>
      <c r="L9189"/>
    </row>
    <row r="9190" spans="1:12" x14ac:dyDescent="0.25">
      <c r="A9190"/>
      <c r="B9190"/>
      <c r="D9190"/>
      <c r="G9190"/>
      <c r="L9190"/>
    </row>
    <row r="9191" spans="1:12" x14ac:dyDescent="0.25">
      <c r="A9191"/>
      <c r="B9191"/>
      <c r="D9191"/>
      <c r="G9191"/>
      <c r="L9191"/>
    </row>
    <row r="9192" spans="1:12" x14ac:dyDescent="0.25">
      <c r="A9192"/>
      <c r="B9192"/>
      <c r="D9192"/>
      <c r="G9192"/>
      <c r="L9192"/>
    </row>
    <row r="9193" spans="1:12" x14ac:dyDescent="0.25">
      <c r="A9193"/>
      <c r="B9193"/>
      <c r="D9193"/>
      <c r="G9193"/>
      <c r="L9193"/>
    </row>
    <row r="9194" spans="1:12" x14ac:dyDescent="0.25">
      <c r="A9194"/>
      <c r="B9194"/>
      <c r="D9194"/>
      <c r="G9194"/>
      <c r="L9194"/>
    </row>
    <row r="9195" spans="1:12" x14ac:dyDescent="0.25">
      <c r="A9195"/>
      <c r="B9195"/>
      <c r="D9195"/>
      <c r="G9195"/>
      <c r="L9195"/>
    </row>
    <row r="9196" spans="1:12" x14ac:dyDescent="0.25">
      <c r="A9196"/>
      <c r="B9196"/>
      <c r="D9196"/>
      <c r="G9196"/>
      <c r="L9196"/>
    </row>
    <row r="9197" spans="1:12" x14ac:dyDescent="0.25">
      <c r="A9197"/>
      <c r="B9197"/>
      <c r="D9197"/>
      <c r="G9197"/>
      <c r="L9197"/>
    </row>
    <row r="9198" spans="1:12" x14ac:dyDescent="0.25">
      <c r="A9198"/>
      <c r="B9198"/>
      <c r="D9198"/>
      <c r="G9198"/>
      <c r="L9198"/>
    </row>
    <row r="9199" spans="1:12" x14ac:dyDescent="0.25">
      <c r="A9199"/>
      <c r="B9199"/>
      <c r="D9199"/>
      <c r="G9199"/>
      <c r="L9199"/>
    </row>
    <row r="9200" spans="1:12" x14ac:dyDescent="0.25">
      <c r="A9200"/>
      <c r="B9200"/>
      <c r="D9200"/>
      <c r="G9200"/>
      <c r="L9200"/>
    </row>
    <row r="9201" spans="1:12" x14ac:dyDescent="0.25">
      <c r="A9201"/>
      <c r="B9201"/>
      <c r="D9201"/>
      <c r="G9201"/>
      <c r="L9201"/>
    </row>
    <row r="9202" spans="1:12" x14ac:dyDescent="0.25">
      <c r="A9202"/>
      <c r="B9202"/>
      <c r="D9202"/>
      <c r="G9202"/>
      <c r="L9202"/>
    </row>
    <row r="9203" spans="1:12" x14ac:dyDescent="0.25">
      <c r="A9203"/>
      <c r="B9203"/>
      <c r="D9203"/>
      <c r="G9203"/>
      <c r="L9203"/>
    </row>
    <row r="9204" spans="1:12" x14ac:dyDescent="0.25">
      <c r="A9204"/>
      <c r="B9204"/>
      <c r="D9204"/>
      <c r="G9204"/>
      <c r="L9204"/>
    </row>
    <row r="9205" spans="1:12" x14ac:dyDescent="0.25">
      <c r="A9205"/>
      <c r="B9205"/>
      <c r="D9205"/>
      <c r="G9205"/>
      <c r="L9205"/>
    </row>
    <row r="9206" spans="1:12" x14ac:dyDescent="0.25">
      <c r="A9206"/>
      <c r="B9206"/>
      <c r="D9206"/>
      <c r="G9206"/>
      <c r="L9206"/>
    </row>
    <row r="9207" spans="1:12" x14ac:dyDescent="0.25">
      <c r="A9207"/>
      <c r="B9207"/>
      <c r="D9207"/>
      <c r="G9207"/>
      <c r="L9207"/>
    </row>
    <row r="9208" spans="1:12" x14ac:dyDescent="0.25">
      <c r="A9208"/>
      <c r="B9208"/>
      <c r="D9208"/>
      <c r="G9208"/>
      <c r="L9208"/>
    </row>
    <row r="9209" spans="1:12" x14ac:dyDescent="0.25">
      <c r="A9209"/>
      <c r="B9209"/>
      <c r="D9209"/>
      <c r="G9209"/>
      <c r="L9209"/>
    </row>
    <row r="9210" spans="1:12" x14ac:dyDescent="0.25">
      <c r="A9210"/>
      <c r="B9210"/>
      <c r="D9210"/>
      <c r="G9210"/>
      <c r="L9210"/>
    </row>
    <row r="9211" spans="1:12" x14ac:dyDescent="0.25">
      <c r="A9211"/>
      <c r="B9211"/>
      <c r="D9211"/>
      <c r="G9211"/>
      <c r="L9211"/>
    </row>
    <row r="9212" spans="1:12" x14ac:dyDescent="0.25">
      <c r="A9212"/>
      <c r="B9212"/>
      <c r="D9212"/>
      <c r="G9212"/>
      <c r="L9212"/>
    </row>
    <row r="9213" spans="1:12" x14ac:dyDescent="0.25">
      <c r="A9213"/>
      <c r="B9213"/>
      <c r="D9213"/>
      <c r="G9213"/>
      <c r="L9213"/>
    </row>
    <row r="9214" spans="1:12" x14ac:dyDescent="0.25">
      <c r="A9214"/>
      <c r="B9214"/>
      <c r="D9214"/>
      <c r="G9214"/>
      <c r="L9214"/>
    </row>
    <row r="9215" spans="1:12" x14ac:dyDescent="0.25">
      <c r="A9215"/>
      <c r="B9215"/>
      <c r="D9215"/>
      <c r="G9215"/>
      <c r="L9215"/>
    </row>
    <row r="9216" spans="1:12" x14ac:dyDescent="0.25">
      <c r="A9216"/>
      <c r="B9216"/>
      <c r="D9216"/>
      <c r="G9216"/>
      <c r="L9216"/>
    </row>
    <row r="9217" spans="1:12" x14ac:dyDescent="0.25">
      <c r="A9217"/>
      <c r="B9217"/>
      <c r="D9217"/>
      <c r="G9217"/>
      <c r="L9217"/>
    </row>
    <row r="9218" spans="1:12" x14ac:dyDescent="0.25">
      <c r="A9218"/>
      <c r="B9218"/>
      <c r="D9218"/>
      <c r="G9218"/>
      <c r="L9218"/>
    </row>
    <row r="9219" spans="1:12" x14ac:dyDescent="0.25">
      <c r="A9219"/>
      <c r="B9219"/>
      <c r="D9219"/>
      <c r="G9219"/>
      <c r="L9219"/>
    </row>
    <row r="9220" spans="1:12" x14ac:dyDescent="0.25">
      <c r="A9220"/>
      <c r="B9220"/>
      <c r="D9220"/>
      <c r="G9220"/>
      <c r="L9220"/>
    </row>
    <row r="9221" spans="1:12" x14ac:dyDescent="0.25">
      <c r="A9221"/>
      <c r="B9221"/>
      <c r="D9221"/>
      <c r="G9221"/>
      <c r="L9221"/>
    </row>
    <row r="9222" spans="1:12" x14ac:dyDescent="0.25">
      <c r="A9222"/>
      <c r="B9222"/>
      <c r="D9222"/>
      <c r="G9222"/>
      <c r="L9222"/>
    </row>
    <row r="9223" spans="1:12" x14ac:dyDescent="0.25">
      <c r="A9223"/>
      <c r="B9223"/>
      <c r="D9223"/>
      <c r="G9223"/>
      <c r="L9223"/>
    </row>
    <row r="9224" spans="1:12" x14ac:dyDescent="0.25">
      <c r="A9224"/>
      <c r="B9224"/>
      <c r="D9224"/>
      <c r="G9224"/>
      <c r="L9224"/>
    </row>
    <row r="9225" spans="1:12" x14ac:dyDescent="0.25">
      <c r="A9225"/>
      <c r="B9225"/>
      <c r="D9225"/>
      <c r="G9225"/>
      <c r="L9225"/>
    </row>
    <row r="9226" spans="1:12" x14ac:dyDescent="0.25">
      <c r="A9226"/>
      <c r="B9226"/>
      <c r="D9226"/>
      <c r="G9226"/>
      <c r="L9226"/>
    </row>
    <row r="9227" spans="1:12" x14ac:dyDescent="0.25">
      <c r="A9227"/>
      <c r="B9227"/>
      <c r="D9227"/>
      <c r="G9227"/>
      <c r="L9227"/>
    </row>
    <row r="9228" spans="1:12" x14ac:dyDescent="0.25">
      <c r="A9228"/>
      <c r="B9228"/>
      <c r="D9228"/>
      <c r="G9228"/>
      <c r="L9228"/>
    </row>
    <row r="9229" spans="1:12" x14ac:dyDescent="0.25">
      <c r="A9229"/>
      <c r="B9229"/>
      <c r="D9229"/>
      <c r="G9229"/>
      <c r="L9229"/>
    </row>
    <row r="9230" spans="1:12" x14ac:dyDescent="0.25">
      <c r="A9230"/>
      <c r="B9230"/>
      <c r="D9230"/>
      <c r="G9230"/>
      <c r="L9230"/>
    </row>
    <row r="9231" spans="1:12" x14ac:dyDescent="0.25">
      <c r="A9231"/>
      <c r="B9231"/>
      <c r="D9231"/>
      <c r="G9231"/>
      <c r="L9231"/>
    </row>
    <row r="9232" spans="1:12" x14ac:dyDescent="0.25">
      <c r="A9232"/>
      <c r="B9232"/>
      <c r="D9232"/>
      <c r="G9232"/>
      <c r="L9232"/>
    </row>
    <row r="9233" spans="1:12" x14ac:dyDescent="0.25">
      <c r="A9233"/>
      <c r="B9233"/>
      <c r="D9233"/>
      <c r="G9233"/>
      <c r="L9233"/>
    </row>
    <row r="9234" spans="1:12" x14ac:dyDescent="0.25">
      <c r="A9234"/>
      <c r="B9234"/>
      <c r="D9234"/>
      <c r="G9234"/>
      <c r="L9234"/>
    </row>
    <row r="9235" spans="1:12" x14ac:dyDescent="0.25">
      <c r="A9235"/>
      <c r="B9235"/>
      <c r="D9235"/>
      <c r="G9235"/>
      <c r="L9235"/>
    </row>
    <row r="9236" spans="1:12" x14ac:dyDescent="0.25">
      <c r="A9236"/>
      <c r="B9236"/>
      <c r="D9236"/>
      <c r="G9236"/>
      <c r="L9236"/>
    </row>
    <row r="9237" spans="1:12" x14ac:dyDescent="0.25">
      <c r="A9237"/>
      <c r="B9237"/>
      <c r="D9237"/>
      <c r="G9237"/>
      <c r="L9237"/>
    </row>
    <row r="9238" spans="1:12" x14ac:dyDescent="0.25">
      <c r="A9238"/>
      <c r="B9238"/>
      <c r="D9238"/>
      <c r="G9238"/>
      <c r="L9238"/>
    </row>
    <row r="9239" spans="1:12" x14ac:dyDescent="0.25">
      <c r="A9239"/>
      <c r="B9239"/>
      <c r="D9239"/>
      <c r="G9239"/>
      <c r="L9239"/>
    </row>
    <row r="9240" spans="1:12" x14ac:dyDescent="0.25">
      <c r="A9240"/>
      <c r="B9240"/>
      <c r="D9240"/>
      <c r="G9240"/>
      <c r="L9240"/>
    </row>
    <row r="9241" spans="1:12" x14ac:dyDescent="0.25">
      <c r="A9241"/>
      <c r="B9241"/>
      <c r="D9241"/>
      <c r="G9241"/>
      <c r="L9241"/>
    </row>
    <row r="9242" spans="1:12" x14ac:dyDescent="0.25">
      <c r="A9242"/>
      <c r="B9242"/>
      <c r="D9242"/>
      <c r="G9242"/>
      <c r="L9242"/>
    </row>
    <row r="9243" spans="1:12" x14ac:dyDescent="0.25">
      <c r="A9243"/>
      <c r="B9243"/>
      <c r="D9243"/>
      <c r="G9243"/>
      <c r="L9243"/>
    </row>
    <row r="9244" spans="1:12" x14ac:dyDescent="0.25">
      <c r="A9244"/>
      <c r="B9244"/>
      <c r="D9244"/>
      <c r="G9244"/>
      <c r="L9244"/>
    </row>
    <row r="9245" spans="1:12" x14ac:dyDescent="0.25">
      <c r="A9245"/>
      <c r="B9245"/>
      <c r="D9245"/>
      <c r="G9245"/>
      <c r="L9245"/>
    </row>
    <row r="9246" spans="1:12" x14ac:dyDescent="0.25">
      <c r="A9246"/>
      <c r="B9246"/>
      <c r="D9246"/>
      <c r="G9246"/>
      <c r="L9246"/>
    </row>
    <row r="9247" spans="1:12" x14ac:dyDescent="0.25">
      <c r="A9247"/>
      <c r="B9247"/>
      <c r="D9247"/>
      <c r="G9247"/>
      <c r="L9247"/>
    </row>
    <row r="9248" spans="1:12" x14ac:dyDescent="0.25">
      <c r="A9248"/>
      <c r="B9248"/>
      <c r="D9248"/>
      <c r="G9248"/>
      <c r="L9248"/>
    </row>
    <row r="9249" spans="1:12" x14ac:dyDescent="0.25">
      <c r="A9249"/>
      <c r="B9249"/>
      <c r="D9249"/>
      <c r="G9249"/>
      <c r="L9249"/>
    </row>
    <row r="9250" spans="1:12" x14ac:dyDescent="0.25">
      <c r="A9250"/>
      <c r="B9250"/>
      <c r="D9250"/>
      <c r="G9250"/>
      <c r="L9250"/>
    </row>
    <row r="9251" spans="1:12" x14ac:dyDescent="0.25">
      <c r="A9251"/>
      <c r="B9251"/>
      <c r="D9251"/>
      <c r="G9251"/>
      <c r="L9251"/>
    </row>
    <row r="9252" spans="1:12" x14ac:dyDescent="0.25">
      <c r="A9252"/>
      <c r="B9252"/>
      <c r="D9252"/>
      <c r="G9252"/>
      <c r="L9252"/>
    </row>
    <row r="9253" spans="1:12" x14ac:dyDescent="0.25">
      <c r="A9253"/>
      <c r="B9253"/>
      <c r="D9253"/>
      <c r="G9253"/>
      <c r="L9253"/>
    </row>
    <row r="9254" spans="1:12" x14ac:dyDescent="0.25">
      <c r="A9254"/>
      <c r="B9254"/>
      <c r="D9254"/>
      <c r="G9254"/>
      <c r="L9254"/>
    </row>
    <row r="9255" spans="1:12" x14ac:dyDescent="0.25">
      <c r="A9255"/>
      <c r="B9255"/>
      <c r="D9255"/>
      <c r="G9255"/>
      <c r="L9255"/>
    </row>
    <row r="9256" spans="1:12" x14ac:dyDescent="0.25">
      <c r="A9256"/>
      <c r="B9256"/>
      <c r="D9256"/>
      <c r="G9256"/>
      <c r="L9256"/>
    </row>
    <row r="9257" spans="1:12" x14ac:dyDescent="0.25">
      <c r="A9257"/>
      <c r="B9257"/>
      <c r="D9257"/>
      <c r="G9257"/>
      <c r="L9257"/>
    </row>
    <row r="9258" spans="1:12" x14ac:dyDescent="0.25">
      <c r="A9258"/>
      <c r="B9258"/>
      <c r="D9258"/>
      <c r="G9258"/>
      <c r="L9258"/>
    </row>
    <row r="9259" spans="1:12" x14ac:dyDescent="0.25">
      <c r="A9259"/>
      <c r="B9259"/>
      <c r="D9259"/>
      <c r="G9259"/>
      <c r="L9259"/>
    </row>
    <row r="9260" spans="1:12" x14ac:dyDescent="0.25">
      <c r="A9260"/>
      <c r="B9260"/>
      <c r="D9260"/>
      <c r="G9260"/>
      <c r="L9260"/>
    </row>
    <row r="9261" spans="1:12" x14ac:dyDescent="0.25">
      <c r="A9261"/>
      <c r="B9261"/>
      <c r="D9261"/>
      <c r="G9261"/>
      <c r="L9261"/>
    </row>
    <row r="9262" spans="1:12" x14ac:dyDescent="0.25">
      <c r="A9262"/>
      <c r="B9262"/>
      <c r="D9262"/>
      <c r="G9262"/>
      <c r="L9262"/>
    </row>
    <row r="9263" spans="1:12" x14ac:dyDescent="0.25">
      <c r="A9263"/>
      <c r="B9263"/>
      <c r="D9263"/>
      <c r="G9263"/>
      <c r="L9263"/>
    </row>
    <row r="9264" spans="1:12" x14ac:dyDescent="0.25">
      <c r="A9264"/>
      <c r="B9264"/>
      <c r="D9264"/>
      <c r="G9264"/>
      <c r="L9264"/>
    </row>
    <row r="9265" spans="1:12" x14ac:dyDescent="0.25">
      <c r="A9265"/>
      <c r="B9265"/>
      <c r="D9265"/>
      <c r="G9265"/>
      <c r="L9265"/>
    </row>
    <row r="9266" spans="1:12" x14ac:dyDescent="0.25">
      <c r="A9266"/>
      <c r="B9266"/>
      <c r="D9266"/>
      <c r="G9266"/>
      <c r="L9266"/>
    </row>
    <row r="9267" spans="1:12" x14ac:dyDescent="0.25">
      <c r="A9267"/>
      <c r="B9267"/>
      <c r="D9267"/>
      <c r="G9267"/>
      <c r="L9267"/>
    </row>
    <row r="9268" spans="1:12" x14ac:dyDescent="0.25">
      <c r="A9268"/>
      <c r="B9268"/>
      <c r="D9268"/>
      <c r="G9268"/>
      <c r="L9268"/>
    </row>
    <row r="9269" spans="1:12" x14ac:dyDescent="0.25">
      <c r="A9269"/>
      <c r="B9269"/>
      <c r="D9269"/>
      <c r="G9269"/>
      <c r="L9269"/>
    </row>
    <row r="9270" spans="1:12" x14ac:dyDescent="0.25">
      <c r="A9270"/>
      <c r="B9270"/>
      <c r="D9270"/>
      <c r="G9270"/>
      <c r="L9270"/>
    </row>
    <row r="9271" spans="1:12" x14ac:dyDescent="0.25">
      <c r="A9271"/>
      <c r="B9271"/>
      <c r="D9271"/>
      <c r="G9271"/>
      <c r="L9271"/>
    </row>
    <row r="9272" spans="1:12" x14ac:dyDescent="0.25">
      <c r="A9272"/>
      <c r="B9272"/>
      <c r="D9272"/>
      <c r="G9272"/>
      <c r="L9272"/>
    </row>
    <row r="9273" spans="1:12" x14ac:dyDescent="0.25">
      <c r="A9273"/>
      <c r="B9273"/>
      <c r="D9273"/>
      <c r="G9273"/>
      <c r="L9273"/>
    </row>
    <row r="9274" spans="1:12" x14ac:dyDescent="0.25">
      <c r="A9274"/>
      <c r="B9274"/>
      <c r="D9274"/>
      <c r="G9274"/>
      <c r="L9274"/>
    </row>
    <row r="9275" spans="1:12" x14ac:dyDescent="0.25">
      <c r="A9275"/>
      <c r="B9275"/>
      <c r="D9275"/>
      <c r="G9275"/>
      <c r="L9275"/>
    </row>
    <row r="9276" spans="1:12" x14ac:dyDescent="0.25">
      <c r="A9276"/>
      <c r="B9276"/>
      <c r="D9276"/>
      <c r="G9276"/>
      <c r="L9276"/>
    </row>
    <row r="9277" spans="1:12" x14ac:dyDescent="0.25">
      <c r="A9277"/>
      <c r="B9277"/>
      <c r="D9277"/>
      <c r="G9277"/>
      <c r="L9277"/>
    </row>
    <row r="9278" spans="1:12" x14ac:dyDescent="0.25">
      <c r="A9278"/>
      <c r="B9278"/>
      <c r="D9278"/>
      <c r="G9278"/>
      <c r="L9278"/>
    </row>
    <row r="9279" spans="1:12" x14ac:dyDescent="0.25">
      <c r="A9279"/>
      <c r="B9279"/>
      <c r="D9279"/>
      <c r="G9279"/>
      <c r="L9279"/>
    </row>
    <row r="9280" spans="1:12" x14ac:dyDescent="0.25">
      <c r="A9280"/>
      <c r="B9280"/>
      <c r="D9280"/>
      <c r="G9280"/>
      <c r="L9280"/>
    </row>
    <row r="9281" spans="1:12" x14ac:dyDescent="0.25">
      <c r="A9281"/>
      <c r="B9281"/>
      <c r="D9281"/>
      <c r="G9281"/>
      <c r="L9281"/>
    </row>
    <row r="9282" spans="1:12" x14ac:dyDescent="0.25">
      <c r="A9282"/>
      <c r="B9282"/>
      <c r="D9282"/>
      <c r="G9282"/>
      <c r="L9282"/>
    </row>
    <row r="9283" spans="1:12" x14ac:dyDescent="0.25">
      <c r="A9283"/>
      <c r="B9283"/>
      <c r="D9283"/>
      <c r="G9283"/>
      <c r="L9283"/>
    </row>
    <row r="9284" spans="1:12" x14ac:dyDescent="0.25">
      <c r="A9284"/>
      <c r="B9284"/>
      <c r="D9284"/>
      <c r="G9284"/>
      <c r="L9284"/>
    </row>
    <row r="9285" spans="1:12" x14ac:dyDescent="0.25">
      <c r="A9285"/>
      <c r="B9285"/>
      <c r="D9285"/>
      <c r="G9285"/>
      <c r="L9285"/>
    </row>
    <row r="9286" spans="1:12" x14ac:dyDescent="0.25">
      <c r="A9286"/>
      <c r="B9286"/>
      <c r="D9286"/>
      <c r="G9286"/>
      <c r="L9286"/>
    </row>
    <row r="9287" spans="1:12" x14ac:dyDescent="0.25">
      <c r="A9287"/>
      <c r="B9287"/>
      <c r="D9287"/>
      <c r="G9287"/>
      <c r="L9287"/>
    </row>
    <row r="9288" spans="1:12" x14ac:dyDescent="0.25">
      <c r="A9288"/>
      <c r="B9288"/>
      <c r="D9288"/>
      <c r="G9288"/>
      <c r="L9288"/>
    </row>
    <row r="9289" spans="1:12" x14ac:dyDescent="0.25">
      <c r="A9289"/>
      <c r="B9289"/>
      <c r="D9289"/>
      <c r="G9289"/>
      <c r="L9289"/>
    </row>
    <row r="9290" spans="1:12" x14ac:dyDescent="0.25">
      <c r="A9290"/>
      <c r="B9290"/>
      <c r="D9290"/>
      <c r="G9290"/>
      <c r="L9290"/>
    </row>
    <row r="9291" spans="1:12" x14ac:dyDescent="0.25">
      <c r="A9291"/>
      <c r="B9291"/>
      <c r="D9291"/>
      <c r="G9291"/>
      <c r="L9291"/>
    </row>
    <row r="9292" spans="1:12" x14ac:dyDescent="0.25">
      <c r="A9292"/>
      <c r="B9292"/>
      <c r="D9292"/>
      <c r="G9292"/>
      <c r="L9292"/>
    </row>
    <row r="9293" spans="1:12" x14ac:dyDescent="0.25">
      <c r="A9293"/>
      <c r="B9293"/>
      <c r="D9293"/>
      <c r="G9293"/>
      <c r="L9293"/>
    </row>
    <row r="9294" spans="1:12" x14ac:dyDescent="0.25">
      <c r="A9294"/>
      <c r="B9294"/>
      <c r="D9294"/>
      <c r="G9294"/>
      <c r="L9294"/>
    </row>
    <row r="9295" spans="1:12" x14ac:dyDescent="0.25">
      <c r="A9295"/>
      <c r="B9295"/>
      <c r="D9295"/>
      <c r="G9295"/>
      <c r="L9295"/>
    </row>
    <row r="9296" spans="1:12" x14ac:dyDescent="0.25">
      <c r="A9296"/>
      <c r="B9296"/>
      <c r="D9296"/>
      <c r="G9296"/>
      <c r="L9296"/>
    </row>
    <row r="9297" spans="1:12" x14ac:dyDescent="0.25">
      <c r="A9297"/>
      <c r="B9297"/>
      <c r="D9297"/>
      <c r="G9297"/>
      <c r="L9297"/>
    </row>
    <row r="9298" spans="1:12" x14ac:dyDescent="0.25">
      <c r="A9298"/>
      <c r="B9298"/>
      <c r="D9298"/>
      <c r="G9298"/>
      <c r="L9298"/>
    </row>
    <row r="9299" spans="1:12" x14ac:dyDescent="0.25">
      <c r="A9299"/>
      <c r="B9299"/>
      <c r="D9299"/>
      <c r="G9299"/>
      <c r="L9299"/>
    </row>
    <row r="9300" spans="1:12" x14ac:dyDescent="0.25">
      <c r="A9300"/>
      <c r="B9300"/>
      <c r="D9300"/>
      <c r="G9300"/>
      <c r="L9300"/>
    </row>
    <row r="9301" spans="1:12" x14ac:dyDescent="0.25">
      <c r="A9301"/>
      <c r="B9301"/>
      <c r="D9301"/>
      <c r="G9301"/>
      <c r="L9301"/>
    </row>
    <row r="9302" spans="1:12" x14ac:dyDescent="0.25">
      <c r="A9302"/>
      <c r="B9302"/>
      <c r="D9302"/>
      <c r="G9302"/>
      <c r="L9302"/>
    </row>
    <row r="9303" spans="1:12" x14ac:dyDescent="0.25">
      <c r="A9303"/>
      <c r="B9303"/>
      <c r="D9303"/>
      <c r="G9303"/>
      <c r="L9303"/>
    </row>
    <row r="9304" spans="1:12" x14ac:dyDescent="0.25">
      <c r="A9304"/>
      <c r="B9304"/>
      <c r="D9304"/>
      <c r="G9304"/>
      <c r="L9304"/>
    </row>
    <row r="9305" spans="1:12" x14ac:dyDescent="0.25">
      <c r="A9305"/>
      <c r="B9305"/>
      <c r="D9305"/>
      <c r="G9305"/>
      <c r="L9305"/>
    </row>
    <row r="9306" spans="1:12" x14ac:dyDescent="0.25">
      <c r="A9306"/>
      <c r="B9306"/>
      <c r="D9306"/>
      <c r="G9306"/>
      <c r="L9306"/>
    </row>
    <row r="9307" spans="1:12" x14ac:dyDescent="0.25">
      <c r="A9307"/>
      <c r="B9307"/>
      <c r="D9307"/>
      <c r="G9307"/>
      <c r="L9307"/>
    </row>
    <row r="9308" spans="1:12" x14ac:dyDescent="0.25">
      <c r="A9308"/>
      <c r="B9308"/>
      <c r="D9308"/>
      <c r="G9308"/>
      <c r="L9308"/>
    </row>
    <row r="9309" spans="1:12" x14ac:dyDescent="0.25">
      <c r="A9309"/>
      <c r="B9309"/>
      <c r="D9309"/>
      <c r="G9309"/>
      <c r="L9309"/>
    </row>
    <row r="9310" spans="1:12" x14ac:dyDescent="0.25">
      <c r="A9310"/>
      <c r="B9310"/>
      <c r="D9310"/>
      <c r="G9310"/>
      <c r="L9310"/>
    </row>
    <row r="9311" spans="1:12" x14ac:dyDescent="0.25">
      <c r="A9311"/>
      <c r="B9311"/>
      <c r="D9311"/>
      <c r="G9311"/>
      <c r="L9311"/>
    </row>
    <row r="9312" spans="1:12" x14ac:dyDescent="0.25">
      <c r="A9312"/>
      <c r="B9312"/>
      <c r="D9312"/>
      <c r="G9312"/>
      <c r="L9312"/>
    </row>
    <row r="9313" spans="1:12" x14ac:dyDescent="0.25">
      <c r="A9313"/>
      <c r="B9313"/>
      <c r="D9313"/>
      <c r="G9313"/>
      <c r="L9313"/>
    </row>
    <row r="9314" spans="1:12" x14ac:dyDescent="0.25">
      <c r="A9314"/>
      <c r="B9314"/>
      <c r="D9314"/>
      <c r="G9314"/>
      <c r="L9314"/>
    </row>
    <row r="9315" spans="1:12" x14ac:dyDescent="0.25">
      <c r="A9315"/>
      <c r="B9315"/>
      <c r="D9315"/>
      <c r="G9315"/>
      <c r="L9315"/>
    </row>
    <row r="9316" spans="1:12" x14ac:dyDescent="0.25">
      <c r="A9316"/>
      <c r="B9316"/>
      <c r="D9316"/>
      <c r="G9316"/>
      <c r="L9316"/>
    </row>
    <row r="9317" spans="1:12" x14ac:dyDescent="0.25">
      <c r="A9317"/>
      <c r="B9317"/>
      <c r="D9317"/>
      <c r="G9317"/>
      <c r="L9317"/>
    </row>
    <row r="9318" spans="1:12" x14ac:dyDescent="0.25">
      <c r="A9318"/>
      <c r="B9318"/>
      <c r="D9318"/>
      <c r="G9318"/>
      <c r="L9318"/>
    </row>
    <row r="9319" spans="1:12" x14ac:dyDescent="0.25">
      <c r="A9319"/>
      <c r="B9319"/>
      <c r="D9319"/>
      <c r="G9319"/>
      <c r="L9319"/>
    </row>
    <row r="9320" spans="1:12" x14ac:dyDescent="0.25">
      <c r="A9320"/>
      <c r="B9320"/>
      <c r="D9320"/>
      <c r="G9320"/>
      <c r="L9320"/>
    </row>
    <row r="9321" spans="1:12" x14ac:dyDescent="0.25">
      <c r="A9321"/>
      <c r="B9321"/>
      <c r="D9321"/>
      <c r="G9321"/>
      <c r="L9321"/>
    </row>
    <row r="9322" spans="1:12" x14ac:dyDescent="0.25">
      <c r="A9322"/>
      <c r="B9322"/>
      <c r="D9322"/>
      <c r="G9322"/>
      <c r="L9322"/>
    </row>
    <row r="9323" spans="1:12" x14ac:dyDescent="0.25">
      <c r="A9323"/>
      <c r="B9323"/>
      <c r="D9323"/>
      <c r="G9323"/>
      <c r="L9323"/>
    </row>
    <row r="9324" spans="1:12" x14ac:dyDescent="0.25">
      <c r="A9324"/>
      <c r="B9324"/>
      <c r="D9324"/>
      <c r="G9324"/>
      <c r="L9324"/>
    </row>
    <row r="9325" spans="1:12" x14ac:dyDescent="0.25">
      <c r="A9325"/>
      <c r="B9325"/>
      <c r="D9325"/>
      <c r="G9325"/>
      <c r="L9325"/>
    </row>
    <row r="9326" spans="1:12" x14ac:dyDescent="0.25">
      <c r="A9326"/>
      <c r="B9326"/>
      <c r="D9326"/>
      <c r="G9326"/>
      <c r="L9326"/>
    </row>
    <row r="9327" spans="1:12" x14ac:dyDescent="0.25">
      <c r="A9327"/>
      <c r="B9327"/>
      <c r="D9327"/>
      <c r="G9327"/>
      <c r="L9327"/>
    </row>
    <row r="9328" spans="1:12" x14ac:dyDescent="0.25">
      <c r="A9328"/>
      <c r="B9328"/>
      <c r="D9328"/>
      <c r="G9328"/>
      <c r="L9328"/>
    </row>
    <row r="9329" spans="1:12" x14ac:dyDescent="0.25">
      <c r="A9329"/>
      <c r="B9329"/>
      <c r="D9329"/>
      <c r="G9329"/>
      <c r="L9329"/>
    </row>
    <row r="9330" spans="1:12" x14ac:dyDescent="0.25">
      <c r="A9330"/>
      <c r="B9330"/>
      <c r="D9330"/>
      <c r="G9330"/>
      <c r="L9330"/>
    </row>
    <row r="9331" spans="1:12" x14ac:dyDescent="0.25">
      <c r="A9331"/>
      <c r="B9331"/>
      <c r="D9331"/>
      <c r="G9331"/>
      <c r="L9331"/>
    </row>
    <row r="9332" spans="1:12" x14ac:dyDescent="0.25">
      <c r="A9332"/>
      <c r="B9332"/>
      <c r="D9332"/>
      <c r="G9332"/>
      <c r="L9332"/>
    </row>
    <row r="9333" spans="1:12" x14ac:dyDescent="0.25">
      <c r="A9333"/>
      <c r="B9333"/>
      <c r="D9333"/>
      <c r="G9333"/>
      <c r="L9333"/>
    </row>
    <row r="9334" spans="1:12" x14ac:dyDescent="0.25">
      <c r="A9334"/>
      <c r="B9334"/>
      <c r="D9334"/>
      <c r="G9334"/>
      <c r="L9334"/>
    </row>
    <row r="9335" spans="1:12" x14ac:dyDescent="0.25">
      <c r="A9335"/>
      <c r="B9335"/>
      <c r="D9335"/>
      <c r="G9335"/>
      <c r="L9335"/>
    </row>
    <row r="9336" spans="1:12" x14ac:dyDescent="0.25">
      <c r="A9336"/>
      <c r="B9336"/>
      <c r="D9336"/>
      <c r="G9336"/>
      <c r="L9336"/>
    </row>
    <row r="9337" spans="1:12" x14ac:dyDescent="0.25">
      <c r="A9337"/>
      <c r="B9337"/>
      <c r="D9337"/>
      <c r="G9337"/>
      <c r="L9337"/>
    </row>
    <row r="9338" spans="1:12" x14ac:dyDescent="0.25">
      <c r="A9338"/>
      <c r="B9338"/>
      <c r="D9338"/>
      <c r="G9338"/>
      <c r="L9338"/>
    </row>
    <row r="9339" spans="1:12" x14ac:dyDescent="0.25">
      <c r="A9339"/>
      <c r="B9339"/>
      <c r="D9339"/>
      <c r="G9339"/>
      <c r="L9339"/>
    </row>
    <row r="9340" spans="1:12" x14ac:dyDescent="0.25">
      <c r="A9340"/>
      <c r="B9340"/>
      <c r="D9340"/>
      <c r="G9340"/>
      <c r="L9340"/>
    </row>
    <row r="9341" spans="1:12" x14ac:dyDescent="0.25">
      <c r="A9341"/>
      <c r="B9341"/>
      <c r="D9341"/>
      <c r="G9341"/>
      <c r="L9341"/>
    </row>
    <row r="9342" spans="1:12" x14ac:dyDescent="0.25">
      <c r="A9342"/>
      <c r="B9342"/>
      <c r="D9342"/>
      <c r="G9342"/>
      <c r="L9342"/>
    </row>
    <row r="9343" spans="1:12" x14ac:dyDescent="0.25">
      <c r="A9343"/>
      <c r="B9343"/>
      <c r="D9343"/>
      <c r="G9343"/>
      <c r="L9343"/>
    </row>
    <row r="9344" spans="1:12" x14ac:dyDescent="0.25">
      <c r="A9344"/>
      <c r="B9344"/>
      <c r="D9344"/>
      <c r="G9344"/>
      <c r="L9344"/>
    </row>
    <row r="9345" spans="1:12" x14ac:dyDescent="0.25">
      <c r="A9345"/>
      <c r="B9345"/>
      <c r="D9345"/>
      <c r="G9345"/>
      <c r="L9345"/>
    </row>
    <row r="9346" spans="1:12" x14ac:dyDescent="0.25">
      <c r="A9346"/>
      <c r="B9346"/>
      <c r="D9346"/>
      <c r="G9346"/>
      <c r="L9346"/>
    </row>
    <row r="9347" spans="1:12" x14ac:dyDescent="0.25">
      <c r="A9347"/>
      <c r="B9347"/>
      <c r="D9347"/>
      <c r="G9347"/>
      <c r="L9347"/>
    </row>
    <row r="9348" spans="1:12" x14ac:dyDescent="0.25">
      <c r="A9348"/>
      <c r="B9348"/>
      <c r="D9348"/>
      <c r="G9348"/>
      <c r="L9348"/>
    </row>
    <row r="9349" spans="1:12" x14ac:dyDescent="0.25">
      <c r="A9349"/>
      <c r="B9349"/>
      <c r="D9349"/>
      <c r="G9349"/>
      <c r="L9349"/>
    </row>
    <row r="9350" spans="1:12" x14ac:dyDescent="0.25">
      <c r="A9350"/>
      <c r="B9350"/>
      <c r="D9350"/>
      <c r="G9350"/>
      <c r="L9350"/>
    </row>
    <row r="9351" spans="1:12" x14ac:dyDescent="0.25">
      <c r="A9351"/>
      <c r="B9351"/>
      <c r="D9351"/>
      <c r="G9351"/>
      <c r="L9351"/>
    </row>
    <row r="9352" spans="1:12" x14ac:dyDescent="0.25">
      <c r="A9352"/>
      <c r="B9352"/>
      <c r="D9352"/>
      <c r="G9352"/>
      <c r="L9352"/>
    </row>
    <row r="9353" spans="1:12" x14ac:dyDescent="0.25">
      <c r="A9353"/>
      <c r="B9353"/>
      <c r="D9353"/>
      <c r="G9353"/>
      <c r="L9353"/>
    </row>
    <row r="9354" spans="1:12" x14ac:dyDescent="0.25">
      <c r="A9354"/>
      <c r="B9354"/>
      <c r="D9354"/>
      <c r="G9354"/>
      <c r="L9354"/>
    </row>
    <row r="9355" spans="1:12" x14ac:dyDescent="0.25">
      <c r="A9355"/>
      <c r="B9355"/>
      <c r="D9355"/>
      <c r="G9355"/>
      <c r="L9355"/>
    </row>
    <row r="9356" spans="1:12" x14ac:dyDescent="0.25">
      <c r="A9356"/>
      <c r="B9356"/>
      <c r="D9356"/>
      <c r="G9356"/>
      <c r="L9356"/>
    </row>
    <row r="9357" spans="1:12" x14ac:dyDescent="0.25">
      <c r="A9357"/>
      <c r="B9357"/>
      <c r="D9357"/>
      <c r="G9357"/>
      <c r="L9357"/>
    </row>
    <row r="9358" spans="1:12" x14ac:dyDescent="0.25">
      <c r="A9358"/>
      <c r="B9358"/>
      <c r="D9358"/>
      <c r="G9358"/>
      <c r="L9358"/>
    </row>
    <row r="9359" spans="1:12" x14ac:dyDescent="0.25">
      <c r="A9359"/>
      <c r="B9359"/>
      <c r="D9359"/>
      <c r="G9359"/>
      <c r="L9359"/>
    </row>
    <row r="9360" spans="1:12" x14ac:dyDescent="0.25">
      <c r="A9360"/>
      <c r="B9360"/>
      <c r="D9360"/>
      <c r="G9360"/>
      <c r="L9360"/>
    </row>
    <row r="9361" spans="1:12" x14ac:dyDescent="0.25">
      <c r="A9361"/>
      <c r="B9361"/>
      <c r="D9361"/>
      <c r="G9361"/>
      <c r="L9361"/>
    </row>
    <row r="9362" spans="1:12" x14ac:dyDescent="0.25">
      <c r="A9362"/>
      <c r="B9362"/>
      <c r="D9362"/>
      <c r="G9362"/>
      <c r="L9362"/>
    </row>
    <row r="9363" spans="1:12" x14ac:dyDescent="0.25">
      <c r="A9363"/>
      <c r="B9363"/>
      <c r="D9363"/>
      <c r="G9363"/>
      <c r="L9363"/>
    </row>
    <row r="9364" spans="1:12" x14ac:dyDescent="0.25">
      <c r="A9364"/>
      <c r="B9364"/>
      <c r="D9364"/>
      <c r="G9364"/>
      <c r="L9364"/>
    </row>
    <row r="9365" spans="1:12" x14ac:dyDescent="0.25">
      <c r="A9365"/>
      <c r="B9365"/>
      <c r="D9365"/>
      <c r="G9365"/>
      <c r="L9365"/>
    </row>
    <row r="9366" spans="1:12" x14ac:dyDescent="0.25">
      <c r="A9366"/>
      <c r="B9366"/>
      <c r="D9366"/>
      <c r="G9366"/>
      <c r="L9366"/>
    </row>
    <row r="9367" spans="1:12" x14ac:dyDescent="0.25">
      <c r="A9367"/>
      <c r="B9367"/>
      <c r="D9367"/>
      <c r="G9367"/>
      <c r="L9367"/>
    </row>
    <row r="9368" spans="1:12" x14ac:dyDescent="0.25">
      <c r="A9368"/>
      <c r="B9368"/>
      <c r="D9368"/>
      <c r="G9368"/>
      <c r="L9368"/>
    </row>
    <row r="9369" spans="1:12" x14ac:dyDescent="0.25">
      <c r="A9369"/>
      <c r="B9369"/>
      <c r="D9369"/>
      <c r="G9369"/>
      <c r="L9369"/>
    </row>
    <row r="9370" spans="1:12" x14ac:dyDescent="0.25">
      <c r="A9370"/>
      <c r="B9370"/>
      <c r="D9370"/>
      <c r="G9370"/>
      <c r="L9370"/>
    </row>
    <row r="9371" spans="1:12" x14ac:dyDescent="0.25">
      <c r="A9371"/>
      <c r="B9371"/>
      <c r="D9371"/>
      <c r="G9371"/>
      <c r="L9371"/>
    </row>
    <row r="9372" spans="1:12" x14ac:dyDescent="0.25">
      <c r="A9372"/>
      <c r="B9372"/>
      <c r="D9372"/>
      <c r="G9372"/>
      <c r="L9372"/>
    </row>
    <row r="9373" spans="1:12" x14ac:dyDescent="0.25">
      <c r="A9373"/>
      <c r="B9373"/>
      <c r="D9373"/>
      <c r="G9373"/>
      <c r="L9373"/>
    </row>
    <row r="9374" spans="1:12" x14ac:dyDescent="0.25">
      <c r="A9374"/>
      <c r="B9374"/>
      <c r="D9374"/>
      <c r="G9374"/>
      <c r="L9374"/>
    </row>
    <row r="9375" spans="1:12" x14ac:dyDescent="0.25">
      <c r="A9375"/>
      <c r="B9375"/>
      <c r="D9375"/>
      <c r="G9375"/>
      <c r="L9375"/>
    </row>
    <row r="9376" spans="1:12" x14ac:dyDescent="0.25">
      <c r="A9376"/>
      <c r="B9376"/>
      <c r="D9376"/>
      <c r="G9376"/>
      <c r="L9376"/>
    </row>
    <row r="9377" spans="1:12" x14ac:dyDescent="0.25">
      <c r="A9377"/>
      <c r="B9377"/>
      <c r="D9377"/>
      <c r="G9377"/>
      <c r="L9377"/>
    </row>
    <row r="9378" spans="1:12" x14ac:dyDescent="0.25">
      <c r="A9378"/>
      <c r="B9378"/>
      <c r="D9378"/>
      <c r="G9378"/>
      <c r="L9378"/>
    </row>
    <row r="9379" spans="1:12" x14ac:dyDescent="0.25">
      <c r="A9379"/>
      <c r="B9379"/>
      <c r="D9379"/>
      <c r="G9379"/>
      <c r="L9379"/>
    </row>
    <row r="9380" spans="1:12" x14ac:dyDescent="0.25">
      <c r="A9380"/>
      <c r="B9380"/>
      <c r="D9380"/>
      <c r="G9380"/>
      <c r="L9380"/>
    </row>
    <row r="9381" spans="1:12" x14ac:dyDescent="0.25">
      <c r="A9381"/>
      <c r="B9381"/>
      <c r="D9381"/>
      <c r="G9381"/>
      <c r="L9381"/>
    </row>
    <row r="9382" spans="1:12" x14ac:dyDescent="0.25">
      <c r="A9382"/>
      <c r="B9382"/>
      <c r="D9382"/>
      <c r="G9382"/>
      <c r="L9382"/>
    </row>
    <row r="9383" spans="1:12" x14ac:dyDescent="0.25">
      <c r="A9383"/>
      <c r="B9383"/>
      <c r="D9383"/>
      <c r="G9383"/>
      <c r="L9383"/>
    </row>
    <row r="9384" spans="1:12" x14ac:dyDescent="0.25">
      <c r="A9384"/>
      <c r="B9384"/>
      <c r="D9384"/>
      <c r="G9384"/>
      <c r="L9384"/>
    </row>
    <row r="9385" spans="1:12" x14ac:dyDescent="0.25">
      <c r="A9385"/>
      <c r="B9385"/>
      <c r="D9385"/>
      <c r="G9385"/>
      <c r="L9385"/>
    </row>
    <row r="9386" spans="1:12" x14ac:dyDescent="0.25">
      <c r="A9386"/>
      <c r="B9386"/>
      <c r="D9386"/>
      <c r="G9386"/>
      <c r="L9386"/>
    </row>
    <row r="9387" spans="1:12" x14ac:dyDescent="0.25">
      <c r="A9387"/>
      <c r="B9387"/>
      <c r="D9387"/>
      <c r="G9387"/>
      <c r="L9387"/>
    </row>
    <row r="9388" spans="1:12" x14ac:dyDescent="0.25">
      <c r="A9388"/>
      <c r="B9388"/>
      <c r="D9388"/>
      <c r="G9388"/>
      <c r="L9388"/>
    </row>
    <row r="9389" spans="1:12" x14ac:dyDescent="0.25">
      <c r="A9389"/>
      <c r="B9389"/>
      <c r="D9389"/>
      <c r="G9389"/>
      <c r="L9389"/>
    </row>
    <row r="9390" spans="1:12" x14ac:dyDescent="0.25">
      <c r="A9390"/>
      <c r="B9390"/>
      <c r="D9390"/>
      <c r="G9390"/>
      <c r="L9390"/>
    </row>
    <row r="9391" spans="1:12" x14ac:dyDescent="0.25">
      <c r="A9391"/>
      <c r="B9391"/>
      <c r="D9391"/>
      <c r="G9391"/>
      <c r="L9391"/>
    </row>
    <row r="9392" spans="1:12" x14ac:dyDescent="0.25">
      <c r="A9392"/>
      <c r="B9392"/>
      <c r="D9392"/>
      <c r="G9392"/>
      <c r="L9392"/>
    </row>
    <row r="9393" spans="1:12" x14ac:dyDescent="0.25">
      <c r="A9393"/>
      <c r="B9393"/>
      <c r="D9393"/>
      <c r="G9393"/>
      <c r="L9393"/>
    </row>
    <row r="9394" spans="1:12" x14ac:dyDescent="0.25">
      <c r="A9394"/>
      <c r="B9394"/>
      <c r="D9394"/>
      <c r="G9394"/>
      <c r="L9394"/>
    </row>
    <row r="9395" spans="1:12" x14ac:dyDescent="0.25">
      <c r="A9395"/>
      <c r="B9395"/>
      <c r="D9395"/>
      <c r="G9395"/>
      <c r="L9395"/>
    </row>
    <row r="9396" spans="1:12" x14ac:dyDescent="0.25">
      <c r="A9396"/>
      <c r="B9396"/>
      <c r="D9396"/>
      <c r="G9396"/>
      <c r="L9396"/>
    </row>
    <row r="9397" spans="1:12" x14ac:dyDescent="0.25">
      <c r="A9397"/>
      <c r="B9397"/>
      <c r="D9397"/>
      <c r="G9397"/>
      <c r="L9397"/>
    </row>
    <row r="9398" spans="1:12" x14ac:dyDescent="0.25">
      <c r="A9398"/>
      <c r="B9398"/>
      <c r="D9398"/>
      <c r="G9398"/>
      <c r="L9398"/>
    </row>
    <row r="9399" spans="1:12" x14ac:dyDescent="0.25">
      <c r="A9399"/>
      <c r="B9399"/>
      <c r="D9399"/>
      <c r="G9399"/>
      <c r="L9399"/>
    </row>
    <row r="9400" spans="1:12" x14ac:dyDescent="0.25">
      <c r="A9400"/>
      <c r="B9400"/>
      <c r="D9400"/>
      <c r="G9400"/>
      <c r="L9400"/>
    </row>
    <row r="9401" spans="1:12" x14ac:dyDescent="0.25">
      <c r="A9401"/>
      <c r="B9401"/>
      <c r="D9401"/>
      <c r="G9401"/>
      <c r="L9401"/>
    </row>
    <row r="9402" spans="1:12" x14ac:dyDescent="0.25">
      <c r="A9402"/>
      <c r="B9402"/>
      <c r="D9402"/>
      <c r="G9402"/>
      <c r="L9402"/>
    </row>
    <row r="9403" spans="1:12" x14ac:dyDescent="0.25">
      <c r="A9403"/>
      <c r="B9403"/>
      <c r="D9403"/>
      <c r="G9403"/>
      <c r="L9403"/>
    </row>
    <row r="9404" spans="1:12" x14ac:dyDescent="0.25">
      <c r="A9404"/>
      <c r="B9404"/>
      <c r="D9404"/>
      <c r="G9404"/>
      <c r="L9404"/>
    </row>
    <row r="9405" spans="1:12" x14ac:dyDescent="0.25">
      <c r="A9405"/>
      <c r="B9405"/>
      <c r="D9405"/>
      <c r="G9405"/>
      <c r="L9405"/>
    </row>
    <row r="9406" spans="1:12" x14ac:dyDescent="0.25">
      <c r="A9406"/>
      <c r="B9406"/>
      <c r="D9406"/>
      <c r="G9406"/>
      <c r="L9406"/>
    </row>
    <row r="9407" spans="1:12" x14ac:dyDescent="0.25">
      <c r="A9407"/>
      <c r="B9407"/>
      <c r="D9407"/>
      <c r="G9407"/>
      <c r="L9407"/>
    </row>
    <row r="9408" spans="1:12" x14ac:dyDescent="0.25">
      <c r="A9408"/>
      <c r="B9408"/>
      <c r="D9408"/>
      <c r="G9408"/>
      <c r="L9408"/>
    </row>
    <row r="9409" spans="1:12" x14ac:dyDescent="0.25">
      <c r="A9409"/>
      <c r="B9409"/>
      <c r="D9409"/>
      <c r="G9409"/>
      <c r="L9409"/>
    </row>
    <row r="9410" spans="1:12" x14ac:dyDescent="0.25">
      <c r="A9410"/>
      <c r="B9410"/>
      <c r="D9410"/>
      <c r="G9410"/>
      <c r="L9410"/>
    </row>
    <row r="9411" spans="1:12" x14ac:dyDescent="0.25">
      <c r="A9411"/>
      <c r="B9411"/>
      <c r="D9411"/>
      <c r="G9411"/>
      <c r="L9411"/>
    </row>
    <row r="9412" spans="1:12" x14ac:dyDescent="0.25">
      <c r="A9412"/>
      <c r="B9412"/>
      <c r="D9412"/>
      <c r="G9412"/>
      <c r="L9412"/>
    </row>
    <row r="9413" spans="1:12" x14ac:dyDescent="0.25">
      <c r="A9413"/>
      <c r="B9413"/>
      <c r="D9413"/>
      <c r="G9413"/>
      <c r="L9413"/>
    </row>
    <row r="9414" spans="1:12" x14ac:dyDescent="0.25">
      <c r="A9414"/>
      <c r="B9414"/>
      <c r="D9414"/>
      <c r="G9414"/>
      <c r="L9414"/>
    </row>
    <row r="9415" spans="1:12" x14ac:dyDescent="0.25">
      <c r="A9415"/>
      <c r="B9415"/>
      <c r="D9415"/>
      <c r="G9415"/>
      <c r="L9415"/>
    </row>
    <row r="9416" spans="1:12" x14ac:dyDescent="0.25">
      <c r="A9416"/>
      <c r="B9416"/>
      <c r="D9416"/>
      <c r="G9416"/>
      <c r="L9416"/>
    </row>
    <row r="9417" spans="1:12" x14ac:dyDescent="0.25">
      <c r="A9417"/>
      <c r="B9417"/>
      <c r="D9417"/>
      <c r="G9417"/>
      <c r="L9417"/>
    </row>
    <row r="9418" spans="1:12" x14ac:dyDescent="0.25">
      <c r="A9418"/>
      <c r="B9418"/>
      <c r="D9418"/>
      <c r="G9418"/>
      <c r="L9418"/>
    </row>
    <row r="9419" spans="1:12" x14ac:dyDescent="0.25">
      <c r="A9419"/>
      <c r="B9419"/>
      <c r="D9419"/>
      <c r="G9419"/>
      <c r="L9419"/>
    </row>
    <row r="9420" spans="1:12" x14ac:dyDescent="0.25">
      <c r="A9420"/>
      <c r="B9420"/>
      <c r="D9420"/>
      <c r="G9420"/>
      <c r="L9420"/>
    </row>
    <row r="9421" spans="1:12" x14ac:dyDescent="0.25">
      <c r="A9421"/>
      <c r="B9421"/>
      <c r="D9421"/>
      <c r="G9421"/>
      <c r="L9421"/>
    </row>
    <row r="9422" spans="1:12" x14ac:dyDescent="0.25">
      <c r="A9422"/>
      <c r="B9422"/>
      <c r="D9422"/>
      <c r="G9422"/>
      <c r="L9422"/>
    </row>
    <row r="9423" spans="1:12" x14ac:dyDescent="0.25">
      <c r="A9423"/>
      <c r="B9423"/>
      <c r="D9423"/>
      <c r="G9423"/>
      <c r="L9423"/>
    </row>
    <row r="9424" spans="1:12" x14ac:dyDescent="0.25">
      <c r="A9424"/>
      <c r="B9424"/>
      <c r="D9424"/>
      <c r="G9424"/>
      <c r="L9424"/>
    </row>
    <row r="9425" spans="1:12" x14ac:dyDescent="0.25">
      <c r="A9425"/>
      <c r="B9425"/>
      <c r="D9425"/>
      <c r="G9425"/>
      <c r="L9425"/>
    </row>
    <row r="9426" spans="1:12" x14ac:dyDescent="0.25">
      <c r="A9426"/>
      <c r="B9426"/>
      <c r="D9426"/>
      <c r="G9426"/>
      <c r="L9426"/>
    </row>
    <row r="9427" spans="1:12" x14ac:dyDescent="0.25">
      <c r="A9427"/>
      <c r="B9427"/>
      <c r="D9427"/>
      <c r="G9427"/>
      <c r="L9427"/>
    </row>
    <row r="9428" spans="1:12" x14ac:dyDescent="0.25">
      <c r="A9428"/>
      <c r="B9428"/>
      <c r="D9428"/>
      <c r="G9428"/>
      <c r="L9428"/>
    </row>
    <row r="9429" spans="1:12" x14ac:dyDescent="0.25">
      <c r="A9429"/>
      <c r="B9429"/>
      <c r="D9429"/>
      <c r="G9429"/>
      <c r="L9429"/>
    </row>
    <row r="9430" spans="1:12" x14ac:dyDescent="0.25">
      <c r="A9430"/>
      <c r="B9430"/>
      <c r="D9430"/>
      <c r="G9430"/>
      <c r="L9430"/>
    </row>
    <row r="9431" spans="1:12" x14ac:dyDescent="0.25">
      <c r="A9431"/>
      <c r="B9431"/>
      <c r="D9431"/>
      <c r="G9431"/>
      <c r="L9431"/>
    </row>
    <row r="9432" spans="1:12" x14ac:dyDescent="0.25">
      <c r="A9432"/>
      <c r="B9432"/>
      <c r="D9432"/>
      <c r="G9432"/>
      <c r="L9432"/>
    </row>
    <row r="9433" spans="1:12" x14ac:dyDescent="0.25">
      <c r="A9433"/>
      <c r="B9433"/>
      <c r="D9433"/>
      <c r="G9433"/>
      <c r="L9433"/>
    </row>
    <row r="9434" spans="1:12" x14ac:dyDescent="0.25">
      <c r="A9434"/>
      <c r="B9434"/>
      <c r="D9434"/>
      <c r="G9434"/>
      <c r="L9434"/>
    </row>
    <row r="9435" spans="1:12" x14ac:dyDescent="0.25">
      <c r="A9435"/>
      <c r="B9435"/>
      <c r="D9435"/>
      <c r="G9435"/>
      <c r="L9435"/>
    </row>
    <row r="9436" spans="1:12" x14ac:dyDescent="0.25">
      <c r="A9436"/>
      <c r="B9436"/>
      <c r="D9436"/>
      <c r="G9436"/>
      <c r="L9436"/>
    </row>
    <row r="9437" spans="1:12" x14ac:dyDescent="0.25">
      <c r="A9437"/>
      <c r="B9437"/>
      <c r="D9437"/>
      <c r="G9437"/>
      <c r="L9437"/>
    </row>
    <row r="9438" spans="1:12" x14ac:dyDescent="0.25">
      <c r="A9438"/>
      <c r="B9438"/>
      <c r="D9438"/>
      <c r="G9438"/>
      <c r="L9438"/>
    </row>
    <row r="9439" spans="1:12" x14ac:dyDescent="0.25">
      <c r="A9439"/>
      <c r="B9439"/>
      <c r="D9439"/>
      <c r="G9439"/>
      <c r="L9439"/>
    </row>
    <row r="9440" spans="1:12" x14ac:dyDescent="0.25">
      <c r="A9440"/>
      <c r="B9440"/>
      <c r="D9440"/>
      <c r="G9440"/>
      <c r="L9440"/>
    </row>
    <row r="9441" spans="1:12" x14ac:dyDescent="0.25">
      <c r="A9441"/>
      <c r="B9441"/>
      <c r="D9441"/>
      <c r="G9441"/>
      <c r="L9441"/>
    </row>
    <row r="9442" spans="1:12" x14ac:dyDescent="0.25">
      <c r="A9442"/>
      <c r="B9442"/>
      <c r="D9442"/>
      <c r="G9442"/>
      <c r="L9442"/>
    </row>
    <row r="9443" spans="1:12" x14ac:dyDescent="0.25">
      <c r="A9443"/>
      <c r="B9443"/>
      <c r="D9443"/>
      <c r="G9443"/>
      <c r="L9443"/>
    </row>
    <row r="9444" spans="1:12" x14ac:dyDescent="0.25">
      <c r="A9444"/>
      <c r="B9444"/>
      <c r="D9444"/>
      <c r="G9444"/>
      <c r="L9444"/>
    </row>
    <row r="9445" spans="1:12" x14ac:dyDescent="0.25">
      <c r="A9445"/>
      <c r="B9445"/>
      <c r="D9445"/>
      <c r="G9445"/>
      <c r="L9445"/>
    </row>
    <row r="9446" spans="1:12" x14ac:dyDescent="0.25">
      <c r="A9446"/>
      <c r="B9446"/>
      <c r="D9446"/>
      <c r="G9446"/>
      <c r="L9446"/>
    </row>
    <row r="9447" spans="1:12" x14ac:dyDescent="0.25">
      <c r="A9447"/>
      <c r="B9447"/>
      <c r="D9447"/>
      <c r="G9447"/>
      <c r="L9447"/>
    </row>
    <row r="9448" spans="1:12" x14ac:dyDescent="0.25">
      <c r="A9448"/>
      <c r="B9448"/>
      <c r="D9448"/>
      <c r="G9448"/>
      <c r="L9448"/>
    </row>
    <row r="9449" spans="1:12" x14ac:dyDescent="0.25">
      <c r="A9449"/>
      <c r="B9449"/>
      <c r="D9449"/>
      <c r="G9449"/>
      <c r="L9449"/>
    </row>
    <row r="9450" spans="1:12" x14ac:dyDescent="0.25">
      <c r="A9450"/>
      <c r="B9450"/>
      <c r="D9450"/>
      <c r="G9450"/>
      <c r="L9450"/>
    </row>
    <row r="9451" spans="1:12" x14ac:dyDescent="0.25">
      <c r="A9451"/>
      <c r="B9451"/>
      <c r="D9451"/>
      <c r="G9451"/>
      <c r="L9451"/>
    </row>
    <row r="9452" spans="1:12" x14ac:dyDescent="0.25">
      <c r="A9452"/>
      <c r="B9452"/>
      <c r="D9452"/>
      <c r="G9452"/>
      <c r="L9452"/>
    </row>
    <row r="9453" spans="1:12" x14ac:dyDescent="0.25">
      <c r="A9453"/>
      <c r="B9453"/>
      <c r="D9453"/>
      <c r="G9453"/>
      <c r="L9453"/>
    </row>
    <row r="9454" spans="1:12" x14ac:dyDescent="0.25">
      <c r="A9454"/>
      <c r="B9454"/>
      <c r="D9454"/>
      <c r="G9454"/>
      <c r="L9454"/>
    </row>
    <row r="9455" spans="1:12" x14ac:dyDescent="0.25">
      <c r="A9455"/>
      <c r="B9455"/>
      <c r="D9455"/>
      <c r="G9455"/>
      <c r="L9455"/>
    </row>
    <row r="9456" spans="1:12" x14ac:dyDescent="0.25">
      <c r="A9456"/>
      <c r="B9456"/>
      <c r="D9456"/>
      <c r="G9456"/>
      <c r="L9456"/>
    </row>
    <row r="9457" spans="1:12" x14ac:dyDescent="0.25">
      <c r="A9457"/>
      <c r="B9457"/>
      <c r="D9457"/>
      <c r="G9457"/>
      <c r="L9457"/>
    </row>
    <row r="9458" spans="1:12" x14ac:dyDescent="0.25">
      <c r="A9458"/>
      <c r="B9458"/>
      <c r="D9458"/>
      <c r="G9458"/>
      <c r="L9458"/>
    </row>
    <row r="9459" spans="1:12" x14ac:dyDescent="0.25">
      <c r="A9459"/>
      <c r="B9459"/>
      <c r="D9459"/>
      <c r="G9459"/>
      <c r="L9459"/>
    </row>
    <row r="9460" spans="1:12" x14ac:dyDescent="0.25">
      <c r="A9460"/>
      <c r="B9460"/>
      <c r="D9460"/>
      <c r="G9460"/>
      <c r="L9460"/>
    </row>
    <row r="9461" spans="1:12" x14ac:dyDescent="0.25">
      <c r="A9461"/>
      <c r="B9461"/>
      <c r="D9461"/>
      <c r="G9461"/>
      <c r="L9461"/>
    </row>
    <row r="9462" spans="1:12" x14ac:dyDescent="0.25">
      <c r="A9462"/>
      <c r="B9462"/>
      <c r="D9462"/>
      <c r="G9462"/>
      <c r="L9462"/>
    </row>
    <row r="9463" spans="1:12" x14ac:dyDescent="0.25">
      <c r="A9463"/>
      <c r="B9463"/>
      <c r="D9463"/>
      <c r="G9463"/>
      <c r="L9463"/>
    </row>
    <row r="9464" spans="1:12" x14ac:dyDescent="0.25">
      <c r="A9464"/>
      <c r="B9464"/>
      <c r="D9464"/>
      <c r="G9464"/>
      <c r="L9464"/>
    </row>
    <row r="9465" spans="1:12" x14ac:dyDescent="0.25">
      <c r="A9465"/>
      <c r="B9465"/>
      <c r="D9465"/>
      <c r="G9465"/>
      <c r="L9465"/>
    </row>
    <row r="9466" spans="1:12" x14ac:dyDescent="0.25">
      <c r="A9466"/>
      <c r="B9466"/>
      <c r="D9466"/>
      <c r="G9466"/>
      <c r="L9466"/>
    </row>
    <row r="9467" spans="1:12" x14ac:dyDescent="0.25">
      <c r="A9467"/>
      <c r="B9467"/>
      <c r="D9467"/>
      <c r="G9467"/>
      <c r="L9467"/>
    </row>
    <row r="9468" spans="1:12" x14ac:dyDescent="0.25">
      <c r="A9468"/>
      <c r="B9468"/>
      <c r="D9468"/>
      <c r="G9468"/>
      <c r="L9468"/>
    </row>
    <row r="9469" spans="1:12" x14ac:dyDescent="0.25">
      <c r="A9469"/>
      <c r="B9469"/>
      <c r="D9469"/>
      <c r="G9469"/>
      <c r="L9469"/>
    </row>
    <row r="9470" spans="1:12" x14ac:dyDescent="0.25">
      <c r="A9470"/>
      <c r="B9470"/>
      <c r="D9470"/>
      <c r="G9470"/>
      <c r="L9470"/>
    </row>
    <row r="9471" spans="1:12" x14ac:dyDescent="0.25">
      <c r="A9471"/>
      <c r="B9471"/>
      <c r="D9471"/>
      <c r="G9471"/>
      <c r="L9471"/>
    </row>
    <row r="9472" spans="1:12" x14ac:dyDescent="0.25">
      <c r="A9472"/>
      <c r="B9472"/>
      <c r="D9472"/>
      <c r="G9472"/>
      <c r="L9472"/>
    </row>
    <row r="9473" spans="1:12" x14ac:dyDescent="0.25">
      <c r="A9473"/>
      <c r="B9473"/>
      <c r="D9473"/>
      <c r="G9473"/>
      <c r="L9473"/>
    </row>
    <row r="9474" spans="1:12" x14ac:dyDescent="0.25">
      <c r="A9474"/>
      <c r="B9474"/>
      <c r="D9474"/>
      <c r="G9474"/>
      <c r="L9474"/>
    </row>
    <row r="9475" spans="1:12" x14ac:dyDescent="0.25">
      <c r="A9475"/>
      <c r="B9475"/>
      <c r="D9475"/>
      <c r="G9475"/>
      <c r="L9475"/>
    </row>
    <row r="9476" spans="1:12" x14ac:dyDescent="0.25">
      <c r="A9476"/>
      <c r="B9476"/>
      <c r="D9476"/>
      <c r="G9476"/>
      <c r="L9476"/>
    </row>
    <row r="9477" spans="1:12" x14ac:dyDescent="0.25">
      <c r="A9477"/>
      <c r="B9477"/>
      <c r="D9477"/>
      <c r="G9477"/>
      <c r="L9477"/>
    </row>
    <row r="9478" spans="1:12" x14ac:dyDescent="0.25">
      <c r="A9478"/>
      <c r="B9478"/>
      <c r="D9478"/>
      <c r="G9478"/>
      <c r="L9478"/>
    </row>
    <row r="9479" spans="1:12" x14ac:dyDescent="0.25">
      <c r="A9479"/>
      <c r="B9479"/>
      <c r="D9479"/>
      <c r="G9479"/>
      <c r="L9479"/>
    </row>
    <row r="9480" spans="1:12" x14ac:dyDescent="0.25">
      <c r="A9480"/>
      <c r="B9480"/>
      <c r="D9480"/>
      <c r="G9480"/>
      <c r="L9480"/>
    </row>
    <row r="9481" spans="1:12" x14ac:dyDescent="0.25">
      <c r="A9481"/>
      <c r="B9481"/>
      <c r="D9481"/>
      <c r="G9481"/>
      <c r="L9481"/>
    </row>
    <row r="9482" spans="1:12" x14ac:dyDescent="0.25">
      <c r="A9482"/>
      <c r="B9482"/>
      <c r="D9482"/>
      <c r="G9482"/>
      <c r="L9482"/>
    </row>
    <row r="9483" spans="1:12" x14ac:dyDescent="0.25">
      <c r="A9483"/>
      <c r="B9483"/>
      <c r="D9483"/>
      <c r="G9483"/>
      <c r="L9483"/>
    </row>
    <row r="9484" spans="1:12" x14ac:dyDescent="0.25">
      <c r="A9484"/>
      <c r="B9484"/>
      <c r="D9484"/>
      <c r="G9484"/>
      <c r="L9484"/>
    </row>
    <row r="9485" spans="1:12" x14ac:dyDescent="0.25">
      <c r="A9485"/>
      <c r="B9485"/>
      <c r="D9485"/>
      <c r="G9485"/>
      <c r="L9485"/>
    </row>
    <row r="9486" spans="1:12" x14ac:dyDescent="0.25">
      <c r="A9486"/>
      <c r="B9486"/>
      <c r="D9486"/>
      <c r="G9486"/>
      <c r="L9486"/>
    </row>
    <row r="9487" spans="1:12" x14ac:dyDescent="0.25">
      <c r="A9487"/>
      <c r="B9487"/>
      <c r="D9487"/>
      <c r="G9487"/>
      <c r="L9487"/>
    </row>
    <row r="9488" spans="1:12" x14ac:dyDescent="0.25">
      <c r="A9488"/>
      <c r="B9488"/>
      <c r="D9488"/>
      <c r="G9488"/>
      <c r="L9488"/>
    </row>
    <row r="9489" spans="1:12" x14ac:dyDescent="0.25">
      <c r="A9489"/>
      <c r="B9489"/>
      <c r="D9489"/>
      <c r="G9489"/>
      <c r="L9489"/>
    </row>
    <row r="9490" spans="1:12" x14ac:dyDescent="0.25">
      <c r="A9490"/>
      <c r="B9490"/>
      <c r="D9490"/>
      <c r="G9490"/>
      <c r="L9490"/>
    </row>
    <row r="9491" spans="1:12" x14ac:dyDescent="0.25">
      <c r="A9491"/>
      <c r="B9491"/>
      <c r="D9491"/>
      <c r="G9491"/>
      <c r="L9491"/>
    </row>
    <row r="9492" spans="1:12" x14ac:dyDescent="0.25">
      <c r="A9492"/>
      <c r="B9492"/>
      <c r="D9492"/>
      <c r="G9492"/>
      <c r="L9492"/>
    </row>
    <row r="9493" spans="1:12" x14ac:dyDescent="0.25">
      <c r="A9493"/>
      <c r="B9493"/>
      <c r="D9493"/>
      <c r="G9493"/>
      <c r="L9493"/>
    </row>
    <row r="9494" spans="1:12" x14ac:dyDescent="0.25">
      <c r="A9494"/>
      <c r="B9494"/>
      <c r="D9494"/>
      <c r="G9494"/>
      <c r="L9494"/>
    </row>
    <row r="9495" spans="1:12" x14ac:dyDescent="0.25">
      <c r="A9495"/>
      <c r="B9495"/>
      <c r="D9495"/>
      <c r="G9495"/>
      <c r="L9495"/>
    </row>
    <row r="9496" spans="1:12" x14ac:dyDescent="0.25">
      <c r="A9496"/>
      <c r="B9496"/>
      <c r="D9496"/>
      <c r="G9496"/>
      <c r="L9496"/>
    </row>
    <row r="9497" spans="1:12" x14ac:dyDescent="0.25">
      <c r="A9497"/>
      <c r="B9497"/>
      <c r="D9497"/>
      <c r="G9497"/>
      <c r="L9497"/>
    </row>
    <row r="9498" spans="1:12" x14ac:dyDescent="0.25">
      <c r="A9498"/>
      <c r="B9498"/>
      <c r="D9498"/>
      <c r="G9498"/>
      <c r="L9498"/>
    </row>
    <row r="9499" spans="1:12" x14ac:dyDescent="0.25">
      <c r="A9499"/>
      <c r="B9499"/>
      <c r="D9499"/>
      <c r="G9499"/>
      <c r="L9499"/>
    </row>
    <row r="9500" spans="1:12" x14ac:dyDescent="0.25">
      <c r="A9500"/>
      <c r="B9500"/>
      <c r="D9500"/>
      <c r="G9500"/>
      <c r="L9500"/>
    </row>
    <row r="9501" spans="1:12" x14ac:dyDescent="0.25">
      <c r="A9501"/>
      <c r="B9501"/>
      <c r="D9501"/>
      <c r="G9501"/>
      <c r="L9501"/>
    </row>
    <row r="9502" spans="1:12" x14ac:dyDescent="0.25">
      <c r="A9502"/>
      <c r="B9502"/>
      <c r="D9502"/>
      <c r="G9502"/>
      <c r="L9502"/>
    </row>
    <row r="9503" spans="1:12" x14ac:dyDescent="0.25">
      <c r="A9503"/>
      <c r="B9503"/>
      <c r="D9503"/>
      <c r="G9503"/>
      <c r="L9503"/>
    </row>
    <row r="9504" spans="1:12" x14ac:dyDescent="0.25">
      <c r="A9504"/>
      <c r="B9504"/>
      <c r="D9504"/>
      <c r="G9504"/>
      <c r="L9504"/>
    </row>
    <row r="9505" spans="1:12" x14ac:dyDescent="0.25">
      <c r="A9505"/>
      <c r="B9505"/>
      <c r="D9505"/>
      <c r="G9505"/>
      <c r="L9505"/>
    </row>
    <row r="9506" spans="1:12" x14ac:dyDescent="0.25">
      <c r="A9506"/>
      <c r="B9506"/>
      <c r="D9506"/>
      <c r="G9506"/>
      <c r="L9506"/>
    </row>
    <row r="9507" spans="1:12" x14ac:dyDescent="0.25">
      <c r="A9507"/>
      <c r="B9507"/>
      <c r="D9507"/>
      <c r="G9507"/>
      <c r="L9507"/>
    </row>
    <row r="9508" spans="1:12" x14ac:dyDescent="0.25">
      <c r="A9508"/>
      <c r="B9508"/>
      <c r="D9508"/>
      <c r="G9508"/>
      <c r="L9508"/>
    </row>
    <row r="9509" spans="1:12" x14ac:dyDescent="0.25">
      <c r="A9509"/>
      <c r="B9509"/>
      <c r="D9509"/>
      <c r="G9509"/>
      <c r="L9509"/>
    </row>
    <row r="9510" spans="1:12" x14ac:dyDescent="0.25">
      <c r="A9510"/>
      <c r="B9510"/>
      <c r="D9510"/>
      <c r="G9510"/>
      <c r="L9510"/>
    </row>
    <row r="9511" spans="1:12" x14ac:dyDescent="0.25">
      <c r="A9511"/>
      <c r="B9511"/>
      <c r="D9511"/>
      <c r="G9511"/>
      <c r="L9511"/>
    </row>
    <row r="9512" spans="1:12" x14ac:dyDescent="0.25">
      <c r="A9512"/>
      <c r="B9512"/>
      <c r="D9512"/>
      <c r="G9512"/>
      <c r="L9512"/>
    </row>
    <row r="9513" spans="1:12" x14ac:dyDescent="0.25">
      <c r="A9513"/>
      <c r="B9513"/>
      <c r="D9513"/>
      <c r="G9513"/>
      <c r="L9513"/>
    </row>
    <row r="9514" spans="1:12" x14ac:dyDescent="0.25">
      <c r="A9514"/>
      <c r="B9514"/>
      <c r="D9514"/>
      <c r="G9514"/>
      <c r="L9514"/>
    </row>
    <row r="9515" spans="1:12" x14ac:dyDescent="0.25">
      <c r="A9515"/>
      <c r="B9515"/>
      <c r="D9515"/>
      <c r="G9515"/>
      <c r="L9515"/>
    </row>
    <row r="9516" spans="1:12" x14ac:dyDescent="0.25">
      <c r="A9516"/>
      <c r="B9516"/>
      <c r="D9516"/>
      <c r="G9516"/>
      <c r="L9516"/>
    </row>
    <row r="9517" spans="1:12" x14ac:dyDescent="0.25">
      <c r="A9517"/>
      <c r="B9517"/>
      <c r="D9517"/>
      <c r="G9517"/>
      <c r="L9517"/>
    </row>
    <row r="9518" spans="1:12" x14ac:dyDescent="0.25">
      <c r="A9518"/>
      <c r="B9518"/>
      <c r="D9518"/>
      <c r="G9518"/>
      <c r="L9518"/>
    </row>
    <row r="9519" spans="1:12" x14ac:dyDescent="0.25">
      <c r="A9519"/>
      <c r="B9519"/>
      <c r="D9519"/>
      <c r="G9519"/>
      <c r="L9519"/>
    </row>
    <row r="9520" spans="1:12" x14ac:dyDescent="0.25">
      <c r="A9520"/>
      <c r="B9520"/>
      <c r="D9520"/>
      <c r="G9520"/>
      <c r="L9520"/>
    </row>
    <row r="9521" spans="1:12" x14ac:dyDescent="0.25">
      <c r="A9521"/>
      <c r="B9521"/>
      <c r="D9521"/>
      <c r="G9521"/>
      <c r="L9521"/>
    </row>
    <row r="9522" spans="1:12" x14ac:dyDescent="0.25">
      <c r="A9522"/>
      <c r="B9522"/>
      <c r="D9522"/>
      <c r="G9522"/>
      <c r="L9522"/>
    </row>
    <row r="9523" spans="1:12" x14ac:dyDescent="0.25">
      <c r="A9523"/>
      <c r="B9523"/>
      <c r="D9523"/>
      <c r="G9523"/>
      <c r="L9523"/>
    </row>
    <row r="9524" spans="1:12" x14ac:dyDescent="0.25">
      <c r="A9524"/>
      <c r="B9524"/>
      <c r="D9524"/>
      <c r="G9524"/>
      <c r="L9524"/>
    </row>
    <row r="9525" spans="1:12" x14ac:dyDescent="0.25">
      <c r="A9525"/>
      <c r="B9525"/>
      <c r="D9525"/>
      <c r="G9525"/>
      <c r="L9525"/>
    </row>
    <row r="9526" spans="1:12" x14ac:dyDescent="0.25">
      <c r="A9526"/>
      <c r="B9526"/>
      <c r="D9526"/>
      <c r="G9526"/>
      <c r="L9526"/>
    </row>
    <row r="9527" spans="1:12" x14ac:dyDescent="0.25">
      <c r="A9527"/>
      <c r="B9527"/>
      <c r="D9527"/>
      <c r="G9527"/>
      <c r="L9527"/>
    </row>
    <row r="9528" spans="1:12" x14ac:dyDescent="0.25">
      <c r="A9528"/>
      <c r="B9528"/>
      <c r="D9528"/>
      <c r="G9528"/>
      <c r="L9528"/>
    </row>
    <row r="9529" spans="1:12" x14ac:dyDescent="0.25">
      <c r="A9529"/>
      <c r="B9529"/>
      <c r="D9529"/>
      <c r="G9529"/>
      <c r="L9529"/>
    </row>
    <row r="9530" spans="1:12" x14ac:dyDescent="0.25">
      <c r="A9530"/>
      <c r="B9530"/>
      <c r="D9530"/>
      <c r="G9530"/>
      <c r="L9530"/>
    </row>
    <row r="9531" spans="1:12" x14ac:dyDescent="0.25">
      <c r="A9531"/>
      <c r="B9531"/>
      <c r="D9531"/>
      <c r="G9531"/>
      <c r="L9531"/>
    </row>
    <row r="9532" spans="1:12" x14ac:dyDescent="0.25">
      <c r="A9532"/>
      <c r="B9532"/>
      <c r="D9532"/>
      <c r="G9532"/>
      <c r="L9532"/>
    </row>
    <row r="9533" spans="1:12" x14ac:dyDescent="0.25">
      <c r="A9533"/>
      <c r="B9533"/>
      <c r="D9533"/>
      <c r="G9533"/>
      <c r="L9533"/>
    </row>
    <row r="9534" spans="1:12" x14ac:dyDescent="0.25">
      <c r="A9534"/>
      <c r="B9534"/>
      <c r="D9534"/>
      <c r="G9534"/>
      <c r="L9534"/>
    </row>
    <row r="9535" spans="1:12" x14ac:dyDescent="0.25">
      <c r="A9535"/>
      <c r="B9535"/>
      <c r="D9535"/>
      <c r="G9535"/>
      <c r="L9535"/>
    </row>
    <row r="9536" spans="1:12" x14ac:dyDescent="0.25">
      <c r="A9536"/>
      <c r="B9536"/>
      <c r="D9536"/>
      <c r="G9536"/>
      <c r="L9536"/>
    </row>
    <row r="9537" spans="1:12" x14ac:dyDescent="0.25">
      <c r="A9537"/>
      <c r="B9537"/>
      <c r="D9537"/>
      <c r="G9537"/>
      <c r="L9537"/>
    </row>
    <row r="9538" spans="1:12" x14ac:dyDescent="0.25">
      <c r="A9538"/>
      <c r="B9538"/>
      <c r="D9538"/>
      <c r="G9538"/>
      <c r="L9538"/>
    </row>
    <row r="9539" spans="1:12" x14ac:dyDescent="0.25">
      <c r="A9539"/>
      <c r="B9539"/>
      <c r="D9539"/>
      <c r="G9539"/>
      <c r="L9539"/>
    </row>
    <row r="9540" spans="1:12" x14ac:dyDescent="0.25">
      <c r="A9540"/>
      <c r="B9540"/>
      <c r="D9540"/>
      <c r="G9540"/>
      <c r="L9540"/>
    </row>
    <row r="9541" spans="1:12" x14ac:dyDescent="0.25">
      <c r="A9541"/>
      <c r="B9541"/>
      <c r="D9541"/>
      <c r="G9541"/>
      <c r="L9541"/>
    </row>
    <row r="9542" spans="1:12" x14ac:dyDescent="0.25">
      <c r="A9542"/>
      <c r="B9542"/>
      <c r="D9542"/>
      <c r="G9542"/>
      <c r="L9542"/>
    </row>
    <row r="9543" spans="1:12" x14ac:dyDescent="0.25">
      <c r="A9543"/>
      <c r="B9543"/>
      <c r="D9543"/>
      <c r="G9543"/>
      <c r="L9543"/>
    </row>
    <row r="9544" spans="1:12" x14ac:dyDescent="0.25">
      <c r="A9544"/>
      <c r="B9544"/>
      <c r="D9544"/>
      <c r="G9544"/>
      <c r="L9544"/>
    </row>
    <row r="9545" spans="1:12" x14ac:dyDescent="0.25">
      <c r="A9545"/>
      <c r="B9545"/>
      <c r="D9545"/>
      <c r="G9545"/>
      <c r="L9545"/>
    </row>
    <row r="9546" spans="1:12" x14ac:dyDescent="0.25">
      <c r="A9546"/>
      <c r="B9546"/>
      <c r="D9546"/>
      <c r="G9546"/>
      <c r="L9546"/>
    </row>
    <row r="9547" spans="1:12" x14ac:dyDescent="0.25">
      <c r="A9547"/>
      <c r="B9547"/>
      <c r="D9547"/>
      <c r="G9547"/>
      <c r="L9547"/>
    </row>
    <row r="9548" spans="1:12" x14ac:dyDescent="0.25">
      <c r="A9548"/>
      <c r="B9548"/>
      <c r="D9548"/>
      <c r="G9548"/>
      <c r="L9548"/>
    </row>
    <row r="9549" spans="1:12" x14ac:dyDescent="0.25">
      <c r="A9549"/>
      <c r="B9549"/>
      <c r="D9549"/>
      <c r="G9549"/>
      <c r="L9549"/>
    </row>
    <row r="9550" spans="1:12" x14ac:dyDescent="0.25">
      <c r="A9550"/>
      <c r="B9550"/>
      <c r="D9550"/>
      <c r="G9550"/>
      <c r="L9550"/>
    </row>
    <row r="9551" spans="1:12" x14ac:dyDescent="0.25">
      <c r="A9551"/>
      <c r="B9551"/>
      <c r="D9551"/>
      <c r="G9551"/>
      <c r="L9551"/>
    </row>
    <row r="9552" spans="1:12" x14ac:dyDescent="0.25">
      <c r="A9552"/>
      <c r="B9552"/>
      <c r="D9552"/>
      <c r="G9552"/>
      <c r="L9552"/>
    </row>
    <row r="9553" spans="1:12" x14ac:dyDescent="0.25">
      <c r="A9553"/>
      <c r="B9553"/>
      <c r="D9553"/>
      <c r="G9553"/>
      <c r="L9553"/>
    </row>
    <row r="9554" spans="1:12" x14ac:dyDescent="0.25">
      <c r="A9554"/>
      <c r="B9554"/>
      <c r="D9554"/>
      <c r="G9554"/>
      <c r="L9554"/>
    </row>
    <row r="9555" spans="1:12" x14ac:dyDescent="0.25">
      <c r="A9555"/>
      <c r="B9555"/>
      <c r="D9555"/>
      <c r="G9555"/>
      <c r="L9555"/>
    </row>
    <row r="9556" spans="1:12" x14ac:dyDescent="0.25">
      <c r="A9556"/>
      <c r="B9556"/>
      <c r="D9556"/>
      <c r="G9556"/>
      <c r="L9556"/>
    </row>
    <row r="9557" spans="1:12" x14ac:dyDescent="0.25">
      <c r="A9557"/>
      <c r="B9557"/>
      <c r="D9557"/>
      <c r="G9557"/>
      <c r="L9557"/>
    </row>
    <row r="9558" spans="1:12" x14ac:dyDescent="0.25">
      <c r="A9558"/>
      <c r="B9558"/>
      <c r="D9558"/>
      <c r="G9558"/>
      <c r="L9558"/>
    </row>
    <row r="9559" spans="1:12" x14ac:dyDescent="0.25">
      <c r="A9559"/>
      <c r="B9559"/>
      <c r="D9559"/>
      <c r="G9559"/>
      <c r="L9559"/>
    </row>
    <row r="9560" spans="1:12" x14ac:dyDescent="0.25">
      <c r="A9560"/>
      <c r="B9560"/>
      <c r="D9560"/>
      <c r="G9560"/>
      <c r="L9560"/>
    </row>
    <row r="9561" spans="1:12" x14ac:dyDescent="0.25">
      <c r="A9561"/>
      <c r="B9561"/>
      <c r="D9561"/>
      <c r="G9561"/>
      <c r="L9561"/>
    </row>
    <row r="9562" spans="1:12" x14ac:dyDescent="0.25">
      <c r="A9562"/>
      <c r="B9562"/>
      <c r="D9562"/>
      <c r="G9562"/>
      <c r="L9562"/>
    </row>
    <row r="9563" spans="1:12" x14ac:dyDescent="0.25">
      <c r="A9563"/>
      <c r="B9563"/>
      <c r="D9563"/>
      <c r="G9563"/>
      <c r="L9563"/>
    </row>
    <row r="9564" spans="1:12" x14ac:dyDescent="0.25">
      <c r="A9564"/>
      <c r="B9564"/>
      <c r="D9564"/>
      <c r="G9564"/>
      <c r="L9564"/>
    </row>
    <row r="9565" spans="1:12" x14ac:dyDescent="0.25">
      <c r="A9565"/>
      <c r="B9565"/>
      <c r="D9565"/>
      <c r="G9565"/>
      <c r="L9565"/>
    </row>
    <row r="9566" spans="1:12" x14ac:dyDescent="0.25">
      <c r="A9566"/>
      <c r="B9566"/>
      <c r="D9566"/>
      <c r="G9566"/>
      <c r="L9566"/>
    </row>
    <row r="9567" spans="1:12" x14ac:dyDescent="0.25">
      <c r="A9567"/>
      <c r="B9567"/>
      <c r="D9567"/>
      <c r="G9567"/>
      <c r="L9567"/>
    </row>
    <row r="9568" spans="1:12" x14ac:dyDescent="0.25">
      <c r="A9568"/>
      <c r="B9568"/>
      <c r="D9568"/>
      <c r="G9568"/>
      <c r="L9568"/>
    </row>
    <row r="9569" spans="1:12" x14ac:dyDescent="0.25">
      <c r="A9569"/>
      <c r="B9569"/>
      <c r="D9569"/>
      <c r="G9569"/>
      <c r="L9569"/>
    </row>
    <row r="9570" spans="1:12" x14ac:dyDescent="0.25">
      <c r="A9570"/>
      <c r="B9570"/>
      <c r="D9570"/>
      <c r="G9570"/>
      <c r="L9570"/>
    </row>
    <row r="9571" spans="1:12" x14ac:dyDescent="0.25">
      <c r="A9571"/>
      <c r="B9571"/>
      <c r="D9571"/>
      <c r="G9571"/>
      <c r="L9571"/>
    </row>
    <row r="9572" spans="1:12" x14ac:dyDescent="0.25">
      <c r="A9572"/>
      <c r="B9572"/>
      <c r="D9572"/>
      <c r="G9572"/>
      <c r="L9572"/>
    </row>
    <row r="9573" spans="1:12" x14ac:dyDescent="0.25">
      <c r="A9573"/>
      <c r="B9573"/>
      <c r="D9573"/>
      <c r="G9573"/>
      <c r="L9573"/>
    </row>
    <row r="9574" spans="1:12" x14ac:dyDescent="0.25">
      <c r="A9574"/>
      <c r="B9574"/>
      <c r="D9574"/>
      <c r="G9574"/>
      <c r="L9574"/>
    </row>
    <row r="9575" spans="1:12" x14ac:dyDescent="0.25">
      <c r="A9575"/>
      <c r="B9575"/>
      <c r="D9575"/>
      <c r="G9575"/>
      <c r="L9575"/>
    </row>
    <row r="9576" spans="1:12" x14ac:dyDescent="0.25">
      <c r="A9576"/>
      <c r="B9576"/>
      <c r="D9576"/>
      <c r="G9576"/>
      <c r="L9576"/>
    </row>
    <row r="9577" spans="1:12" x14ac:dyDescent="0.25">
      <c r="A9577"/>
      <c r="B9577"/>
      <c r="D9577"/>
      <c r="G9577"/>
      <c r="L9577"/>
    </row>
    <row r="9578" spans="1:12" x14ac:dyDescent="0.25">
      <c r="A9578"/>
      <c r="B9578"/>
      <c r="D9578"/>
      <c r="G9578"/>
      <c r="L9578"/>
    </row>
    <row r="9579" spans="1:12" x14ac:dyDescent="0.25">
      <c r="A9579"/>
      <c r="B9579"/>
      <c r="D9579"/>
      <c r="G9579"/>
      <c r="L9579"/>
    </row>
    <row r="9580" spans="1:12" x14ac:dyDescent="0.25">
      <c r="A9580"/>
      <c r="B9580"/>
      <c r="D9580"/>
      <c r="G9580"/>
      <c r="L9580"/>
    </row>
    <row r="9581" spans="1:12" x14ac:dyDescent="0.25">
      <c r="A9581"/>
      <c r="B9581"/>
      <c r="D9581"/>
      <c r="G9581"/>
      <c r="L9581"/>
    </row>
    <row r="9582" spans="1:12" x14ac:dyDescent="0.25">
      <c r="A9582"/>
      <c r="B9582"/>
      <c r="D9582"/>
      <c r="G9582"/>
      <c r="L9582"/>
    </row>
    <row r="9583" spans="1:12" x14ac:dyDescent="0.25">
      <c r="A9583"/>
      <c r="B9583"/>
      <c r="D9583"/>
      <c r="G9583"/>
      <c r="L9583"/>
    </row>
    <row r="9584" spans="1:12" x14ac:dyDescent="0.25">
      <c r="A9584"/>
      <c r="B9584"/>
      <c r="D9584"/>
      <c r="G9584"/>
      <c r="L9584"/>
    </row>
    <row r="9585" spans="1:12" x14ac:dyDescent="0.25">
      <c r="A9585"/>
      <c r="B9585"/>
      <c r="D9585"/>
      <c r="G9585"/>
      <c r="L9585"/>
    </row>
    <row r="9586" spans="1:12" x14ac:dyDescent="0.25">
      <c r="A9586"/>
      <c r="B9586"/>
      <c r="D9586"/>
      <c r="G9586"/>
      <c r="L9586"/>
    </row>
    <row r="9587" spans="1:12" x14ac:dyDescent="0.25">
      <c r="A9587"/>
      <c r="B9587"/>
      <c r="D9587"/>
      <c r="G9587"/>
      <c r="L9587"/>
    </row>
    <row r="9588" spans="1:12" x14ac:dyDescent="0.25">
      <c r="A9588"/>
      <c r="B9588"/>
      <c r="D9588"/>
      <c r="G9588"/>
      <c r="L9588"/>
    </row>
    <row r="9589" spans="1:12" x14ac:dyDescent="0.25">
      <c r="A9589"/>
      <c r="B9589"/>
      <c r="D9589"/>
      <c r="G9589"/>
      <c r="L9589"/>
    </row>
    <row r="9590" spans="1:12" x14ac:dyDescent="0.25">
      <c r="A9590"/>
      <c r="B9590"/>
      <c r="D9590"/>
      <c r="G9590"/>
      <c r="L9590"/>
    </row>
    <row r="9591" spans="1:12" x14ac:dyDescent="0.25">
      <c r="A9591"/>
      <c r="B9591"/>
      <c r="D9591"/>
      <c r="G9591"/>
      <c r="L9591"/>
    </row>
    <row r="9592" spans="1:12" x14ac:dyDescent="0.25">
      <c r="A9592"/>
      <c r="B9592"/>
      <c r="D9592"/>
      <c r="G9592"/>
      <c r="L9592"/>
    </row>
    <row r="9593" spans="1:12" x14ac:dyDescent="0.25">
      <c r="A9593"/>
      <c r="B9593"/>
      <c r="D9593"/>
      <c r="G9593"/>
      <c r="L9593"/>
    </row>
    <row r="9594" spans="1:12" x14ac:dyDescent="0.25">
      <c r="A9594"/>
      <c r="B9594"/>
      <c r="D9594"/>
      <c r="G9594"/>
      <c r="L9594"/>
    </row>
    <row r="9595" spans="1:12" x14ac:dyDescent="0.25">
      <c r="A9595"/>
      <c r="B9595"/>
      <c r="D9595"/>
      <c r="G9595"/>
      <c r="L9595"/>
    </row>
    <row r="9596" spans="1:12" x14ac:dyDescent="0.25">
      <c r="A9596"/>
      <c r="B9596"/>
      <c r="D9596"/>
      <c r="G9596"/>
      <c r="L9596"/>
    </row>
    <row r="9597" spans="1:12" x14ac:dyDescent="0.25">
      <c r="A9597"/>
      <c r="B9597"/>
      <c r="D9597"/>
      <c r="G9597"/>
      <c r="L9597"/>
    </row>
    <row r="9598" spans="1:12" x14ac:dyDescent="0.25">
      <c r="A9598"/>
      <c r="B9598"/>
      <c r="D9598"/>
      <c r="G9598"/>
      <c r="L9598"/>
    </row>
    <row r="9599" spans="1:12" x14ac:dyDescent="0.25">
      <c r="A9599"/>
      <c r="B9599"/>
      <c r="D9599"/>
      <c r="G9599"/>
      <c r="L9599"/>
    </row>
    <row r="9600" spans="1:12" x14ac:dyDescent="0.25">
      <c r="A9600"/>
      <c r="B9600"/>
      <c r="D9600"/>
      <c r="G9600"/>
      <c r="L9600"/>
    </row>
    <row r="9601" spans="1:12" x14ac:dyDescent="0.25">
      <c r="A9601"/>
      <c r="B9601"/>
      <c r="D9601"/>
      <c r="G9601"/>
      <c r="L9601"/>
    </row>
    <row r="9602" spans="1:12" x14ac:dyDescent="0.25">
      <c r="A9602"/>
      <c r="B9602"/>
      <c r="D9602"/>
      <c r="G9602"/>
      <c r="L9602"/>
    </row>
    <row r="9603" spans="1:12" x14ac:dyDescent="0.25">
      <c r="A9603"/>
      <c r="B9603"/>
      <c r="D9603"/>
      <c r="G9603"/>
      <c r="L9603"/>
    </row>
    <row r="9604" spans="1:12" x14ac:dyDescent="0.25">
      <c r="A9604"/>
      <c r="B9604"/>
      <c r="D9604"/>
      <c r="G9604"/>
      <c r="L9604"/>
    </row>
    <row r="9605" spans="1:12" x14ac:dyDescent="0.25">
      <c r="A9605"/>
      <c r="B9605"/>
      <c r="D9605"/>
      <c r="G9605"/>
      <c r="L9605"/>
    </row>
    <row r="9606" spans="1:12" x14ac:dyDescent="0.25">
      <c r="A9606"/>
      <c r="B9606"/>
      <c r="D9606"/>
      <c r="G9606"/>
      <c r="L9606"/>
    </row>
    <row r="9607" spans="1:12" x14ac:dyDescent="0.25">
      <c r="A9607"/>
      <c r="B9607"/>
      <c r="D9607"/>
      <c r="G9607"/>
      <c r="L9607"/>
    </row>
    <row r="9608" spans="1:12" x14ac:dyDescent="0.25">
      <c r="A9608"/>
      <c r="B9608"/>
      <c r="D9608"/>
      <c r="G9608"/>
      <c r="L9608"/>
    </row>
    <row r="9609" spans="1:12" x14ac:dyDescent="0.25">
      <c r="A9609"/>
      <c r="B9609"/>
      <c r="D9609"/>
      <c r="G9609"/>
      <c r="L9609"/>
    </row>
    <row r="9610" spans="1:12" x14ac:dyDescent="0.25">
      <c r="A9610"/>
      <c r="B9610"/>
      <c r="D9610"/>
      <c r="G9610"/>
      <c r="L9610"/>
    </row>
    <row r="9611" spans="1:12" x14ac:dyDescent="0.25">
      <c r="A9611"/>
      <c r="B9611"/>
      <c r="D9611"/>
      <c r="G9611"/>
      <c r="L9611"/>
    </row>
    <row r="9612" spans="1:12" x14ac:dyDescent="0.25">
      <c r="A9612"/>
      <c r="B9612"/>
      <c r="D9612"/>
      <c r="G9612"/>
      <c r="L9612"/>
    </row>
    <row r="9613" spans="1:12" x14ac:dyDescent="0.25">
      <c r="A9613"/>
      <c r="B9613"/>
      <c r="D9613"/>
      <c r="G9613"/>
      <c r="L9613"/>
    </row>
    <row r="9614" spans="1:12" x14ac:dyDescent="0.25">
      <c r="A9614"/>
      <c r="B9614"/>
      <c r="D9614"/>
      <c r="G9614"/>
      <c r="L9614"/>
    </row>
    <row r="9615" spans="1:12" x14ac:dyDescent="0.25">
      <c r="A9615"/>
      <c r="B9615"/>
      <c r="D9615"/>
      <c r="G9615"/>
      <c r="L9615"/>
    </row>
    <row r="9616" spans="1:12" x14ac:dyDescent="0.25">
      <c r="A9616"/>
      <c r="B9616"/>
      <c r="D9616"/>
      <c r="G9616"/>
      <c r="L9616"/>
    </row>
    <row r="9617" spans="1:12" x14ac:dyDescent="0.25">
      <c r="A9617"/>
      <c r="B9617"/>
      <c r="D9617"/>
      <c r="G9617"/>
      <c r="L9617"/>
    </row>
    <row r="9618" spans="1:12" x14ac:dyDescent="0.25">
      <c r="A9618"/>
      <c r="B9618"/>
      <c r="D9618"/>
      <c r="G9618"/>
      <c r="L9618"/>
    </row>
    <row r="9619" spans="1:12" x14ac:dyDescent="0.25">
      <c r="A9619"/>
      <c r="B9619"/>
      <c r="D9619"/>
      <c r="G9619"/>
      <c r="L9619"/>
    </row>
    <row r="9620" spans="1:12" x14ac:dyDescent="0.25">
      <c r="A9620"/>
      <c r="B9620"/>
      <c r="D9620"/>
      <c r="G9620"/>
      <c r="L9620"/>
    </row>
    <row r="9621" spans="1:12" x14ac:dyDescent="0.25">
      <c r="A9621"/>
      <c r="B9621"/>
      <c r="D9621"/>
      <c r="G9621"/>
      <c r="L9621"/>
    </row>
    <row r="9622" spans="1:12" x14ac:dyDescent="0.25">
      <c r="A9622"/>
      <c r="B9622"/>
      <c r="D9622"/>
      <c r="G9622"/>
      <c r="L9622"/>
    </row>
    <row r="9623" spans="1:12" x14ac:dyDescent="0.25">
      <c r="A9623"/>
      <c r="B9623"/>
      <c r="D9623"/>
      <c r="G9623"/>
      <c r="L9623"/>
    </row>
    <row r="9624" spans="1:12" x14ac:dyDescent="0.25">
      <c r="A9624"/>
      <c r="B9624"/>
      <c r="D9624"/>
      <c r="G9624"/>
      <c r="L9624"/>
    </row>
    <row r="9625" spans="1:12" x14ac:dyDescent="0.25">
      <c r="A9625"/>
      <c r="B9625"/>
      <c r="D9625"/>
      <c r="G9625"/>
      <c r="L9625"/>
    </row>
    <row r="9626" spans="1:12" x14ac:dyDescent="0.25">
      <c r="A9626"/>
      <c r="B9626"/>
      <c r="D9626"/>
      <c r="G9626"/>
      <c r="L9626"/>
    </row>
    <row r="9627" spans="1:12" x14ac:dyDescent="0.25">
      <c r="A9627"/>
      <c r="B9627"/>
      <c r="D9627"/>
      <c r="G9627"/>
      <c r="L9627"/>
    </row>
    <row r="9628" spans="1:12" x14ac:dyDescent="0.25">
      <c r="A9628"/>
      <c r="B9628"/>
      <c r="D9628"/>
      <c r="G9628"/>
      <c r="L9628"/>
    </row>
    <row r="9629" spans="1:12" x14ac:dyDescent="0.25">
      <c r="A9629"/>
      <c r="B9629"/>
      <c r="D9629"/>
      <c r="G9629"/>
      <c r="L9629"/>
    </row>
    <row r="9630" spans="1:12" x14ac:dyDescent="0.25">
      <c r="A9630"/>
      <c r="B9630"/>
      <c r="D9630"/>
      <c r="G9630"/>
      <c r="L9630"/>
    </row>
    <row r="9631" spans="1:12" x14ac:dyDescent="0.25">
      <c r="A9631"/>
      <c r="B9631"/>
      <c r="D9631"/>
      <c r="G9631"/>
      <c r="L9631"/>
    </row>
    <row r="9632" spans="1:12" x14ac:dyDescent="0.25">
      <c r="A9632"/>
      <c r="B9632"/>
      <c r="D9632"/>
      <c r="G9632"/>
      <c r="L9632"/>
    </row>
    <row r="9633" spans="1:12" x14ac:dyDescent="0.25">
      <c r="A9633"/>
      <c r="B9633"/>
      <c r="D9633"/>
      <c r="G9633"/>
      <c r="L9633"/>
    </row>
    <row r="9634" spans="1:12" x14ac:dyDescent="0.25">
      <c r="A9634"/>
      <c r="B9634"/>
      <c r="D9634"/>
      <c r="G9634"/>
      <c r="L9634"/>
    </row>
    <row r="9635" spans="1:12" x14ac:dyDescent="0.25">
      <c r="A9635"/>
      <c r="B9635"/>
      <c r="D9635"/>
      <c r="G9635"/>
      <c r="L9635"/>
    </row>
    <row r="9636" spans="1:12" x14ac:dyDescent="0.25">
      <c r="A9636"/>
      <c r="B9636"/>
      <c r="D9636"/>
      <c r="G9636"/>
      <c r="L9636"/>
    </row>
    <row r="9637" spans="1:12" x14ac:dyDescent="0.25">
      <c r="A9637"/>
      <c r="B9637"/>
      <c r="D9637"/>
      <c r="G9637"/>
      <c r="L9637"/>
    </row>
    <row r="9638" spans="1:12" x14ac:dyDescent="0.25">
      <c r="A9638"/>
      <c r="B9638"/>
      <c r="D9638"/>
      <c r="G9638"/>
      <c r="L9638"/>
    </row>
    <row r="9639" spans="1:12" x14ac:dyDescent="0.25">
      <c r="A9639"/>
      <c r="B9639"/>
      <c r="D9639"/>
      <c r="G9639"/>
      <c r="L9639"/>
    </row>
    <row r="9640" spans="1:12" x14ac:dyDescent="0.25">
      <c r="A9640"/>
      <c r="B9640"/>
      <c r="D9640"/>
      <c r="G9640"/>
      <c r="L9640"/>
    </row>
    <row r="9641" spans="1:12" x14ac:dyDescent="0.25">
      <c r="A9641"/>
      <c r="B9641"/>
      <c r="D9641"/>
      <c r="G9641"/>
      <c r="L9641"/>
    </row>
    <row r="9642" spans="1:12" x14ac:dyDescent="0.25">
      <c r="A9642"/>
      <c r="B9642"/>
      <c r="D9642"/>
      <c r="G9642"/>
      <c r="L9642"/>
    </row>
    <row r="9643" spans="1:12" x14ac:dyDescent="0.25">
      <c r="A9643"/>
      <c r="B9643"/>
      <c r="D9643"/>
      <c r="G9643"/>
      <c r="L9643"/>
    </row>
    <row r="9644" spans="1:12" x14ac:dyDescent="0.25">
      <c r="A9644"/>
      <c r="B9644"/>
      <c r="D9644"/>
      <c r="G9644"/>
      <c r="L9644"/>
    </row>
    <row r="9645" spans="1:12" x14ac:dyDescent="0.25">
      <c r="A9645"/>
      <c r="B9645"/>
      <c r="D9645"/>
      <c r="G9645"/>
      <c r="L9645"/>
    </row>
    <row r="9646" spans="1:12" x14ac:dyDescent="0.25">
      <c r="A9646"/>
      <c r="B9646"/>
      <c r="D9646"/>
      <c r="G9646"/>
      <c r="L9646"/>
    </row>
    <row r="9647" spans="1:12" x14ac:dyDescent="0.25">
      <c r="A9647"/>
      <c r="B9647"/>
      <c r="D9647"/>
      <c r="G9647"/>
      <c r="L9647"/>
    </row>
    <row r="9648" spans="1:12" x14ac:dyDescent="0.25">
      <c r="A9648"/>
      <c r="B9648"/>
      <c r="D9648"/>
      <c r="G9648"/>
      <c r="L9648"/>
    </row>
    <row r="9649" spans="1:12" x14ac:dyDescent="0.25">
      <c r="A9649"/>
      <c r="B9649"/>
      <c r="D9649"/>
      <c r="G9649"/>
      <c r="L9649"/>
    </row>
    <row r="9650" spans="1:12" x14ac:dyDescent="0.25">
      <c r="A9650"/>
      <c r="B9650"/>
      <c r="D9650"/>
      <c r="G9650"/>
      <c r="L9650"/>
    </row>
    <row r="9651" spans="1:12" x14ac:dyDescent="0.25">
      <c r="A9651"/>
      <c r="B9651"/>
      <c r="D9651"/>
      <c r="G9651"/>
      <c r="L9651"/>
    </row>
    <row r="9652" spans="1:12" x14ac:dyDescent="0.25">
      <c r="A9652"/>
      <c r="B9652"/>
      <c r="D9652"/>
      <c r="G9652"/>
      <c r="L9652"/>
    </row>
    <row r="9653" spans="1:12" x14ac:dyDescent="0.25">
      <c r="A9653"/>
      <c r="B9653"/>
      <c r="D9653"/>
      <c r="G9653"/>
      <c r="L9653"/>
    </row>
    <row r="9654" spans="1:12" x14ac:dyDescent="0.25">
      <c r="A9654"/>
      <c r="B9654"/>
      <c r="D9654"/>
      <c r="G9654"/>
      <c r="L9654"/>
    </row>
    <row r="9655" spans="1:12" x14ac:dyDescent="0.25">
      <c r="A9655"/>
      <c r="B9655"/>
      <c r="D9655"/>
      <c r="G9655"/>
      <c r="L9655"/>
    </row>
    <row r="9656" spans="1:12" x14ac:dyDescent="0.25">
      <c r="A9656"/>
      <c r="B9656"/>
      <c r="D9656"/>
      <c r="G9656"/>
      <c r="L9656"/>
    </row>
    <row r="9657" spans="1:12" x14ac:dyDescent="0.25">
      <c r="A9657"/>
      <c r="B9657"/>
      <c r="D9657"/>
      <c r="G9657"/>
      <c r="L9657"/>
    </row>
    <row r="9658" spans="1:12" x14ac:dyDescent="0.25">
      <c r="A9658"/>
      <c r="B9658"/>
      <c r="D9658"/>
      <c r="G9658"/>
      <c r="L9658"/>
    </row>
    <row r="9659" spans="1:12" x14ac:dyDescent="0.25">
      <c r="A9659"/>
      <c r="B9659"/>
      <c r="D9659"/>
      <c r="G9659"/>
      <c r="L9659"/>
    </row>
    <row r="9660" spans="1:12" x14ac:dyDescent="0.25">
      <c r="A9660"/>
      <c r="B9660"/>
      <c r="D9660"/>
      <c r="G9660"/>
      <c r="L9660"/>
    </row>
    <row r="9661" spans="1:12" x14ac:dyDescent="0.25">
      <c r="A9661"/>
      <c r="B9661"/>
      <c r="D9661"/>
      <c r="G9661"/>
      <c r="L9661"/>
    </row>
    <row r="9662" spans="1:12" x14ac:dyDescent="0.25">
      <c r="A9662"/>
      <c r="B9662"/>
      <c r="D9662"/>
      <c r="G9662"/>
      <c r="L9662"/>
    </row>
    <row r="9663" spans="1:12" x14ac:dyDescent="0.25">
      <c r="A9663"/>
      <c r="B9663"/>
      <c r="D9663"/>
      <c r="G9663"/>
      <c r="L9663"/>
    </row>
    <row r="9664" spans="1:12" x14ac:dyDescent="0.25">
      <c r="A9664"/>
      <c r="B9664"/>
      <c r="D9664"/>
      <c r="G9664"/>
      <c r="L9664"/>
    </row>
    <row r="9665" spans="1:12" x14ac:dyDescent="0.25">
      <c r="A9665"/>
      <c r="B9665"/>
      <c r="D9665"/>
      <c r="G9665"/>
      <c r="L9665"/>
    </row>
    <row r="9666" spans="1:12" x14ac:dyDescent="0.25">
      <c r="A9666"/>
      <c r="B9666"/>
      <c r="D9666"/>
      <c r="G9666"/>
      <c r="L9666"/>
    </row>
    <row r="9667" spans="1:12" x14ac:dyDescent="0.25">
      <c r="A9667"/>
      <c r="B9667"/>
      <c r="D9667"/>
      <c r="G9667"/>
      <c r="L9667"/>
    </row>
    <row r="9668" spans="1:12" x14ac:dyDescent="0.25">
      <c r="A9668"/>
      <c r="B9668"/>
      <c r="D9668"/>
      <c r="G9668"/>
      <c r="L9668"/>
    </row>
    <row r="9669" spans="1:12" x14ac:dyDescent="0.25">
      <c r="A9669"/>
      <c r="B9669"/>
      <c r="D9669"/>
      <c r="G9669"/>
      <c r="L9669"/>
    </row>
    <row r="9670" spans="1:12" x14ac:dyDescent="0.25">
      <c r="A9670"/>
      <c r="B9670"/>
      <c r="D9670"/>
      <c r="G9670"/>
      <c r="L9670"/>
    </row>
    <row r="9671" spans="1:12" x14ac:dyDescent="0.25">
      <c r="A9671"/>
      <c r="B9671"/>
      <c r="D9671"/>
      <c r="G9671"/>
      <c r="L9671"/>
    </row>
    <row r="9672" spans="1:12" x14ac:dyDescent="0.25">
      <c r="A9672"/>
      <c r="B9672"/>
      <c r="D9672"/>
      <c r="G9672"/>
      <c r="L9672"/>
    </row>
    <row r="9673" spans="1:12" x14ac:dyDescent="0.25">
      <c r="A9673"/>
      <c r="B9673"/>
      <c r="D9673"/>
      <c r="G9673"/>
      <c r="L9673"/>
    </row>
    <row r="9674" spans="1:12" x14ac:dyDescent="0.25">
      <c r="A9674"/>
      <c r="B9674"/>
      <c r="D9674"/>
      <c r="G9674"/>
      <c r="L9674"/>
    </row>
    <row r="9675" spans="1:12" x14ac:dyDescent="0.25">
      <c r="A9675"/>
      <c r="B9675"/>
      <c r="D9675"/>
      <c r="G9675"/>
      <c r="L9675"/>
    </row>
    <row r="9676" spans="1:12" x14ac:dyDescent="0.25">
      <c r="A9676"/>
      <c r="B9676"/>
      <c r="D9676"/>
      <c r="G9676"/>
      <c r="L9676"/>
    </row>
    <row r="9677" spans="1:12" x14ac:dyDescent="0.25">
      <c r="A9677"/>
      <c r="B9677"/>
      <c r="D9677"/>
      <c r="G9677"/>
      <c r="L9677"/>
    </row>
    <row r="9678" spans="1:12" x14ac:dyDescent="0.25">
      <c r="A9678"/>
      <c r="B9678"/>
      <c r="D9678"/>
      <c r="G9678"/>
      <c r="L9678"/>
    </row>
    <row r="9679" spans="1:12" x14ac:dyDescent="0.25">
      <c r="A9679"/>
      <c r="B9679"/>
      <c r="D9679"/>
      <c r="G9679"/>
      <c r="L9679"/>
    </row>
    <row r="9680" spans="1:12" x14ac:dyDescent="0.25">
      <c r="A9680"/>
      <c r="B9680"/>
      <c r="D9680"/>
      <c r="G9680"/>
      <c r="L9680"/>
    </row>
    <row r="9681" spans="1:12" x14ac:dyDescent="0.25">
      <c r="A9681"/>
      <c r="B9681"/>
      <c r="D9681"/>
      <c r="G9681"/>
      <c r="L9681"/>
    </row>
    <row r="9682" spans="1:12" x14ac:dyDescent="0.25">
      <c r="A9682"/>
      <c r="B9682"/>
      <c r="D9682"/>
      <c r="G9682"/>
      <c r="L9682"/>
    </row>
    <row r="9683" spans="1:12" x14ac:dyDescent="0.25">
      <c r="A9683"/>
      <c r="B9683"/>
      <c r="D9683"/>
      <c r="G9683"/>
      <c r="L9683"/>
    </row>
    <row r="9684" spans="1:12" x14ac:dyDescent="0.25">
      <c r="A9684"/>
      <c r="B9684"/>
      <c r="D9684"/>
      <c r="G9684"/>
      <c r="L9684"/>
    </row>
    <row r="9685" spans="1:12" x14ac:dyDescent="0.25">
      <c r="A9685"/>
      <c r="B9685"/>
      <c r="D9685"/>
      <c r="G9685"/>
      <c r="L9685"/>
    </row>
    <row r="9686" spans="1:12" x14ac:dyDescent="0.25">
      <c r="A9686"/>
      <c r="B9686"/>
      <c r="D9686"/>
      <c r="G9686"/>
      <c r="L9686"/>
    </row>
    <row r="9687" spans="1:12" x14ac:dyDescent="0.25">
      <c r="A9687"/>
      <c r="B9687"/>
      <c r="D9687"/>
      <c r="G9687"/>
      <c r="L9687"/>
    </row>
    <row r="9688" spans="1:12" x14ac:dyDescent="0.25">
      <c r="A9688"/>
      <c r="B9688"/>
      <c r="D9688"/>
      <c r="G9688"/>
      <c r="L9688"/>
    </row>
    <row r="9689" spans="1:12" x14ac:dyDescent="0.25">
      <c r="A9689"/>
      <c r="B9689"/>
      <c r="D9689"/>
      <c r="G9689"/>
      <c r="L9689"/>
    </row>
    <row r="9690" spans="1:12" x14ac:dyDescent="0.25">
      <c r="A9690"/>
      <c r="B9690"/>
      <c r="D9690"/>
      <c r="G9690"/>
      <c r="L9690"/>
    </row>
    <row r="9691" spans="1:12" x14ac:dyDescent="0.25">
      <c r="A9691"/>
      <c r="B9691"/>
      <c r="D9691"/>
      <c r="G9691"/>
      <c r="L9691"/>
    </row>
    <row r="9692" spans="1:12" x14ac:dyDescent="0.25">
      <c r="A9692"/>
      <c r="B9692"/>
      <c r="D9692"/>
      <c r="G9692"/>
      <c r="L9692"/>
    </row>
    <row r="9693" spans="1:12" x14ac:dyDescent="0.25">
      <c r="A9693"/>
      <c r="B9693"/>
      <c r="D9693"/>
      <c r="G9693"/>
      <c r="L9693"/>
    </row>
    <row r="9694" spans="1:12" x14ac:dyDescent="0.25">
      <c r="A9694"/>
      <c r="B9694"/>
      <c r="D9694"/>
      <c r="G9694"/>
      <c r="L9694"/>
    </row>
    <row r="9695" spans="1:12" x14ac:dyDescent="0.25">
      <c r="A9695"/>
      <c r="B9695"/>
      <c r="D9695"/>
      <c r="G9695"/>
      <c r="L9695"/>
    </row>
    <row r="9696" spans="1:12" x14ac:dyDescent="0.25">
      <c r="A9696"/>
      <c r="B9696"/>
      <c r="D9696"/>
      <c r="G9696"/>
      <c r="L9696"/>
    </row>
    <row r="9697" spans="1:12" x14ac:dyDescent="0.25">
      <c r="A9697"/>
      <c r="B9697"/>
      <c r="D9697"/>
      <c r="G9697"/>
      <c r="L9697"/>
    </row>
    <row r="9698" spans="1:12" x14ac:dyDescent="0.25">
      <c r="A9698"/>
      <c r="B9698"/>
      <c r="D9698"/>
      <c r="G9698"/>
      <c r="L9698"/>
    </row>
    <row r="9699" spans="1:12" x14ac:dyDescent="0.25">
      <c r="A9699"/>
      <c r="B9699"/>
      <c r="D9699"/>
      <c r="G9699"/>
      <c r="L9699"/>
    </row>
    <row r="9700" spans="1:12" x14ac:dyDescent="0.25">
      <c r="A9700"/>
      <c r="B9700"/>
      <c r="D9700"/>
      <c r="G9700"/>
      <c r="L9700"/>
    </row>
    <row r="9701" spans="1:12" x14ac:dyDescent="0.25">
      <c r="A9701"/>
      <c r="B9701"/>
      <c r="D9701"/>
      <c r="G9701"/>
      <c r="L9701"/>
    </row>
    <row r="9702" spans="1:12" x14ac:dyDescent="0.25">
      <c r="A9702"/>
      <c r="B9702"/>
      <c r="D9702"/>
      <c r="G9702"/>
      <c r="L9702"/>
    </row>
    <row r="9703" spans="1:12" x14ac:dyDescent="0.25">
      <c r="A9703"/>
      <c r="B9703"/>
      <c r="D9703"/>
      <c r="G9703"/>
      <c r="L9703"/>
    </row>
    <row r="9704" spans="1:12" x14ac:dyDescent="0.25">
      <c r="A9704"/>
      <c r="B9704"/>
      <c r="D9704"/>
      <c r="G9704"/>
      <c r="L9704"/>
    </row>
    <row r="9705" spans="1:12" x14ac:dyDescent="0.25">
      <c r="A9705"/>
      <c r="B9705"/>
      <c r="D9705"/>
      <c r="G9705"/>
      <c r="L9705"/>
    </row>
    <row r="9706" spans="1:12" x14ac:dyDescent="0.25">
      <c r="A9706"/>
      <c r="B9706"/>
      <c r="D9706"/>
      <c r="G9706"/>
      <c r="L9706"/>
    </row>
    <row r="9707" spans="1:12" x14ac:dyDescent="0.25">
      <c r="A9707"/>
      <c r="B9707"/>
      <c r="D9707"/>
      <c r="G9707"/>
      <c r="L9707"/>
    </row>
    <row r="9708" spans="1:12" x14ac:dyDescent="0.25">
      <c r="A9708"/>
      <c r="B9708"/>
      <c r="D9708"/>
      <c r="G9708"/>
      <c r="L9708"/>
    </row>
    <row r="9709" spans="1:12" x14ac:dyDescent="0.25">
      <c r="A9709"/>
      <c r="B9709"/>
      <c r="D9709"/>
      <c r="G9709"/>
      <c r="L9709"/>
    </row>
    <row r="9710" spans="1:12" x14ac:dyDescent="0.25">
      <c r="A9710"/>
      <c r="B9710"/>
      <c r="D9710"/>
      <c r="G9710"/>
      <c r="L9710"/>
    </row>
    <row r="9711" spans="1:12" x14ac:dyDescent="0.25">
      <c r="A9711"/>
      <c r="B9711"/>
      <c r="D9711"/>
      <c r="G9711"/>
      <c r="L9711"/>
    </row>
    <row r="9712" spans="1:12" x14ac:dyDescent="0.25">
      <c r="A9712"/>
      <c r="B9712"/>
      <c r="D9712"/>
      <c r="G9712"/>
      <c r="L9712"/>
    </row>
    <row r="9713" spans="1:12" x14ac:dyDescent="0.25">
      <c r="A9713"/>
      <c r="B9713"/>
      <c r="D9713"/>
      <c r="G9713"/>
      <c r="L9713"/>
    </row>
    <row r="9714" spans="1:12" x14ac:dyDescent="0.25">
      <c r="A9714"/>
      <c r="B9714"/>
      <c r="D9714"/>
      <c r="G9714"/>
      <c r="L9714"/>
    </row>
    <row r="9715" spans="1:12" x14ac:dyDescent="0.25">
      <c r="A9715"/>
      <c r="B9715"/>
      <c r="D9715"/>
      <c r="G9715"/>
      <c r="L9715"/>
    </row>
    <row r="9716" spans="1:12" x14ac:dyDescent="0.25">
      <c r="A9716"/>
      <c r="B9716"/>
      <c r="D9716"/>
      <c r="G9716"/>
      <c r="L9716"/>
    </row>
    <row r="9717" spans="1:12" x14ac:dyDescent="0.25">
      <c r="A9717"/>
      <c r="B9717"/>
      <c r="D9717"/>
      <c r="G9717"/>
      <c r="L9717"/>
    </row>
    <row r="9718" spans="1:12" x14ac:dyDescent="0.25">
      <c r="A9718"/>
      <c r="B9718"/>
      <c r="D9718"/>
      <c r="G9718"/>
      <c r="L9718"/>
    </row>
    <row r="9719" spans="1:12" x14ac:dyDescent="0.25">
      <c r="A9719"/>
      <c r="B9719"/>
      <c r="D9719"/>
      <c r="G9719"/>
      <c r="L9719"/>
    </row>
    <row r="9720" spans="1:12" x14ac:dyDescent="0.25">
      <c r="A9720"/>
      <c r="B9720"/>
      <c r="D9720"/>
      <c r="G9720"/>
      <c r="L9720"/>
    </row>
    <row r="9721" spans="1:12" x14ac:dyDescent="0.25">
      <c r="A9721"/>
      <c r="B9721"/>
      <c r="D9721"/>
      <c r="G9721"/>
      <c r="L9721"/>
    </row>
    <row r="9722" spans="1:12" x14ac:dyDescent="0.25">
      <c r="A9722"/>
      <c r="B9722"/>
      <c r="D9722"/>
      <c r="G9722"/>
      <c r="L9722"/>
    </row>
    <row r="9723" spans="1:12" x14ac:dyDescent="0.25">
      <c r="A9723"/>
      <c r="B9723"/>
      <c r="D9723"/>
      <c r="G9723"/>
      <c r="L9723"/>
    </row>
    <row r="9724" spans="1:12" x14ac:dyDescent="0.25">
      <c r="A9724"/>
      <c r="B9724"/>
      <c r="D9724"/>
      <c r="G9724"/>
      <c r="L9724"/>
    </row>
    <row r="9725" spans="1:12" x14ac:dyDescent="0.25">
      <c r="A9725"/>
      <c r="B9725"/>
      <c r="D9725"/>
      <c r="G9725"/>
      <c r="L9725"/>
    </row>
    <row r="9726" spans="1:12" x14ac:dyDescent="0.25">
      <c r="A9726"/>
      <c r="B9726"/>
      <c r="D9726"/>
      <c r="G9726"/>
      <c r="L9726"/>
    </row>
    <row r="9727" spans="1:12" x14ac:dyDescent="0.25">
      <c r="A9727"/>
      <c r="B9727"/>
      <c r="D9727"/>
      <c r="G9727"/>
      <c r="L9727"/>
    </row>
    <row r="9728" spans="1:12" x14ac:dyDescent="0.25">
      <c r="A9728"/>
      <c r="B9728"/>
      <c r="D9728"/>
      <c r="G9728"/>
      <c r="L9728"/>
    </row>
    <row r="9729" spans="1:12" x14ac:dyDescent="0.25">
      <c r="A9729"/>
      <c r="B9729"/>
      <c r="D9729"/>
      <c r="G9729"/>
      <c r="L9729"/>
    </row>
    <row r="9730" spans="1:12" x14ac:dyDescent="0.25">
      <c r="A9730"/>
      <c r="B9730"/>
      <c r="D9730"/>
      <c r="G9730"/>
      <c r="L9730"/>
    </row>
    <row r="9731" spans="1:12" x14ac:dyDescent="0.25">
      <c r="A9731"/>
      <c r="B9731"/>
      <c r="D9731"/>
      <c r="G9731"/>
      <c r="L9731"/>
    </row>
    <row r="9732" spans="1:12" x14ac:dyDescent="0.25">
      <c r="A9732"/>
      <c r="B9732"/>
      <c r="D9732"/>
      <c r="G9732"/>
      <c r="L9732"/>
    </row>
    <row r="9733" spans="1:12" x14ac:dyDescent="0.25">
      <c r="A9733"/>
      <c r="B9733"/>
      <c r="D9733"/>
      <c r="G9733"/>
      <c r="L9733"/>
    </row>
    <row r="9734" spans="1:12" x14ac:dyDescent="0.25">
      <c r="A9734"/>
      <c r="B9734"/>
      <c r="D9734"/>
      <c r="G9734"/>
      <c r="L9734"/>
    </row>
    <row r="9735" spans="1:12" x14ac:dyDescent="0.25">
      <c r="A9735"/>
      <c r="B9735"/>
      <c r="D9735"/>
      <c r="G9735"/>
      <c r="L9735"/>
    </row>
    <row r="9736" spans="1:12" x14ac:dyDescent="0.25">
      <c r="A9736"/>
      <c r="B9736"/>
      <c r="D9736"/>
      <c r="G9736"/>
      <c r="L9736"/>
    </row>
    <row r="9737" spans="1:12" x14ac:dyDescent="0.25">
      <c r="A9737"/>
      <c r="B9737"/>
      <c r="D9737"/>
      <c r="G9737"/>
      <c r="L9737"/>
    </row>
    <row r="9738" spans="1:12" x14ac:dyDescent="0.25">
      <c r="A9738"/>
      <c r="B9738"/>
      <c r="D9738"/>
      <c r="G9738"/>
      <c r="L9738"/>
    </row>
    <row r="9739" spans="1:12" x14ac:dyDescent="0.25">
      <c r="A9739"/>
      <c r="B9739"/>
      <c r="D9739"/>
      <c r="G9739"/>
      <c r="L9739"/>
    </row>
    <row r="9740" spans="1:12" x14ac:dyDescent="0.25">
      <c r="A9740"/>
      <c r="B9740"/>
      <c r="D9740"/>
      <c r="G9740"/>
      <c r="L9740"/>
    </row>
    <row r="9741" spans="1:12" x14ac:dyDescent="0.25">
      <c r="A9741"/>
      <c r="B9741"/>
      <c r="D9741"/>
      <c r="G9741"/>
      <c r="L9741"/>
    </row>
    <row r="9742" spans="1:12" x14ac:dyDescent="0.25">
      <c r="A9742"/>
      <c r="B9742"/>
      <c r="D9742"/>
      <c r="G9742"/>
      <c r="L9742"/>
    </row>
    <row r="9743" spans="1:12" x14ac:dyDescent="0.25">
      <c r="A9743"/>
      <c r="B9743"/>
      <c r="D9743"/>
      <c r="G9743"/>
      <c r="L9743"/>
    </row>
    <row r="9744" spans="1:12" x14ac:dyDescent="0.25">
      <c r="A9744"/>
      <c r="B9744"/>
      <c r="D9744"/>
      <c r="G9744"/>
      <c r="L9744"/>
    </row>
    <row r="9745" spans="1:12" x14ac:dyDescent="0.25">
      <c r="A9745"/>
      <c r="B9745"/>
      <c r="D9745"/>
      <c r="G9745"/>
      <c r="L9745"/>
    </row>
    <row r="9746" spans="1:12" x14ac:dyDescent="0.25">
      <c r="A9746"/>
      <c r="B9746"/>
      <c r="D9746"/>
      <c r="G9746"/>
      <c r="L9746"/>
    </row>
    <row r="9747" spans="1:12" x14ac:dyDescent="0.25">
      <c r="A9747"/>
      <c r="B9747"/>
      <c r="D9747"/>
      <c r="G9747"/>
      <c r="L9747"/>
    </row>
    <row r="9748" spans="1:12" x14ac:dyDescent="0.25">
      <c r="A9748"/>
      <c r="B9748"/>
      <c r="D9748"/>
      <c r="G9748"/>
      <c r="L9748"/>
    </row>
    <row r="9749" spans="1:12" x14ac:dyDescent="0.25">
      <c r="A9749"/>
      <c r="B9749"/>
      <c r="D9749"/>
      <c r="G9749"/>
      <c r="L9749"/>
    </row>
    <row r="9750" spans="1:12" x14ac:dyDescent="0.25">
      <c r="A9750"/>
      <c r="B9750"/>
      <c r="D9750"/>
      <c r="G9750"/>
      <c r="L9750"/>
    </row>
    <row r="9751" spans="1:12" x14ac:dyDescent="0.25">
      <c r="A9751"/>
      <c r="B9751"/>
      <c r="D9751"/>
      <c r="G9751"/>
      <c r="L9751"/>
    </row>
    <row r="9752" spans="1:12" x14ac:dyDescent="0.25">
      <c r="A9752"/>
      <c r="B9752"/>
      <c r="D9752"/>
      <c r="G9752"/>
      <c r="L9752"/>
    </row>
    <row r="9753" spans="1:12" x14ac:dyDescent="0.25">
      <c r="A9753"/>
      <c r="B9753"/>
      <c r="D9753"/>
      <c r="G9753"/>
      <c r="L9753"/>
    </row>
    <row r="9754" spans="1:12" x14ac:dyDescent="0.25">
      <c r="A9754"/>
      <c r="B9754"/>
      <c r="D9754"/>
      <c r="G9754"/>
      <c r="L9754"/>
    </row>
    <row r="9755" spans="1:12" x14ac:dyDescent="0.25">
      <c r="A9755"/>
      <c r="B9755"/>
      <c r="D9755"/>
      <c r="G9755"/>
      <c r="L9755"/>
    </row>
    <row r="9756" spans="1:12" x14ac:dyDescent="0.25">
      <c r="A9756"/>
      <c r="B9756"/>
      <c r="D9756"/>
      <c r="G9756"/>
      <c r="L9756"/>
    </row>
    <row r="9757" spans="1:12" x14ac:dyDescent="0.25">
      <c r="A9757"/>
      <c r="B9757"/>
      <c r="D9757"/>
      <c r="G9757"/>
      <c r="L9757"/>
    </row>
    <row r="9758" spans="1:12" x14ac:dyDescent="0.25">
      <c r="A9758"/>
      <c r="B9758"/>
      <c r="D9758"/>
      <c r="G9758"/>
      <c r="L9758"/>
    </row>
    <row r="9759" spans="1:12" x14ac:dyDescent="0.25">
      <c r="A9759"/>
      <c r="B9759"/>
      <c r="D9759"/>
      <c r="G9759"/>
      <c r="L9759"/>
    </row>
    <row r="9760" spans="1:12" x14ac:dyDescent="0.25">
      <c r="A9760"/>
      <c r="B9760"/>
      <c r="D9760"/>
      <c r="G9760"/>
      <c r="L9760"/>
    </row>
    <row r="9761" spans="1:12" x14ac:dyDescent="0.25">
      <c r="A9761"/>
      <c r="B9761"/>
      <c r="D9761"/>
      <c r="G9761"/>
      <c r="L9761"/>
    </row>
    <row r="9762" spans="1:12" x14ac:dyDescent="0.25">
      <c r="A9762"/>
      <c r="B9762"/>
      <c r="D9762"/>
      <c r="G9762"/>
      <c r="L9762"/>
    </row>
    <row r="9763" spans="1:12" x14ac:dyDescent="0.25">
      <c r="A9763"/>
      <c r="B9763"/>
      <c r="D9763"/>
      <c r="G9763"/>
      <c r="L9763"/>
    </row>
    <row r="9764" spans="1:12" x14ac:dyDescent="0.25">
      <c r="A9764"/>
      <c r="B9764"/>
      <c r="D9764"/>
      <c r="G9764"/>
      <c r="L9764"/>
    </row>
    <row r="9765" spans="1:12" x14ac:dyDescent="0.25">
      <c r="A9765"/>
      <c r="B9765"/>
      <c r="D9765"/>
      <c r="G9765"/>
      <c r="L9765"/>
    </row>
    <row r="9766" spans="1:12" x14ac:dyDescent="0.25">
      <c r="A9766"/>
      <c r="B9766"/>
      <c r="D9766"/>
      <c r="G9766"/>
      <c r="L9766"/>
    </row>
    <row r="9767" spans="1:12" x14ac:dyDescent="0.25">
      <c r="A9767"/>
      <c r="B9767"/>
      <c r="D9767"/>
      <c r="G9767"/>
      <c r="L9767"/>
    </row>
    <row r="9768" spans="1:12" x14ac:dyDescent="0.25">
      <c r="A9768"/>
      <c r="B9768"/>
      <c r="D9768"/>
      <c r="G9768"/>
      <c r="L9768"/>
    </row>
    <row r="9769" spans="1:12" x14ac:dyDescent="0.25">
      <c r="A9769"/>
      <c r="B9769"/>
      <c r="D9769"/>
      <c r="G9769"/>
      <c r="L9769"/>
    </row>
    <row r="9770" spans="1:12" x14ac:dyDescent="0.25">
      <c r="A9770"/>
      <c r="B9770"/>
      <c r="D9770"/>
      <c r="G9770"/>
      <c r="L9770"/>
    </row>
    <row r="9771" spans="1:12" x14ac:dyDescent="0.25">
      <c r="A9771"/>
      <c r="B9771"/>
      <c r="D9771"/>
      <c r="G9771"/>
      <c r="L9771"/>
    </row>
    <row r="9772" spans="1:12" x14ac:dyDescent="0.25">
      <c r="A9772"/>
      <c r="B9772"/>
      <c r="D9772"/>
      <c r="G9772"/>
      <c r="L9772"/>
    </row>
    <row r="9773" spans="1:12" x14ac:dyDescent="0.25">
      <c r="A9773"/>
      <c r="B9773"/>
      <c r="D9773"/>
      <c r="G9773"/>
      <c r="L9773"/>
    </row>
    <row r="9774" spans="1:12" x14ac:dyDescent="0.25">
      <c r="A9774"/>
      <c r="B9774"/>
      <c r="D9774"/>
      <c r="G9774"/>
      <c r="L9774"/>
    </row>
    <row r="9775" spans="1:12" x14ac:dyDescent="0.25">
      <c r="A9775"/>
      <c r="B9775"/>
      <c r="D9775"/>
      <c r="G9775"/>
      <c r="L9775"/>
    </row>
    <row r="9776" spans="1:12" x14ac:dyDescent="0.25">
      <c r="A9776"/>
      <c r="B9776"/>
      <c r="D9776"/>
      <c r="G9776"/>
      <c r="L9776"/>
    </row>
    <row r="9777" spans="1:12" x14ac:dyDescent="0.25">
      <c r="A9777"/>
      <c r="B9777"/>
      <c r="D9777"/>
      <c r="G9777"/>
      <c r="L9777"/>
    </row>
    <row r="9778" spans="1:12" x14ac:dyDescent="0.25">
      <c r="A9778"/>
      <c r="B9778"/>
      <c r="D9778"/>
      <c r="G9778"/>
      <c r="L9778"/>
    </row>
    <row r="9779" spans="1:12" x14ac:dyDescent="0.25">
      <c r="A9779"/>
      <c r="B9779"/>
      <c r="D9779"/>
      <c r="G9779"/>
      <c r="L9779"/>
    </row>
    <row r="9780" spans="1:12" x14ac:dyDescent="0.25">
      <c r="A9780"/>
      <c r="B9780"/>
      <c r="D9780"/>
      <c r="G9780"/>
      <c r="L9780"/>
    </row>
    <row r="9781" spans="1:12" x14ac:dyDescent="0.25">
      <c r="A9781"/>
      <c r="B9781"/>
      <c r="D9781"/>
      <c r="G9781"/>
      <c r="L9781"/>
    </row>
    <row r="9782" spans="1:12" x14ac:dyDescent="0.25">
      <c r="A9782"/>
      <c r="B9782"/>
      <c r="D9782"/>
      <c r="G9782"/>
      <c r="L9782"/>
    </row>
    <row r="9783" spans="1:12" x14ac:dyDescent="0.25">
      <c r="A9783"/>
      <c r="B9783"/>
      <c r="D9783"/>
      <c r="G9783"/>
      <c r="L9783"/>
    </row>
    <row r="9784" spans="1:12" x14ac:dyDescent="0.25">
      <c r="A9784"/>
      <c r="B9784"/>
      <c r="D9784"/>
      <c r="G9784"/>
      <c r="L9784"/>
    </row>
    <row r="9785" spans="1:12" x14ac:dyDescent="0.25">
      <c r="A9785"/>
      <c r="B9785"/>
      <c r="D9785"/>
      <c r="G9785"/>
      <c r="L9785"/>
    </row>
    <row r="9786" spans="1:12" x14ac:dyDescent="0.25">
      <c r="A9786"/>
      <c r="B9786"/>
      <c r="D9786"/>
      <c r="G9786"/>
      <c r="L9786"/>
    </row>
    <row r="9787" spans="1:12" x14ac:dyDescent="0.25">
      <c r="A9787"/>
      <c r="B9787"/>
      <c r="D9787"/>
      <c r="G9787"/>
      <c r="L9787"/>
    </row>
    <row r="9788" spans="1:12" x14ac:dyDescent="0.25">
      <c r="A9788"/>
      <c r="B9788"/>
      <c r="D9788"/>
      <c r="G9788"/>
      <c r="L9788"/>
    </row>
    <row r="9789" spans="1:12" x14ac:dyDescent="0.25">
      <c r="A9789"/>
      <c r="B9789"/>
      <c r="D9789"/>
      <c r="G9789"/>
      <c r="L9789"/>
    </row>
    <row r="9790" spans="1:12" x14ac:dyDescent="0.25">
      <c r="A9790"/>
      <c r="B9790"/>
      <c r="D9790"/>
      <c r="G9790"/>
      <c r="L9790"/>
    </row>
    <row r="9791" spans="1:12" x14ac:dyDescent="0.25">
      <c r="A9791"/>
      <c r="B9791"/>
      <c r="D9791"/>
      <c r="G9791"/>
      <c r="L9791"/>
    </row>
    <row r="9792" spans="1:12" x14ac:dyDescent="0.25">
      <c r="A9792"/>
      <c r="B9792"/>
      <c r="D9792"/>
      <c r="G9792"/>
      <c r="L9792"/>
    </row>
    <row r="9793" spans="1:12" x14ac:dyDescent="0.25">
      <c r="A9793"/>
      <c r="B9793"/>
      <c r="D9793"/>
      <c r="G9793"/>
      <c r="L9793"/>
    </row>
    <row r="9794" spans="1:12" x14ac:dyDescent="0.25">
      <c r="A9794"/>
      <c r="B9794"/>
      <c r="D9794"/>
      <c r="G9794"/>
      <c r="L9794"/>
    </row>
    <row r="9795" spans="1:12" x14ac:dyDescent="0.25">
      <c r="A9795"/>
      <c r="B9795"/>
      <c r="D9795"/>
      <c r="G9795"/>
      <c r="L9795"/>
    </row>
    <row r="9796" spans="1:12" x14ac:dyDescent="0.25">
      <c r="A9796"/>
      <c r="B9796"/>
      <c r="D9796"/>
      <c r="G9796"/>
      <c r="L9796"/>
    </row>
    <row r="9797" spans="1:12" x14ac:dyDescent="0.25">
      <c r="A9797"/>
      <c r="B9797"/>
      <c r="D9797"/>
      <c r="G9797"/>
      <c r="L9797"/>
    </row>
    <row r="9798" spans="1:12" x14ac:dyDescent="0.25">
      <c r="A9798"/>
      <c r="B9798"/>
      <c r="D9798"/>
      <c r="G9798"/>
      <c r="L9798"/>
    </row>
    <row r="9799" spans="1:12" x14ac:dyDescent="0.25">
      <c r="A9799"/>
      <c r="B9799"/>
      <c r="D9799"/>
      <c r="G9799"/>
      <c r="L9799"/>
    </row>
    <row r="9800" spans="1:12" x14ac:dyDescent="0.25">
      <c r="A9800"/>
      <c r="B9800"/>
      <c r="D9800"/>
      <c r="G9800"/>
      <c r="L9800"/>
    </row>
    <row r="9801" spans="1:12" x14ac:dyDescent="0.25">
      <c r="A9801"/>
      <c r="B9801"/>
      <c r="D9801"/>
      <c r="G9801"/>
      <c r="L9801"/>
    </row>
    <row r="9802" spans="1:12" x14ac:dyDescent="0.25">
      <c r="A9802"/>
      <c r="B9802"/>
      <c r="D9802"/>
      <c r="G9802"/>
      <c r="L9802"/>
    </row>
    <row r="9803" spans="1:12" x14ac:dyDescent="0.25">
      <c r="A9803"/>
      <c r="B9803"/>
      <c r="D9803"/>
      <c r="G9803"/>
      <c r="L9803"/>
    </row>
    <row r="9804" spans="1:12" x14ac:dyDescent="0.25">
      <c r="A9804"/>
      <c r="B9804"/>
      <c r="D9804"/>
      <c r="G9804"/>
      <c r="L9804"/>
    </row>
    <row r="9805" spans="1:12" x14ac:dyDescent="0.25">
      <c r="A9805"/>
      <c r="B9805"/>
      <c r="D9805"/>
      <c r="G9805"/>
      <c r="L9805"/>
    </row>
    <row r="9806" spans="1:12" x14ac:dyDescent="0.25">
      <c r="A9806"/>
      <c r="B9806"/>
      <c r="D9806"/>
      <c r="G9806"/>
      <c r="L9806"/>
    </row>
    <row r="9807" spans="1:12" x14ac:dyDescent="0.25">
      <c r="A9807"/>
      <c r="B9807"/>
      <c r="D9807"/>
      <c r="G9807"/>
      <c r="L9807"/>
    </row>
    <row r="9808" spans="1:12" x14ac:dyDescent="0.25">
      <c r="A9808"/>
      <c r="B9808"/>
      <c r="D9808"/>
      <c r="G9808"/>
      <c r="L9808"/>
    </row>
    <row r="9809" spans="1:12" x14ac:dyDescent="0.25">
      <c r="A9809"/>
      <c r="B9809"/>
      <c r="D9809"/>
      <c r="G9809"/>
      <c r="L9809"/>
    </row>
    <row r="9810" spans="1:12" x14ac:dyDescent="0.25">
      <c r="A9810"/>
      <c r="B9810"/>
      <c r="D9810"/>
      <c r="G9810"/>
      <c r="L9810"/>
    </row>
    <row r="9811" spans="1:12" x14ac:dyDescent="0.25">
      <c r="A9811"/>
      <c r="B9811"/>
      <c r="D9811"/>
      <c r="G9811"/>
      <c r="L9811"/>
    </row>
    <row r="9812" spans="1:12" x14ac:dyDescent="0.25">
      <c r="A9812"/>
      <c r="B9812"/>
      <c r="D9812"/>
      <c r="G9812"/>
      <c r="L9812"/>
    </row>
    <row r="9813" spans="1:12" x14ac:dyDescent="0.25">
      <c r="A9813"/>
      <c r="B9813"/>
      <c r="D9813"/>
      <c r="G9813"/>
      <c r="L9813"/>
    </row>
    <row r="9814" spans="1:12" x14ac:dyDescent="0.25">
      <c r="A9814"/>
      <c r="B9814"/>
      <c r="D9814"/>
      <c r="G9814"/>
      <c r="L9814"/>
    </row>
    <row r="9815" spans="1:12" x14ac:dyDescent="0.25">
      <c r="A9815"/>
      <c r="B9815"/>
      <c r="D9815"/>
      <c r="G9815"/>
      <c r="L9815"/>
    </row>
    <row r="9816" spans="1:12" x14ac:dyDescent="0.25">
      <c r="A9816"/>
      <c r="B9816"/>
      <c r="D9816"/>
      <c r="G9816"/>
      <c r="L9816"/>
    </row>
    <row r="9817" spans="1:12" x14ac:dyDescent="0.25">
      <c r="A9817"/>
      <c r="B9817"/>
      <c r="D9817"/>
      <c r="G9817"/>
      <c r="L9817"/>
    </row>
    <row r="9818" spans="1:12" x14ac:dyDescent="0.25">
      <c r="A9818"/>
      <c r="B9818"/>
      <c r="D9818"/>
      <c r="G9818"/>
      <c r="L9818"/>
    </row>
    <row r="9819" spans="1:12" x14ac:dyDescent="0.25">
      <c r="A9819"/>
      <c r="B9819"/>
      <c r="D9819"/>
      <c r="G9819"/>
      <c r="L9819"/>
    </row>
    <row r="9820" spans="1:12" x14ac:dyDescent="0.25">
      <c r="A9820"/>
      <c r="B9820"/>
      <c r="D9820"/>
      <c r="G9820"/>
      <c r="L9820"/>
    </row>
    <row r="9821" spans="1:12" x14ac:dyDescent="0.25">
      <c r="A9821"/>
      <c r="B9821"/>
      <c r="D9821"/>
      <c r="G9821"/>
      <c r="L9821"/>
    </row>
    <row r="9822" spans="1:12" x14ac:dyDescent="0.25">
      <c r="A9822"/>
      <c r="B9822"/>
      <c r="D9822"/>
      <c r="G9822"/>
      <c r="L9822"/>
    </row>
    <row r="9823" spans="1:12" x14ac:dyDescent="0.25">
      <c r="A9823"/>
      <c r="B9823"/>
      <c r="D9823"/>
      <c r="G9823"/>
      <c r="L9823"/>
    </row>
    <row r="9824" spans="1:12" x14ac:dyDescent="0.25">
      <c r="A9824"/>
      <c r="B9824"/>
      <c r="D9824"/>
      <c r="G9824"/>
      <c r="L9824"/>
    </row>
    <row r="9825" spans="1:12" x14ac:dyDescent="0.25">
      <c r="A9825"/>
      <c r="B9825"/>
      <c r="D9825"/>
      <c r="G9825"/>
      <c r="L9825"/>
    </row>
    <row r="9826" spans="1:12" x14ac:dyDescent="0.25">
      <c r="A9826"/>
      <c r="B9826"/>
      <c r="D9826"/>
      <c r="G9826"/>
      <c r="L9826"/>
    </row>
    <row r="9827" spans="1:12" x14ac:dyDescent="0.25">
      <c r="A9827"/>
      <c r="B9827"/>
      <c r="D9827"/>
      <c r="G9827"/>
      <c r="L9827"/>
    </row>
    <row r="9828" spans="1:12" x14ac:dyDescent="0.25">
      <c r="A9828"/>
      <c r="B9828"/>
      <c r="D9828"/>
      <c r="G9828"/>
      <c r="L9828"/>
    </row>
    <row r="9829" spans="1:12" x14ac:dyDescent="0.25">
      <c r="A9829"/>
      <c r="B9829"/>
      <c r="D9829"/>
      <c r="G9829"/>
      <c r="L9829"/>
    </row>
    <row r="9830" spans="1:12" x14ac:dyDescent="0.25">
      <c r="A9830"/>
      <c r="B9830"/>
      <c r="D9830"/>
      <c r="G9830"/>
      <c r="L9830"/>
    </row>
    <row r="9831" spans="1:12" x14ac:dyDescent="0.25">
      <c r="A9831"/>
      <c r="B9831"/>
      <c r="D9831"/>
      <c r="G9831"/>
      <c r="L9831"/>
    </row>
    <row r="9832" spans="1:12" x14ac:dyDescent="0.25">
      <c r="A9832"/>
      <c r="B9832"/>
      <c r="D9832"/>
      <c r="G9832"/>
      <c r="L9832"/>
    </row>
    <row r="9833" spans="1:12" x14ac:dyDescent="0.25">
      <c r="A9833"/>
      <c r="B9833"/>
      <c r="D9833"/>
      <c r="G9833"/>
      <c r="L9833"/>
    </row>
    <row r="9834" spans="1:12" x14ac:dyDescent="0.25">
      <c r="A9834"/>
      <c r="B9834"/>
      <c r="D9834"/>
      <c r="G9834"/>
      <c r="L9834"/>
    </row>
    <row r="9835" spans="1:12" x14ac:dyDescent="0.25">
      <c r="A9835"/>
      <c r="B9835"/>
      <c r="D9835"/>
      <c r="G9835"/>
      <c r="L9835"/>
    </row>
    <row r="9836" spans="1:12" x14ac:dyDescent="0.25">
      <c r="A9836"/>
      <c r="B9836"/>
      <c r="D9836"/>
      <c r="G9836"/>
      <c r="L9836"/>
    </row>
    <row r="9837" spans="1:12" x14ac:dyDescent="0.25">
      <c r="A9837"/>
      <c r="B9837"/>
      <c r="D9837"/>
      <c r="G9837"/>
      <c r="L9837"/>
    </row>
    <row r="9838" spans="1:12" x14ac:dyDescent="0.25">
      <c r="A9838"/>
      <c r="B9838"/>
      <c r="D9838"/>
      <c r="G9838"/>
      <c r="L9838"/>
    </row>
    <row r="9839" spans="1:12" x14ac:dyDescent="0.25">
      <c r="A9839"/>
      <c r="B9839"/>
      <c r="D9839"/>
      <c r="G9839"/>
      <c r="L9839"/>
    </row>
    <row r="9840" spans="1:12" x14ac:dyDescent="0.25">
      <c r="A9840"/>
      <c r="B9840"/>
      <c r="D9840"/>
      <c r="G9840"/>
      <c r="L9840"/>
    </row>
    <row r="9841" spans="1:12" x14ac:dyDescent="0.25">
      <c r="A9841"/>
      <c r="B9841"/>
      <c r="D9841"/>
      <c r="G9841"/>
      <c r="L9841"/>
    </row>
    <row r="9842" spans="1:12" x14ac:dyDescent="0.25">
      <c r="A9842"/>
      <c r="B9842"/>
      <c r="D9842"/>
      <c r="G9842"/>
      <c r="L9842"/>
    </row>
    <row r="9843" spans="1:12" x14ac:dyDescent="0.25">
      <c r="A9843"/>
      <c r="B9843"/>
      <c r="D9843"/>
      <c r="G9843"/>
      <c r="L9843"/>
    </row>
    <row r="9844" spans="1:12" x14ac:dyDescent="0.25">
      <c r="A9844"/>
      <c r="B9844"/>
      <c r="D9844"/>
      <c r="G9844"/>
      <c r="L9844"/>
    </row>
    <row r="9845" spans="1:12" x14ac:dyDescent="0.25">
      <c r="A9845"/>
      <c r="B9845"/>
      <c r="D9845"/>
      <c r="G9845"/>
      <c r="L9845"/>
    </row>
    <row r="9846" spans="1:12" x14ac:dyDescent="0.25">
      <c r="A9846"/>
      <c r="B9846"/>
      <c r="D9846"/>
      <c r="G9846"/>
      <c r="L9846"/>
    </row>
    <row r="9847" spans="1:12" x14ac:dyDescent="0.25">
      <c r="A9847"/>
      <c r="B9847"/>
      <c r="D9847"/>
      <c r="G9847"/>
      <c r="L9847"/>
    </row>
    <row r="9848" spans="1:12" x14ac:dyDescent="0.25">
      <c r="A9848"/>
      <c r="B9848"/>
      <c r="D9848"/>
      <c r="G9848"/>
      <c r="L9848"/>
    </row>
    <row r="9849" spans="1:12" x14ac:dyDescent="0.25">
      <c r="A9849"/>
      <c r="B9849"/>
      <c r="D9849"/>
      <c r="G9849"/>
      <c r="L9849"/>
    </row>
    <row r="9850" spans="1:12" x14ac:dyDescent="0.25">
      <c r="A9850"/>
      <c r="B9850"/>
      <c r="D9850"/>
      <c r="G9850"/>
      <c r="L9850"/>
    </row>
    <row r="9851" spans="1:12" x14ac:dyDescent="0.25">
      <c r="A9851"/>
      <c r="B9851"/>
      <c r="D9851"/>
      <c r="G9851"/>
      <c r="L9851"/>
    </row>
    <row r="9852" spans="1:12" x14ac:dyDescent="0.25">
      <c r="A9852"/>
      <c r="B9852"/>
      <c r="D9852"/>
      <c r="G9852"/>
      <c r="L9852"/>
    </row>
    <row r="9853" spans="1:12" x14ac:dyDescent="0.25">
      <c r="A9853"/>
      <c r="B9853"/>
      <c r="D9853"/>
      <c r="G9853"/>
      <c r="L9853"/>
    </row>
    <row r="9854" spans="1:12" x14ac:dyDescent="0.25">
      <c r="A9854"/>
      <c r="B9854"/>
      <c r="D9854"/>
      <c r="G9854"/>
      <c r="L9854"/>
    </row>
    <row r="9855" spans="1:12" x14ac:dyDescent="0.25">
      <c r="A9855"/>
      <c r="B9855"/>
      <c r="D9855"/>
      <c r="G9855"/>
      <c r="L9855"/>
    </row>
    <row r="9856" spans="1:12" x14ac:dyDescent="0.25">
      <c r="A9856"/>
      <c r="B9856"/>
      <c r="D9856"/>
      <c r="G9856"/>
      <c r="L9856"/>
    </row>
    <row r="9857" spans="1:12" x14ac:dyDescent="0.25">
      <c r="A9857"/>
      <c r="B9857"/>
      <c r="D9857"/>
      <c r="G9857"/>
      <c r="L9857"/>
    </row>
    <row r="9858" spans="1:12" x14ac:dyDescent="0.25">
      <c r="A9858"/>
      <c r="B9858"/>
      <c r="D9858"/>
      <c r="G9858"/>
      <c r="L9858"/>
    </row>
    <row r="9859" spans="1:12" x14ac:dyDescent="0.25">
      <c r="A9859"/>
      <c r="B9859"/>
      <c r="D9859"/>
      <c r="G9859"/>
      <c r="L9859"/>
    </row>
    <row r="9860" spans="1:12" x14ac:dyDescent="0.25">
      <c r="A9860"/>
      <c r="B9860"/>
      <c r="D9860"/>
      <c r="G9860"/>
      <c r="L9860"/>
    </row>
    <row r="9861" spans="1:12" x14ac:dyDescent="0.25">
      <c r="A9861"/>
      <c r="B9861"/>
      <c r="D9861"/>
      <c r="G9861"/>
      <c r="L9861"/>
    </row>
    <row r="9862" spans="1:12" x14ac:dyDescent="0.25">
      <c r="A9862"/>
      <c r="B9862"/>
      <c r="D9862"/>
      <c r="G9862"/>
      <c r="L9862"/>
    </row>
    <row r="9863" spans="1:12" x14ac:dyDescent="0.25">
      <c r="A9863"/>
      <c r="B9863"/>
      <c r="D9863"/>
      <c r="G9863"/>
      <c r="L9863"/>
    </row>
    <row r="9864" spans="1:12" x14ac:dyDescent="0.25">
      <c r="A9864"/>
      <c r="B9864"/>
      <c r="D9864"/>
      <c r="G9864"/>
      <c r="L9864"/>
    </row>
    <row r="9865" spans="1:12" x14ac:dyDescent="0.25">
      <c r="A9865"/>
      <c r="B9865"/>
      <c r="D9865"/>
      <c r="G9865"/>
      <c r="L9865"/>
    </row>
    <row r="9866" spans="1:12" x14ac:dyDescent="0.25">
      <c r="A9866"/>
      <c r="B9866"/>
      <c r="D9866"/>
      <c r="G9866"/>
      <c r="L9866"/>
    </row>
    <row r="9867" spans="1:12" x14ac:dyDescent="0.25">
      <c r="A9867"/>
      <c r="B9867"/>
      <c r="D9867"/>
      <c r="G9867"/>
      <c r="L9867"/>
    </row>
    <row r="9868" spans="1:12" x14ac:dyDescent="0.25">
      <c r="A9868"/>
      <c r="B9868"/>
      <c r="D9868"/>
      <c r="G9868"/>
      <c r="L9868"/>
    </row>
    <row r="9869" spans="1:12" x14ac:dyDescent="0.25">
      <c r="A9869"/>
      <c r="B9869"/>
      <c r="D9869"/>
      <c r="G9869"/>
      <c r="L9869"/>
    </row>
    <row r="9870" spans="1:12" x14ac:dyDescent="0.25">
      <c r="A9870"/>
      <c r="B9870"/>
      <c r="D9870"/>
      <c r="G9870"/>
      <c r="L9870"/>
    </row>
    <row r="9871" spans="1:12" x14ac:dyDescent="0.25">
      <c r="A9871"/>
      <c r="B9871"/>
      <c r="D9871"/>
      <c r="G9871"/>
      <c r="L9871"/>
    </row>
    <row r="9872" spans="1:12" x14ac:dyDescent="0.25">
      <c r="A9872"/>
      <c r="B9872"/>
      <c r="D9872"/>
      <c r="G9872"/>
      <c r="L9872"/>
    </row>
    <row r="9873" spans="1:12" x14ac:dyDescent="0.25">
      <c r="A9873"/>
      <c r="B9873"/>
      <c r="D9873"/>
      <c r="G9873"/>
      <c r="L9873"/>
    </row>
    <row r="9874" spans="1:12" x14ac:dyDescent="0.25">
      <c r="A9874"/>
      <c r="B9874"/>
      <c r="D9874"/>
      <c r="G9874"/>
      <c r="L9874"/>
    </row>
    <row r="9875" spans="1:12" x14ac:dyDescent="0.25">
      <c r="A9875"/>
      <c r="B9875"/>
      <c r="D9875"/>
      <c r="G9875"/>
      <c r="L9875"/>
    </row>
    <row r="9876" spans="1:12" x14ac:dyDescent="0.25">
      <c r="A9876"/>
      <c r="B9876"/>
      <c r="D9876"/>
      <c r="G9876"/>
      <c r="L9876"/>
    </row>
    <row r="9877" spans="1:12" x14ac:dyDescent="0.25">
      <c r="A9877"/>
      <c r="B9877"/>
      <c r="D9877"/>
      <c r="G9877"/>
      <c r="L9877"/>
    </row>
    <row r="9878" spans="1:12" x14ac:dyDescent="0.25">
      <c r="A9878"/>
      <c r="B9878"/>
      <c r="D9878"/>
      <c r="G9878"/>
      <c r="L9878"/>
    </row>
    <row r="9879" spans="1:12" x14ac:dyDescent="0.25">
      <c r="A9879"/>
      <c r="B9879"/>
      <c r="D9879"/>
      <c r="G9879"/>
      <c r="L9879"/>
    </row>
    <row r="9880" spans="1:12" x14ac:dyDescent="0.25">
      <c r="A9880"/>
      <c r="B9880"/>
      <c r="D9880"/>
      <c r="G9880"/>
      <c r="L9880"/>
    </row>
    <row r="9881" spans="1:12" x14ac:dyDescent="0.25">
      <c r="A9881"/>
      <c r="B9881"/>
      <c r="D9881"/>
      <c r="G9881"/>
      <c r="L9881"/>
    </row>
    <row r="9882" spans="1:12" x14ac:dyDescent="0.25">
      <c r="A9882"/>
      <c r="B9882"/>
      <c r="D9882"/>
      <c r="G9882"/>
      <c r="L9882"/>
    </row>
    <row r="9883" spans="1:12" x14ac:dyDescent="0.25">
      <c r="A9883"/>
      <c r="B9883"/>
      <c r="D9883"/>
      <c r="G9883"/>
      <c r="L9883"/>
    </row>
    <row r="9884" spans="1:12" x14ac:dyDescent="0.25">
      <c r="A9884"/>
      <c r="B9884"/>
      <c r="D9884"/>
      <c r="G9884"/>
      <c r="L9884"/>
    </row>
    <row r="9885" spans="1:12" x14ac:dyDescent="0.25">
      <c r="A9885"/>
      <c r="B9885"/>
      <c r="D9885"/>
      <c r="G9885"/>
      <c r="L9885"/>
    </row>
    <row r="9886" spans="1:12" x14ac:dyDescent="0.25">
      <c r="A9886"/>
      <c r="B9886"/>
      <c r="D9886"/>
      <c r="G9886"/>
      <c r="L9886"/>
    </row>
    <row r="9887" spans="1:12" x14ac:dyDescent="0.25">
      <c r="A9887"/>
      <c r="B9887"/>
      <c r="D9887"/>
      <c r="G9887"/>
      <c r="L9887"/>
    </row>
    <row r="9888" spans="1:12" x14ac:dyDescent="0.25">
      <c r="A9888"/>
      <c r="B9888"/>
      <c r="D9888"/>
      <c r="G9888"/>
      <c r="L9888"/>
    </row>
    <row r="9889" spans="1:12" x14ac:dyDescent="0.25">
      <c r="A9889"/>
      <c r="B9889"/>
      <c r="D9889"/>
      <c r="G9889"/>
      <c r="L9889"/>
    </row>
    <row r="9890" spans="1:12" x14ac:dyDescent="0.25">
      <c r="A9890"/>
      <c r="B9890"/>
      <c r="D9890"/>
      <c r="G9890"/>
      <c r="L9890"/>
    </row>
    <row r="9891" spans="1:12" x14ac:dyDescent="0.25">
      <c r="A9891"/>
      <c r="B9891"/>
      <c r="D9891"/>
      <c r="G9891"/>
      <c r="L9891"/>
    </row>
    <row r="9892" spans="1:12" x14ac:dyDescent="0.25">
      <c r="A9892"/>
      <c r="B9892"/>
      <c r="D9892"/>
      <c r="G9892"/>
      <c r="L9892"/>
    </row>
    <row r="9893" spans="1:12" x14ac:dyDescent="0.25">
      <c r="A9893"/>
      <c r="B9893"/>
      <c r="D9893"/>
      <c r="G9893"/>
      <c r="L9893"/>
    </row>
    <row r="9894" spans="1:12" x14ac:dyDescent="0.25">
      <c r="A9894"/>
      <c r="B9894"/>
      <c r="D9894"/>
      <c r="G9894"/>
      <c r="L9894"/>
    </row>
    <row r="9895" spans="1:12" x14ac:dyDescent="0.25">
      <c r="A9895"/>
      <c r="B9895"/>
      <c r="D9895"/>
      <c r="G9895"/>
      <c r="L9895"/>
    </row>
    <row r="9896" spans="1:12" x14ac:dyDescent="0.25">
      <c r="A9896"/>
      <c r="B9896"/>
      <c r="D9896"/>
      <c r="G9896"/>
      <c r="L9896"/>
    </row>
    <row r="9897" spans="1:12" x14ac:dyDescent="0.25">
      <c r="A9897"/>
      <c r="B9897"/>
      <c r="D9897"/>
      <c r="G9897"/>
      <c r="L9897"/>
    </row>
    <row r="9898" spans="1:12" x14ac:dyDescent="0.25">
      <c r="A9898"/>
      <c r="B9898"/>
      <c r="D9898"/>
      <c r="G9898"/>
      <c r="L9898"/>
    </row>
    <row r="9899" spans="1:12" x14ac:dyDescent="0.25">
      <c r="A9899"/>
      <c r="B9899"/>
      <c r="D9899"/>
      <c r="G9899"/>
      <c r="L9899"/>
    </row>
    <row r="9900" spans="1:12" x14ac:dyDescent="0.25">
      <c r="A9900"/>
      <c r="B9900"/>
      <c r="D9900"/>
      <c r="G9900"/>
      <c r="L9900"/>
    </row>
    <row r="9901" spans="1:12" x14ac:dyDescent="0.25">
      <c r="A9901"/>
      <c r="B9901"/>
      <c r="D9901"/>
      <c r="G9901"/>
      <c r="L9901"/>
    </row>
    <row r="9902" spans="1:12" x14ac:dyDescent="0.25">
      <c r="A9902"/>
      <c r="B9902"/>
      <c r="D9902"/>
      <c r="G9902"/>
      <c r="L9902"/>
    </row>
    <row r="9903" spans="1:12" x14ac:dyDescent="0.25">
      <c r="A9903"/>
      <c r="B9903"/>
      <c r="D9903"/>
      <c r="G9903"/>
      <c r="L9903"/>
    </row>
    <row r="9904" spans="1:12" x14ac:dyDescent="0.25">
      <c r="A9904"/>
      <c r="B9904"/>
      <c r="D9904"/>
      <c r="G9904"/>
      <c r="L9904"/>
    </row>
    <row r="9905" spans="1:12" x14ac:dyDescent="0.25">
      <c r="A9905"/>
      <c r="B9905"/>
      <c r="D9905"/>
      <c r="G9905"/>
      <c r="L9905"/>
    </row>
    <row r="9906" spans="1:12" x14ac:dyDescent="0.25">
      <c r="A9906"/>
      <c r="B9906"/>
      <c r="D9906"/>
      <c r="G9906"/>
      <c r="L9906"/>
    </row>
    <row r="9907" spans="1:12" x14ac:dyDescent="0.25">
      <c r="A9907"/>
      <c r="B9907"/>
      <c r="D9907"/>
      <c r="G9907"/>
      <c r="L9907"/>
    </row>
    <row r="9908" spans="1:12" x14ac:dyDescent="0.25">
      <c r="A9908"/>
      <c r="B9908"/>
      <c r="D9908"/>
      <c r="G9908"/>
      <c r="L9908"/>
    </row>
    <row r="9909" spans="1:12" x14ac:dyDescent="0.25">
      <c r="A9909"/>
      <c r="B9909"/>
      <c r="D9909"/>
      <c r="G9909"/>
      <c r="L9909"/>
    </row>
    <row r="9910" spans="1:12" x14ac:dyDescent="0.25">
      <c r="A9910"/>
      <c r="B9910"/>
      <c r="D9910"/>
      <c r="G9910"/>
      <c r="L9910"/>
    </row>
    <row r="9911" spans="1:12" x14ac:dyDescent="0.25">
      <c r="A9911"/>
      <c r="B9911"/>
      <c r="D9911"/>
      <c r="G9911"/>
      <c r="L9911"/>
    </row>
    <row r="9912" spans="1:12" x14ac:dyDescent="0.25">
      <c r="A9912"/>
      <c r="B9912"/>
      <c r="D9912"/>
      <c r="G9912"/>
      <c r="L9912"/>
    </row>
    <row r="9913" spans="1:12" x14ac:dyDescent="0.25">
      <c r="A9913"/>
      <c r="B9913"/>
      <c r="D9913"/>
      <c r="G9913"/>
      <c r="L9913"/>
    </row>
    <row r="9914" spans="1:12" x14ac:dyDescent="0.25">
      <c r="A9914"/>
      <c r="B9914"/>
      <c r="D9914"/>
      <c r="G9914"/>
      <c r="L9914"/>
    </row>
    <row r="9915" spans="1:12" x14ac:dyDescent="0.25">
      <c r="A9915"/>
      <c r="B9915"/>
      <c r="D9915"/>
      <c r="G9915"/>
      <c r="L9915"/>
    </row>
    <row r="9916" spans="1:12" x14ac:dyDescent="0.25">
      <c r="A9916"/>
      <c r="B9916"/>
      <c r="D9916"/>
      <c r="G9916"/>
      <c r="L9916"/>
    </row>
    <row r="9917" spans="1:12" x14ac:dyDescent="0.25">
      <c r="A9917"/>
      <c r="B9917"/>
      <c r="D9917"/>
      <c r="G9917"/>
      <c r="L9917"/>
    </row>
    <row r="9918" spans="1:12" x14ac:dyDescent="0.25">
      <c r="A9918"/>
      <c r="B9918"/>
      <c r="D9918"/>
      <c r="G9918"/>
      <c r="L9918"/>
    </row>
    <row r="9919" spans="1:12" x14ac:dyDescent="0.25">
      <c r="A9919"/>
      <c r="B9919"/>
      <c r="D9919"/>
      <c r="G9919"/>
      <c r="L9919"/>
    </row>
    <row r="9920" spans="1:12" x14ac:dyDescent="0.25">
      <c r="A9920"/>
      <c r="B9920"/>
      <c r="D9920"/>
      <c r="G9920"/>
      <c r="L9920"/>
    </row>
    <row r="9921" spans="1:12" x14ac:dyDescent="0.25">
      <c r="A9921"/>
      <c r="B9921"/>
      <c r="D9921"/>
      <c r="G9921"/>
      <c r="L9921"/>
    </row>
    <row r="9922" spans="1:12" x14ac:dyDescent="0.25">
      <c r="A9922"/>
      <c r="B9922"/>
      <c r="D9922"/>
      <c r="G9922"/>
      <c r="L9922"/>
    </row>
    <row r="9923" spans="1:12" x14ac:dyDescent="0.25">
      <c r="A9923"/>
      <c r="B9923"/>
      <c r="D9923"/>
      <c r="G9923"/>
      <c r="L9923"/>
    </row>
    <row r="9924" spans="1:12" x14ac:dyDescent="0.25">
      <c r="A9924"/>
      <c r="B9924"/>
      <c r="D9924"/>
      <c r="G9924"/>
      <c r="L9924"/>
    </row>
    <row r="9925" spans="1:12" x14ac:dyDescent="0.25">
      <c r="A9925"/>
      <c r="B9925"/>
      <c r="D9925"/>
      <c r="G9925"/>
      <c r="L9925"/>
    </row>
    <row r="9926" spans="1:12" x14ac:dyDescent="0.25">
      <c r="A9926"/>
      <c r="B9926"/>
      <c r="D9926"/>
      <c r="G9926"/>
      <c r="L9926"/>
    </row>
    <row r="9927" spans="1:12" x14ac:dyDescent="0.25">
      <c r="A9927"/>
      <c r="B9927"/>
      <c r="D9927"/>
      <c r="G9927"/>
      <c r="L9927"/>
    </row>
    <row r="9928" spans="1:12" x14ac:dyDescent="0.25">
      <c r="A9928"/>
      <c r="B9928"/>
      <c r="D9928"/>
      <c r="G9928"/>
      <c r="L9928"/>
    </row>
    <row r="9929" spans="1:12" x14ac:dyDescent="0.25">
      <c r="A9929"/>
      <c r="B9929"/>
      <c r="D9929"/>
      <c r="G9929"/>
      <c r="L9929"/>
    </row>
    <row r="9930" spans="1:12" x14ac:dyDescent="0.25">
      <c r="A9930"/>
      <c r="B9930"/>
      <c r="D9930"/>
      <c r="G9930"/>
      <c r="L9930"/>
    </row>
    <row r="9931" spans="1:12" x14ac:dyDescent="0.25">
      <c r="A9931"/>
      <c r="B9931"/>
      <c r="D9931"/>
      <c r="G9931"/>
      <c r="L9931"/>
    </row>
    <row r="9932" spans="1:12" x14ac:dyDescent="0.25">
      <c r="A9932"/>
      <c r="B9932"/>
      <c r="D9932"/>
      <c r="G9932"/>
      <c r="L9932"/>
    </row>
    <row r="9933" spans="1:12" x14ac:dyDescent="0.25">
      <c r="A9933"/>
      <c r="B9933"/>
      <c r="D9933"/>
      <c r="G9933"/>
      <c r="L9933"/>
    </row>
    <row r="9934" spans="1:12" x14ac:dyDescent="0.25">
      <c r="A9934"/>
      <c r="B9934"/>
      <c r="D9934"/>
      <c r="G9934"/>
      <c r="L9934"/>
    </row>
    <row r="9935" spans="1:12" x14ac:dyDescent="0.25">
      <c r="A9935"/>
      <c r="B9935"/>
      <c r="D9935"/>
      <c r="G9935"/>
      <c r="L9935"/>
    </row>
    <row r="9936" spans="1:12" x14ac:dyDescent="0.25">
      <c r="A9936"/>
      <c r="B9936"/>
      <c r="D9936"/>
      <c r="G9936"/>
      <c r="L9936"/>
    </row>
    <row r="9937" spans="1:12" x14ac:dyDescent="0.25">
      <c r="A9937"/>
      <c r="B9937"/>
      <c r="D9937"/>
      <c r="G9937"/>
      <c r="L9937"/>
    </row>
    <row r="9938" spans="1:12" x14ac:dyDescent="0.25">
      <c r="A9938"/>
      <c r="B9938"/>
      <c r="D9938"/>
      <c r="G9938"/>
      <c r="L9938"/>
    </row>
    <row r="9939" spans="1:12" x14ac:dyDescent="0.25">
      <c r="A9939"/>
      <c r="B9939"/>
      <c r="D9939"/>
      <c r="G9939"/>
      <c r="L9939"/>
    </row>
    <row r="9940" spans="1:12" x14ac:dyDescent="0.25">
      <c r="A9940"/>
      <c r="B9940"/>
      <c r="D9940"/>
      <c r="G9940"/>
      <c r="L9940"/>
    </row>
    <row r="9941" spans="1:12" x14ac:dyDescent="0.25">
      <c r="A9941"/>
      <c r="B9941"/>
      <c r="D9941"/>
      <c r="G9941"/>
      <c r="L9941"/>
    </row>
    <row r="9942" spans="1:12" x14ac:dyDescent="0.25">
      <c r="A9942"/>
      <c r="B9942"/>
      <c r="D9942"/>
      <c r="G9942"/>
      <c r="L9942"/>
    </row>
    <row r="9943" spans="1:12" x14ac:dyDescent="0.25">
      <c r="A9943"/>
      <c r="B9943"/>
      <c r="D9943"/>
      <c r="G9943"/>
      <c r="L9943"/>
    </row>
    <row r="9944" spans="1:12" x14ac:dyDescent="0.25">
      <c r="A9944"/>
      <c r="B9944"/>
      <c r="D9944"/>
      <c r="G9944"/>
      <c r="L9944"/>
    </row>
    <row r="9945" spans="1:12" x14ac:dyDescent="0.25">
      <c r="A9945"/>
      <c r="B9945"/>
      <c r="D9945"/>
      <c r="G9945"/>
      <c r="L9945"/>
    </row>
    <row r="9946" spans="1:12" x14ac:dyDescent="0.25">
      <c r="A9946"/>
      <c r="B9946"/>
      <c r="D9946"/>
      <c r="G9946"/>
      <c r="L9946"/>
    </row>
    <row r="9947" spans="1:12" x14ac:dyDescent="0.25">
      <c r="A9947"/>
      <c r="B9947"/>
      <c r="D9947"/>
      <c r="G9947"/>
      <c r="L9947"/>
    </row>
    <row r="9948" spans="1:12" x14ac:dyDescent="0.25">
      <c r="A9948"/>
      <c r="B9948"/>
      <c r="D9948"/>
      <c r="G9948"/>
      <c r="L9948"/>
    </row>
    <row r="9949" spans="1:12" x14ac:dyDescent="0.25">
      <c r="A9949"/>
      <c r="B9949"/>
      <c r="D9949"/>
      <c r="G9949"/>
      <c r="L9949"/>
    </row>
    <row r="9950" spans="1:12" x14ac:dyDescent="0.25">
      <c r="A9950"/>
      <c r="B9950"/>
      <c r="D9950"/>
      <c r="G9950"/>
      <c r="L9950"/>
    </row>
    <row r="9951" spans="1:12" x14ac:dyDescent="0.25">
      <c r="A9951"/>
      <c r="B9951"/>
      <c r="D9951"/>
      <c r="G9951"/>
      <c r="L9951"/>
    </row>
    <row r="9952" spans="1:12" x14ac:dyDescent="0.25">
      <c r="A9952"/>
      <c r="B9952"/>
      <c r="D9952"/>
      <c r="G9952"/>
      <c r="L9952"/>
    </row>
    <row r="9953" spans="1:12" x14ac:dyDescent="0.25">
      <c r="A9953"/>
      <c r="B9953"/>
      <c r="D9953"/>
      <c r="G9953"/>
      <c r="L9953"/>
    </row>
    <row r="9954" spans="1:12" x14ac:dyDescent="0.25">
      <c r="A9954"/>
      <c r="B9954"/>
      <c r="D9954"/>
      <c r="G9954"/>
      <c r="L9954"/>
    </row>
    <row r="9955" spans="1:12" x14ac:dyDescent="0.25">
      <c r="A9955"/>
      <c r="B9955"/>
      <c r="D9955"/>
      <c r="G9955"/>
      <c r="L9955"/>
    </row>
    <row r="9956" spans="1:12" x14ac:dyDescent="0.25">
      <c r="A9956"/>
      <c r="B9956"/>
      <c r="D9956"/>
      <c r="G9956"/>
      <c r="L9956"/>
    </row>
    <row r="9957" spans="1:12" x14ac:dyDescent="0.25">
      <c r="A9957"/>
      <c r="B9957"/>
      <c r="D9957"/>
      <c r="G9957"/>
      <c r="L9957"/>
    </row>
    <row r="9958" spans="1:12" x14ac:dyDescent="0.25">
      <c r="A9958"/>
      <c r="B9958"/>
      <c r="D9958"/>
      <c r="G9958"/>
      <c r="L9958"/>
    </row>
    <row r="9959" spans="1:12" x14ac:dyDescent="0.25">
      <c r="A9959"/>
      <c r="B9959"/>
      <c r="D9959"/>
      <c r="G9959"/>
      <c r="L9959"/>
    </row>
    <row r="9960" spans="1:12" x14ac:dyDescent="0.25">
      <c r="A9960"/>
      <c r="B9960"/>
      <c r="D9960"/>
      <c r="G9960"/>
      <c r="L9960"/>
    </row>
    <row r="9961" spans="1:12" x14ac:dyDescent="0.25">
      <c r="A9961"/>
      <c r="B9961"/>
      <c r="D9961"/>
      <c r="G9961"/>
      <c r="L9961"/>
    </row>
    <row r="9962" spans="1:12" x14ac:dyDescent="0.25">
      <c r="A9962"/>
      <c r="B9962"/>
      <c r="D9962"/>
      <c r="G9962"/>
      <c r="L9962"/>
    </row>
    <row r="9963" spans="1:12" x14ac:dyDescent="0.25">
      <c r="A9963"/>
      <c r="B9963"/>
      <c r="D9963"/>
      <c r="G9963"/>
      <c r="L9963"/>
    </row>
    <row r="9964" spans="1:12" x14ac:dyDescent="0.25">
      <c r="A9964"/>
      <c r="B9964"/>
      <c r="D9964"/>
      <c r="G9964"/>
      <c r="L9964"/>
    </row>
    <row r="9965" spans="1:12" x14ac:dyDescent="0.25">
      <c r="A9965"/>
      <c r="B9965"/>
      <c r="D9965"/>
      <c r="G9965"/>
      <c r="L9965"/>
    </row>
    <row r="9966" spans="1:12" x14ac:dyDescent="0.25">
      <c r="A9966"/>
      <c r="B9966"/>
      <c r="D9966"/>
      <c r="G9966"/>
      <c r="L9966"/>
    </row>
    <row r="9967" spans="1:12" x14ac:dyDescent="0.25">
      <c r="A9967"/>
      <c r="B9967"/>
      <c r="D9967"/>
      <c r="G9967"/>
      <c r="L9967"/>
    </row>
    <row r="9968" spans="1:12" x14ac:dyDescent="0.25">
      <c r="A9968"/>
      <c r="B9968"/>
      <c r="D9968"/>
      <c r="G9968"/>
      <c r="L9968"/>
    </row>
    <row r="9969" spans="1:12" x14ac:dyDescent="0.25">
      <c r="A9969"/>
      <c r="B9969"/>
      <c r="D9969"/>
      <c r="G9969"/>
      <c r="L9969"/>
    </row>
    <row r="9970" spans="1:12" x14ac:dyDescent="0.25">
      <c r="A9970"/>
      <c r="B9970"/>
      <c r="D9970"/>
      <c r="G9970"/>
      <c r="L9970"/>
    </row>
    <row r="9971" spans="1:12" x14ac:dyDescent="0.25">
      <c r="A9971"/>
      <c r="B9971"/>
      <c r="D9971"/>
      <c r="G9971"/>
      <c r="L9971"/>
    </row>
    <row r="9972" spans="1:12" x14ac:dyDescent="0.25">
      <c r="A9972"/>
      <c r="B9972"/>
      <c r="D9972"/>
      <c r="G9972"/>
      <c r="L9972"/>
    </row>
    <row r="9973" spans="1:12" x14ac:dyDescent="0.25">
      <c r="A9973"/>
      <c r="B9973"/>
      <c r="D9973"/>
      <c r="G9973"/>
      <c r="L9973"/>
    </row>
    <row r="9974" spans="1:12" x14ac:dyDescent="0.25">
      <c r="A9974"/>
      <c r="B9974"/>
      <c r="D9974"/>
      <c r="G9974"/>
      <c r="L9974"/>
    </row>
    <row r="9975" spans="1:12" x14ac:dyDescent="0.25">
      <c r="A9975"/>
      <c r="B9975"/>
      <c r="D9975"/>
      <c r="G9975"/>
      <c r="L9975"/>
    </row>
    <row r="9976" spans="1:12" x14ac:dyDescent="0.25">
      <c r="A9976"/>
      <c r="B9976"/>
      <c r="D9976"/>
      <c r="G9976"/>
      <c r="L9976"/>
    </row>
    <row r="9977" spans="1:12" x14ac:dyDescent="0.25">
      <c r="A9977"/>
      <c r="B9977"/>
      <c r="D9977"/>
      <c r="G9977"/>
      <c r="L9977"/>
    </row>
    <row r="9978" spans="1:12" x14ac:dyDescent="0.25">
      <c r="A9978"/>
      <c r="B9978"/>
      <c r="D9978"/>
      <c r="G9978"/>
      <c r="L9978"/>
    </row>
    <row r="9979" spans="1:12" x14ac:dyDescent="0.25">
      <c r="A9979"/>
      <c r="B9979"/>
      <c r="D9979"/>
      <c r="G9979"/>
      <c r="L9979"/>
    </row>
    <row r="9980" spans="1:12" x14ac:dyDescent="0.25">
      <c r="A9980"/>
      <c r="B9980"/>
      <c r="D9980"/>
      <c r="G9980"/>
      <c r="L9980"/>
    </row>
    <row r="9981" spans="1:12" x14ac:dyDescent="0.25">
      <c r="A9981"/>
      <c r="B9981"/>
      <c r="D9981"/>
      <c r="G9981"/>
      <c r="L9981"/>
    </row>
    <row r="9982" spans="1:12" x14ac:dyDescent="0.25">
      <c r="A9982"/>
      <c r="B9982"/>
      <c r="D9982"/>
      <c r="G9982"/>
      <c r="L9982"/>
    </row>
    <row r="9983" spans="1:12" x14ac:dyDescent="0.25">
      <c r="A9983"/>
      <c r="B9983"/>
      <c r="D9983"/>
      <c r="G9983"/>
      <c r="L9983"/>
    </row>
    <row r="9984" spans="1:12" x14ac:dyDescent="0.25">
      <c r="A9984"/>
      <c r="B9984"/>
      <c r="D9984"/>
      <c r="G9984"/>
      <c r="L9984"/>
    </row>
    <row r="9985" spans="1:12" x14ac:dyDescent="0.25">
      <c r="A9985"/>
      <c r="B9985"/>
      <c r="D9985"/>
      <c r="G9985"/>
      <c r="L9985"/>
    </row>
    <row r="9986" spans="1:12" x14ac:dyDescent="0.25">
      <c r="A9986"/>
      <c r="B9986"/>
      <c r="D9986"/>
      <c r="G9986"/>
      <c r="L9986"/>
    </row>
    <row r="9987" spans="1:12" x14ac:dyDescent="0.25">
      <c r="A9987"/>
      <c r="B9987"/>
      <c r="D9987"/>
      <c r="G9987"/>
      <c r="L9987"/>
    </row>
    <row r="9988" spans="1:12" x14ac:dyDescent="0.25">
      <c r="A9988"/>
      <c r="B9988"/>
      <c r="D9988"/>
      <c r="G9988"/>
      <c r="L9988"/>
    </row>
    <row r="9989" spans="1:12" x14ac:dyDescent="0.25">
      <c r="A9989"/>
      <c r="B9989"/>
      <c r="D9989"/>
      <c r="G9989"/>
      <c r="L9989"/>
    </row>
    <row r="9990" spans="1:12" x14ac:dyDescent="0.25">
      <c r="A9990"/>
      <c r="B9990"/>
      <c r="D9990"/>
      <c r="G9990"/>
      <c r="L9990"/>
    </row>
    <row r="9991" spans="1:12" x14ac:dyDescent="0.25">
      <c r="A9991"/>
      <c r="B9991"/>
      <c r="D9991"/>
      <c r="G9991"/>
      <c r="L9991"/>
    </row>
    <row r="9992" spans="1:12" x14ac:dyDescent="0.25">
      <c r="A9992"/>
      <c r="B9992"/>
      <c r="D9992"/>
      <c r="G9992"/>
      <c r="L9992"/>
    </row>
    <row r="9993" spans="1:12" x14ac:dyDescent="0.25">
      <c r="A9993"/>
      <c r="B9993"/>
      <c r="D9993"/>
      <c r="G9993"/>
      <c r="L9993"/>
    </row>
    <row r="9994" spans="1:12" x14ac:dyDescent="0.25">
      <c r="A9994"/>
      <c r="B9994"/>
      <c r="D9994"/>
      <c r="G9994"/>
      <c r="L9994"/>
    </row>
    <row r="9995" spans="1:12" x14ac:dyDescent="0.25">
      <c r="A9995"/>
      <c r="B9995"/>
      <c r="D9995"/>
      <c r="G9995"/>
      <c r="L9995"/>
    </row>
    <row r="9996" spans="1:12" x14ac:dyDescent="0.25">
      <c r="A9996"/>
      <c r="B9996"/>
      <c r="D9996"/>
      <c r="G9996"/>
      <c r="L9996"/>
    </row>
    <row r="9997" spans="1:12" x14ac:dyDescent="0.25">
      <c r="A9997"/>
      <c r="B9997"/>
      <c r="D9997"/>
      <c r="G9997"/>
      <c r="L9997"/>
    </row>
    <row r="9998" spans="1:12" x14ac:dyDescent="0.25">
      <c r="A9998"/>
      <c r="B9998"/>
      <c r="D9998"/>
      <c r="G9998"/>
      <c r="L9998"/>
    </row>
    <row r="9999" spans="1:12" x14ac:dyDescent="0.25">
      <c r="A9999"/>
      <c r="B9999"/>
      <c r="D9999"/>
      <c r="G9999"/>
      <c r="L9999"/>
    </row>
    <row r="10000" spans="1:12" x14ac:dyDescent="0.25">
      <c r="A10000"/>
      <c r="B10000"/>
      <c r="D10000"/>
      <c r="G10000"/>
      <c r="L100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R1000"/>
  <sheetViews>
    <sheetView showGridLines="0" tabSelected="1" zoomScale="90" zoomScaleNormal="90" workbookViewId="0">
      <pane ySplit="5" topLeftCell="A14" activePane="bottomLeft" state="frozen"/>
      <selection pane="bottomLeft" activeCell="A14" sqref="A14"/>
    </sheetView>
  </sheetViews>
  <sheetFormatPr defaultColWidth="25.85546875" defaultRowHeight="72" customHeight="1" thickBottom="1" x14ac:dyDescent="0.25"/>
  <cols>
    <col min="1" max="1" width="12.140625" style="36" bestFit="1" customWidth="1"/>
    <col min="2" max="2" width="11.5703125" style="36" customWidth="1"/>
    <col min="3" max="3" width="11" style="36" customWidth="1"/>
    <col min="4" max="4" width="18" style="36" customWidth="1"/>
    <col min="5" max="5" width="17.28515625" style="37" customWidth="1"/>
    <col min="6" max="6" width="12.5703125" style="36" customWidth="1"/>
    <col min="7" max="7" width="23.7109375" style="6" hidden="1" customWidth="1"/>
    <col min="8" max="8" width="11.28515625" style="8" customWidth="1"/>
    <col min="9" max="9" width="12.5703125" style="6" customWidth="1"/>
    <col min="10" max="10" width="23.7109375" style="8" customWidth="1"/>
    <col min="11" max="11" width="15.5703125" style="8" customWidth="1"/>
    <col min="12" max="12" width="17.140625" style="8" customWidth="1"/>
    <col min="13" max="13" width="31.85546875" style="6" customWidth="1"/>
    <col min="14" max="14" width="20" style="6" customWidth="1"/>
    <col min="15" max="15" width="31.85546875" style="6" customWidth="1"/>
    <col min="16" max="16" width="17.140625" style="6" customWidth="1"/>
    <col min="17" max="17" width="14.140625" style="8" customWidth="1"/>
    <col min="18" max="16384" width="25.85546875" style="5"/>
  </cols>
  <sheetData>
    <row r="1" spans="1:18" ht="28.5" customHeight="1" x14ac:dyDescent="0.2">
      <c r="A1" s="33"/>
      <c r="B1" s="33"/>
      <c r="C1" s="33"/>
      <c r="D1" s="33"/>
      <c r="E1" s="34"/>
      <c r="F1" s="33"/>
      <c r="G1" s="25"/>
      <c r="H1" s="26"/>
      <c r="I1" s="25"/>
      <c r="J1" s="26"/>
      <c r="K1" s="26"/>
      <c r="L1" s="26"/>
      <c r="M1" s="25"/>
      <c r="N1" s="25"/>
      <c r="O1" s="25"/>
      <c r="P1" s="25"/>
      <c r="Q1" s="26"/>
    </row>
    <row r="2" spans="1:18" ht="71.25" customHeight="1" x14ac:dyDescent="0.2">
      <c r="A2" s="33"/>
      <c r="B2" s="33"/>
      <c r="C2" s="33"/>
      <c r="D2" s="33"/>
      <c r="E2" s="34"/>
      <c r="F2" s="33"/>
      <c r="G2" s="25"/>
      <c r="H2" s="26"/>
      <c r="I2" s="25"/>
      <c r="J2" s="26"/>
      <c r="K2" s="26"/>
      <c r="L2" s="26"/>
      <c r="M2" s="25"/>
      <c r="N2" s="25"/>
      <c r="O2" s="25"/>
      <c r="P2" s="25"/>
      <c r="Q2" s="26"/>
    </row>
    <row r="3" spans="1:18" ht="57.75" customHeight="1" x14ac:dyDescent="0.2">
      <c r="A3" s="102" t="s">
        <v>19</v>
      </c>
      <c r="B3" s="102"/>
      <c r="C3" s="102"/>
      <c r="D3" s="102"/>
      <c r="E3" s="103"/>
      <c r="F3" s="102"/>
      <c r="G3" s="102"/>
      <c r="H3" s="103"/>
      <c r="I3" s="102"/>
      <c r="J3" s="103"/>
      <c r="K3" s="103"/>
      <c r="L3" s="103"/>
      <c r="M3" s="102"/>
      <c r="N3" s="102"/>
      <c r="O3" s="102"/>
      <c r="P3" s="102"/>
      <c r="Q3" s="102"/>
    </row>
    <row r="4" spans="1:18" ht="28.5" customHeight="1" x14ac:dyDescent="0.2">
      <c r="A4" s="104" t="s">
        <v>334</v>
      </c>
      <c r="B4" s="104"/>
      <c r="C4" s="104"/>
      <c r="D4" s="104"/>
      <c r="E4" s="104"/>
      <c r="F4" s="104"/>
      <c r="G4" s="97"/>
      <c r="H4" s="105" t="s">
        <v>335</v>
      </c>
      <c r="I4" s="105"/>
      <c r="J4" s="105"/>
      <c r="K4" s="98" t="s">
        <v>336</v>
      </c>
      <c r="L4" s="106" t="s">
        <v>337</v>
      </c>
      <c r="M4" s="106"/>
      <c r="N4" s="106"/>
      <c r="O4" s="107" t="s">
        <v>338</v>
      </c>
      <c r="P4" s="107"/>
      <c r="Q4" s="99" t="s">
        <v>332</v>
      </c>
    </row>
    <row r="5" spans="1:18" ht="33.75" customHeight="1" x14ac:dyDescent="0.2">
      <c r="A5" s="86" t="s">
        <v>0</v>
      </c>
      <c r="B5" s="86" t="s">
        <v>208</v>
      </c>
      <c r="C5" s="86" t="s">
        <v>1</v>
      </c>
      <c r="D5" s="86" t="s">
        <v>2</v>
      </c>
      <c r="E5" s="87" t="s">
        <v>209</v>
      </c>
      <c r="F5" s="86" t="s">
        <v>3</v>
      </c>
      <c r="G5" s="88" t="s">
        <v>4</v>
      </c>
      <c r="H5" s="89" t="s">
        <v>259</v>
      </c>
      <c r="I5" s="90" t="s">
        <v>304</v>
      </c>
      <c r="J5" s="89" t="s">
        <v>263</v>
      </c>
      <c r="K5" s="91" t="s">
        <v>205</v>
      </c>
      <c r="L5" s="92" t="s">
        <v>303</v>
      </c>
      <c r="M5" s="93" t="s">
        <v>272</v>
      </c>
      <c r="N5" s="93" t="s">
        <v>330</v>
      </c>
      <c r="O5" s="94" t="s">
        <v>331</v>
      </c>
      <c r="P5" s="95" t="s">
        <v>8</v>
      </c>
      <c r="Q5" s="96" t="s">
        <v>9</v>
      </c>
    </row>
    <row r="6" spans="1:18" ht="120" x14ac:dyDescent="0.25">
      <c r="A6" s="23">
        <v>9726394</v>
      </c>
      <c r="B6" s="38">
        <v>1</v>
      </c>
      <c r="C6" s="23" t="s">
        <v>215</v>
      </c>
      <c r="D6" s="39" t="s">
        <v>39</v>
      </c>
      <c r="E6" s="40">
        <v>42626.460659722223</v>
      </c>
      <c r="F6" s="41">
        <v>42626.460659722223</v>
      </c>
      <c r="G6" s="30" t="s">
        <v>25</v>
      </c>
      <c r="H6" s="30" t="s">
        <v>262</v>
      </c>
      <c r="I6" s="30" t="s">
        <v>364</v>
      </c>
      <c r="J6" s="30" t="s">
        <v>365</v>
      </c>
      <c r="K6" s="29" t="s">
        <v>302</v>
      </c>
      <c r="L6" s="30" t="s">
        <v>74</v>
      </c>
      <c r="M6" s="30" t="s">
        <v>366</v>
      </c>
      <c r="N6" s="30" t="s">
        <v>74</v>
      </c>
      <c r="O6" s="29" t="s">
        <v>432</v>
      </c>
      <c r="P6" s="29" t="s">
        <v>74</v>
      </c>
      <c r="Q6" s="100">
        <v>42628</v>
      </c>
      <c r="R6" s="84"/>
    </row>
    <row r="7" spans="1:18" ht="72" customHeight="1" x14ac:dyDescent="0.25">
      <c r="A7" s="23">
        <v>9743244</v>
      </c>
      <c r="B7" s="38">
        <v>1</v>
      </c>
      <c r="C7" s="23" t="s">
        <v>211</v>
      </c>
      <c r="D7" s="39" t="s">
        <v>210</v>
      </c>
      <c r="E7" s="40">
        <v>42635.570659722223</v>
      </c>
      <c r="F7" s="41">
        <v>42635.570659722223</v>
      </c>
      <c r="G7" s="30" t="s">
        <v>74</v>
      </c>
      <c r="H7" s="30" t="s">
        <v>261</v>
      </c>
      <c r="I7" s="30" t="s">
        <v>367</v>
      </c>
      <c r="J7" s="30" t="s">
        <v>368</v>
      </c>
      <c r="K7" s="29" t="s">
        <v>302</v>
      </c>
      <c r="L7" s="30" t="s">
        <v>74</v>
      </c>
      <c r="M7" s="30" t="s">
        <v>326</v>
      </c>
      <c r="N7" s="30" t="s">
        <v>74</v>
      </c>
      <c r="O7" s="29" t="s">
        <v>74</v>
      </c>
      <c r="P7" s="29" t="s">
        <v>74</v>
      </c>
      <c r="Q7" s="100">
        <v>42639</v>
      </c>
    </row>
    <row r="8" spans="1:18" ht="72" customHeight="1" x14ac:dyDescent="0.25">
      <c r="A8" s="23">
        <v>9743245</v>
      </c>
      <c r="B8" s="38">
        <v>1</v>
      </c>
      <c r="C8" s="23" t="s">
        <v>213</v>
      </c>
      <c r="D8" s="39" t="s">
        <v>210</v>
      </c>
      <c r="E8" s="40">
        <v>42635.570659722223</v>
      </c>
      <c r="F8" s="41">
        <v>42635.570659722223</v>
      </c>
      <c r="G8" s="30" t="s">
        <v>74</v>
      </c>
      <c r="H8" s="30" t="s">
        <v>261</v>
      </c>
      <c r="I8" s="30" t="s">
        <v>367</v>
      </c>
      <c r="J8" s="30" t="s">
        <v>369</v>
      </c>
      <c r="K8" s="29" t="s">
        <v>302</v>
      </c>
      <c r="L8" s="30" t="s">
        <v>74</v>
      </c>
      <c r="M8" s="30" t="s">
        <v>326</v>
      </c>
      <c r="N8" s="30" t="s">
        <v>74</v>
      </c>
      <c r="O8" s="29" t="s">
        <v>74</v>
      </c>
      <c r="P8" s="29" t="s">
        <v>74</v>
      </c>
      <c r="Q8" s="100">
        <v>42639</v>
      </c>
    </row>
    <row r="9" spans="1:18" ht="72" customHeight="1" x14ac:dyDescent="0.25">
      <c r="A9" s="23">
        <v>9743246</v>
      </c>
      <c r="B9" s="38">
        <v>1</v>
      </c>
      <c r="C9" s="23" t="s">
        <v>214</v>
      </c>
      <c r="D9" s="39" t="s">
        <v>210</v>
      </c>
      <c r="E9" s="40">
        <v>42635.570659722223</v>
      </c>
      <c r="F9" s="41">
        <v>42635.570659722223</v>
      </c>
      <c r="G9" s="30" t="s">
        <v>74</v>
      </c>
      <c r="H9" s="30" t="s">
        <v>261</v>
      </c>
      <c r="I9" s="30" t="s">
        <v>367</v>
      </c>
      <c r="J9" s="30" t="s">
        <v>370</v>
      </c>
      <c r="K9" s="29" t="s">
        <v>302</v>
      </c>
      <c r="L9" s="30" t="s">
        <v>74</v>
      </c>
      <c r="M9" s="30" t="s">
        <v>326</v>
      </c>
      <c r="N9" s="30" t="s">
        <v>74</v>
      </c>
      <c r="O9" s="29" t="s">
        <v>74</v>
      </c>
      <c r="P9" s="29" t="s">
        <v>74</v>
      </c>
      <c r="Q9" s="100">
        <v>42639</v>
      </c>
    </row>
    <row r="10" spans="1:18" ht="72" customHeight="1" x14ac:dyDescent="0.25">
      <c r="A10" s="23">
        <v>9745212</v>
      </c>
      <c r="B10" s="38">
        <v>1</v>
      </c>
      <c r="C10" s="23" t="s">
        <v>212</v>
      </c>
      <c r="D10" s="39" t="s">
        <v>210</v>
      </c>
      <c r="E10" s="40">
        <v>42637.146539351852</v>
      </c>
      <c r="F10" s="41">
        <v>42637.146539351852</v>
      </c>
      <c r="G10" s="30" t="s">
        <v>74</v>
      </c>
      <c r="H10" s="30" t="s">
        <v>261</v>
      </c>
      <c r="I10" s="30" t="s">
        <v>371</v>
      </c>
      <c r="J10" s="30" t="s">
        <v>372</v>
      </c>
      <c r="K10" s="29" t="s">
        <v>302</v>
      </c>
      <c r="L10" s="30" t="s">
        <v>74</v>
      </c>
      <c r="M10" s="30" t="s">
        <v>326</v>
      </c>
      <c r="N10" s="30" t="s">
        <v>74</v>
      </c>
      <c r="O10" s="29" t="s">
        <v>74</v>
      </c>
      <c r="P10" s="29" t="s">
        <v>74</v>
      </c>
      <c r="Q10" s="100">
        <v>42639</v>
      </c>
    </row>
    <row r="11" spans="1:18" ht="72" customHeight="1" x14ac:dyDescent="0.25">
      <c r="A11" s="23">
        <v>9745878</v>
      </c>
      <c r="B11" s="38">
        <v>1</v>
      </c>
      <c r="C11" s="23" t="s">
        <v>80</v>
      </c>
      <c r="D11" s="39" t="s">
        <v>20</v>
      </c>
      <c r="E11" s="40">
        <v>42639.045486111114</v>
      </c>
      <c r="F11" s="41">
        <v>42639.045486111114</v>
      </c>
      <c r="G11" s="30" t="s">
        <v>22</v>
      </c>
      <c r="H11" s="30" t="s">
        <v>261</v>
      </c>
      <c r="I11" s="30" t="s">
        <v>367</v>
      </c>
      <c r="J11" s="30" t="s">
        <v>373</v>
      </c>
      <c r="K11" s="29" t="s">
        <v>302</v>
      </c>
      <c r="L11" s="30" t="s">
        <v>74</v>
      </c>
      <c r="M11" s="30" t="s">
        <v>374</v>
      </c>
      <c r="N11" s="30" t="s">
        <v>74</v>
      </c>
      <c r="O11" s="29" t="s">
        <v>74</v>
      </c>
      <c r="P11" s="29" t="s">
        <v>74</v>
      </c>
      <c r="Q11" s="100">
        <v>42641</v>
      </c>
    </row>
    <row r="12" spans="1:18" ht="72" customHeight="1" x14ac:dyDescent="0.25">
      <c r="A12" s="23">
        <v>9748839</v>
      </c>
      <c r="B12" s="38">
        <v>1</v>
      </c>
      <c r="C12" s="23" t="s">
        <v>58</v>
      </c>
      <c r="D12" s="39" t="s">
        <v>210</v>
      </c>
      <c r="E12" s="40">
        <v>42643.044525462959</v>
      </c>
      <c r="F12" s="41">
        <v>42643.044525462959</v>
      </c>
      <c r="G12" s="30" t="s">
        <v>74</v>
      </c>
      <c r="H12" s="30" t="s">
        <v>261</v>
      </c>
      <c r="I12" s="30" t="s">
        <v>74</v>
      </c>
      <c r="J12" s="30" t="s">
        <v>74</v>
      </c>
      <c r="K12" s="29" t="s">
        <v>318</v>
      </c>
      <c r="L12" s="30" t="s">
        <v>74</v>
      </c>
      <c r="M12" s="30" t="s">
        <v>311</v>
      </c>
      <c r="N12" s="30" t="s">
        <v>74</v>
      </c>
      <c r="O12" s="29" t="s">
        <v>74</v>
      </c>
      <c r="P12" s="29" t="s">
        <v>74</v>
      </c>
      <c r="Q12" s="100">
        <v>42647</v>
      </c>
    </row>
    <row r="13" spans="1:18" ht="72" customHeight="1" x14ac:dyDescent="0.25">
      <c r="A13" s="23">
        <v>9749482</v>
      </c>
      <c r="B13" s="38">
        <v>1</v>
      </c>
      <c r="C13" s="23" t="s">
        <v>256</v>
      </c>
      <c r="D13" s="39" t="s">
        <v>11</v>
      </c>
      <c r="E13" s="40">
        <v>42644.271736111114</v>
      </c>
      <c r="F13" s="41">
        <v>42644.271736111114</v>
      </c>
      <c r="G13" s="30" t="s">
        <v>23</v>
      </c>
      <c r="H13" s="30" t="s">
        <v>262</v>
      </c>
      <c r="I13" s="30" t="s">
        <v>74</v>
      </c>
      <c r="J13" s="30" t="s">
        <v>375</v>
      </c>
      <c r="K13" s="29" t="s">
        <v>318</v>
      </c>
      <c r="L13" s="30" t="s">
        <v>74</v>
      </c>
      <c r="M13" s="30" t="s">
        <v>312</v>
      </c>
      <c r="N13" s="30" t="s">
        <v>74</v>
      </c>
      <c r="O13" s="29" t="s">
        <v>74</v>
      </c>
      <c r="P13" s="29" t="s">
        <v>74</v>
      </c>
      <c r="Q13" s="100">
        <v>42646</v>
      </c>
    </row>
    <row r="14" spans="1:18" ht="72" customHeight="1" x14ac:dyDescent="0.25">
      <c r="A14" s="23">
        <v>9749787</v>
      </c>
      <c r="B14" s="38">
        <v>1</v>
      </c>
      <c r="C14" s="23" t="s">
        <v>98</v>
      </c>
      <c r="D14" s="39" t="s">
        <v>11</v>
      </c>
      <c r="E14" s="40">
        <v>42646.460844907408</v>
      </c>
      <c r="F14" s="41">
        <v>42646.460844907408</v>
      </c>
      <c r="G14" s="30" t="s">
        <v>23</v>
      </c>
      <c r="H14" s="30" t="s">
        <v>74</v>
      </c>
      <c r="I14" s="30" t="s">
        <v>74</v>
      </c>
      <c r="J14" s="30" t="s">
        <v>74</v>
      </c>
      <c r="K14" s="29" t="s">
        <v>266</v>
      </c>
      <c r="L14" s="30" t="s">
        <v>74</v>
      </c>
      <c r="M14" s="30" t="s">
        <v>312</v>
      </c>
      <c r="N14" s="30" t="s">
        <v>74</v>
      </c>
      <c r="O14" s="29" t="s">
        <v>74</v>
      </c>
      <c r="P14" s="29" t="s">
        <v>74</v>
      </c>
      <c r="Q14" s="100">
        <v>42646</v>
      </c>
    </row>
    <row r="15" spans="1:18" ht="72" customHeight="1" x14ac:dyDescent="0.25">
      <c r="A15" s="23">
        <v>9749808</v>
      </c>
      <c r="B15" s="38">
        <v>2</v>
      </c>
      <c r="C15" s="23" t="s">
        <v>253</v>
      </c>
      <c r="D15" s="39" t="s">
        <v>20</v>
      </c>
      <c r="E15" s="40">
        <v>42646.502384259256</v>
      </c>
      <c r="F15" s="41">
        <v>42646.502384259256</v>
      </c>
      <c r="G15" s="30" t="s">
        <v>21</v>
      </c>
      <c r="H15" s="30" t="s">
        <v>262</v>
      </c>
      <c r="I15" s="30" t="s">
        <v>371</v>
      </c>
      <c r="J15" s="30" t="s">
        <v>376</v>
      </c>
      <c r="K15" s="29" t="s">
        <v>302</v>
      </c>
      <c r="L15" s="30" t="s">
        <v>74</v>
      </c>
      <c r="M15" s="30" t="s">
        <v>265</v>
      </c>
      <c r="N15" s="30" t="s">
        <v>74</v>
      </c>
      <c r="O15" s="29" t="s">
        <v>74</v>
      </c>
      <c r="P15" s="29" t="s">
        <v>74</v>
      </c>
      <c r="Q15" s="100">
        <v>42646</v>
      </c>
    </row>
    <row r="16" spans="1:18" ht="72" customHeight="1" x14ac:dyDescent="0.25">
      <c r="A16" s="23">
        <v>9750306</v>
      </c>
      <c r="B16" s="38">
        <v>4</v>
      </c>
      <c r="C16" s="23" t="s">
        <v>254</v>
      </c>
      <c r="D16" s="39" t="s">
        <v>16</v>
      </c>
      <c r="E16" s="40">
        <v>42647.668912037036</v>
      </c>
      <c r="F16" s="41">
        <v>42647.668912037036</v>
      </c>
      <c r="G16" s="30" t="s">
        <v>62</v>
      </c>
      <c r="H16" s="30" t="s">
        <v>261</v>
      </c>
      <c r="I16" s="30" t="s">
        <v>364</v>
      </c>
      <c r="J16" s="30" t="s">
        <v>364</v>
      </c>
      <c r="K16" s="29" t="s">
        <v>302</v>
      </c>
      <c r="L16" s="30" t="s">
        <v>74</v>
      </c>
      <c r="M16" s="30" t="s">
        <v>319</v>
      </c>
      <c r="N16" s="30" t="s">
        <v>74</v>
      </c>
      <c r="O16" s="29" t="s">
        <v>74</v>
      </c>
      <c r="P16" s="29" t="s">
        <v>74</v>
      </c>
      <c r="Q16" s="100">
        <v>42647</v>
      </c>
    </row>
    <row r="17" spans="1:17" ht="72" customHeight="1" x14ac:dyDescent="0.25">
      <c r="A17" s="23">
        <v>9750864</v>
      </c>
      <c r="B17" s="38">
        <v>1</v>
      </c>
      <c r="C17" s="23" t="s">
        <v>254</v>
      </c>
      <c r="D17" s="39" t="s">
        <v>16</v>
      </c>
      <c r="E17" s="40">
        <v>42648.627523148149</v>
      </c>
      <c r="F17" s="41">
        <v>42648.627523148149</v>
      </c>
      <c r="G17" s="30" t="s">
        <v>62</v>
      </c>
      <c r="H17" s="30" t="s">
        <v>261</v>
      </c>
      <c r="I17" s="30" t="s">
        <v>364</v>
      </c>
      <c r="J17" s="30" t="s">
        <v>364</v>
      </c>
      <c r="K17" s="29" t="s">
        <v>302</v>
      </c>
      <c r="L17" s="30" t="s">
        <v>74</v>
      </c>
      <c r="M17" s="30" t="s">
        <v>377</v>
      </c>
      <c r="N17" s="30" t="s">
        <v>74</v>
      </c>
      <c r="O17" s="29" t="s">
        <v>74</v>
      </c>
      <c r="P17" s="29" t="s">
        <v>74</v>
      </c>
      <c r="Q17" s="100">
        <v>42648</v>
      </c>
    </row>
    <row r="18" spans="1:17" ht="72" customHeight="1" x14ac:dyDescent="0.25">
      <c r="A18" s="23">
        <v>9750889</v>
      </c>
      <c r="B18" s="38">
        <v>2</v>
      </c>
      <c r="C18" s="23" t="s">
        <v>260</v>
      </c>
      <c r="D18" s="39" t="s">
        <v>20</v>
      </c>
      <c r="E18" s="40">
        <v>42648.669004629628</v>
      </c>
      <c r="F18" s="41">
        <v>42648.669004629628</v>
      </c>
      <c r="G18" s="30" t="s">
        <v>21</v>
      </c>
      <c r="H18" s="30" t="s">
        <v>59</v>
      </c>
      <c r="I18" s="30" t="s">
        <v>367</v>
      </c>
      <c r="J18" s="30" t="s">
        <v>378</v>
      </c>
      <c r="K18" s="29" t="s">
        <v>302</v>
      </c>
      <c r="L18" s="30" t="s">
        <v>74</v>
      </c>
      <c r="M18" s="30" t="s">
        <v>379</v>
      </c>
      <c r="N18" s="30" t="s">
        <v>74</v>
      </c>
      <c r="O18" s="29" t="s">
        <v>74</v>
      </c>
      <c r="P18" s="29" t="s">
        <v>74</v>
      </c>
      <c r="Q18" s="100">
        <v>42650</v>
      </c>
    </row>
    <row r="19" spans="1:17" ht="72" customHeight="1" x14ac:dyDescent="0.25">
      <c r="A19" s="23">
        <v>9751008</v>
      </c>
      <c r="B19" s="38">
        <v>1</v>
      </c>
      <c r="C19" s="23" t="s">
        <v>214</v>
      </c>
      <c r="D19" s="39" t="s">
        <v>210</v>
      </c>
      <c r="E19" s="40">
        <v>42649.044456018521</v>
      </c>
      <c r="F19" s="41">
        <v>42649.044456018521</v>
      </c>
      <c r="G19" s="30" t="s">
        <v>74</v>
      </c>
      <c r="H19" s="30" t="s">
        <v>262</v>
      </c>
      <c r="I19" s="30" t="s">
        <v>74</v>
      </c>
      <c r="J19" s="30" t="s">
        <v>380</v>
      </c>
      <c r="K19" s="29" t="s">
        <v>318</v>
      </c>
      <c r="L19" s="30" t="s">
        <v>74</v>
      </c>
      <c r="M19" s="30" t="s">
        <v>381</v>
      </c>
      <c r="N19" s="30" t="s">
        <v>74</v>
      </c>
      <c r="O19" s="29" t="s">
        <v>74</v>
      </c>
      <c r="P19" s="29" t="s">
        <v>74</v>
      </c>
      <c r="Q19" s="100">
        <v>42653</v>
      </c>
    </row>
    <row r="20" spans="1:17" ht="72" customHeight="1" x14ac:dyDescent="0.25">
      <c r="A20" s="23">
        <v>9751017</v>
      </c>
      <c r="B20" s="38">
        <v>8</v>
      </c>
      <c r="C20" s="23" t="s">
        <v>281</v>
      </c>
      <c r="D20" s="39" t="s">
        <v>39</v>
      </c>
      <c r="E20" s="40">
        <v>42649.044456018521</v>
      </c>
      <c r="F20" s="41">
        <v>42649.044456018521</v>
      </c>
      <c r="G20" s="30" t="s">
        <v>25</v>
      </c>
      <c r="H20" s="30" t="s">
        <v>262</v>
      </c>
      <c r="I20" s="30" t="s">
        <v>364</v>
      </c>
      <c r="J20" s="30" t="s">
        <v>365</v>
      </c>
      <c r="K20" s="29" t="s">
        <v>302</v>
      </c>
      <c r="L20" s="30" t="s">
        <v>74</v>
      </c>
      <c r="M20" s="30" t="s">
        <v>382</v>
      </c>
      <c r="N20" s="30" t="s">
        <v>74</v>
      </c>
      <c r="O20" s="29" t="s">
        <v>74</v>
      </c>
      <c r="P20" s="29" t="s">
        <v>74</v>
      </c>
      <c r="Q20" s="100">
        <v>42653</v>
      </c>
    </row>
    <row r="21" spans="1:17" ht="72" customHeight="1" x14ac:dyDescent="0.25">
      <c r="A21" s="23">
        <v>9751131</v>
      </c>
      <c r="B21" s="38">
        <v>3</v>
      </c>
      <c r="C21" s="23" t="s">
        <v>257</v>
      </c>
      <c r="D21" s="39" t="s">
        <v>67</v>
      </c>
      <c r="E21" s="40">
        <v>42649.148229166669</v>
      </c>
      <c r="F21" s="41">
        <v>42649.148229166669</v>
      </c>
      <c r="G21" s="30" t="s">
        <v>68</v>
      </c>
      <c r="H21" s="30" t="s">
        <v>261</v>
      </c>
      <c r="I21" s="30" t="s">
        <v>364</v>
      </c>
      <c r="J21" s="30" t="s">
        <v>364</v>
      </c>
      <c r="K21" s="29" t="s">
        <v>302</v>
      </c>
      <c r="L21" s="30" t="s">
        <v>74</v>
      </c>
      <c r="M21" s="30" t="s">
        <v>383</v>
      </c>
      <c r="N21" s="30" t="s">
        <v>74</v>
      </c>
      <c r="O21" s="29" t="s">
        <v>74</v>
      </c>
      <c r="P21" s="29" t="s">
        <v>74</v>
      </c>
      <c r="Q21" s="100">
        <v>42649</v>
      </c>
    </row>
    <row r="22" spans="1:17" ht="72" customHeight="1" x14ac:dyDescent="0.25">
      <c r="A22" s="23">
        <v>9751232</v>
      </c>
      <c r="B22" s="38">
        <v>3</v>
      </c>
      <c r="C22" s="23" t="s">
        <v>278</v>
      </c>
      <c r="D22" s="39" t="s">
        <v>55</v>
      </c>
      <c r="E22" s="40">
        <v>42649.252534722225</v>
      </c>
      <c r="F22" s="41">
        <v>42649.252534722225</v>
      </c>
      <c r="G22" s="30" t="s">
        <v>279</v>
      </c>
      <c r="H22" s="30" t="s">
        <v>261</v>
      </c>
      <c r="I22" s="30" t="s">
        <v>364</v>
      </c>
      <c r="J22" s="30" t="s">
        <v>364</v>
      </c>
      <c r="K22" s="29" t="s">
        <v>302</v>
      </c>
      <c r="L22" s="30" t="s">
        <v>74</v>
      </c>
      <c r="M22" s="30" t="s">
        <v>384</v>
      </c>
      <c r="N22" s="30" t="s">
        <v>74</v>
      </c>
      <c r="O22" s="29" t="s">
        <v>74</v>
      </c>
      <c r="P22" s="29" t="s">
        <v>74</v>
      </c>
      <c r="Q22" s="100">
        <v>42649</v>
      </c>
    </row>
    <row r="23" spans="1:17" ht="72" customHeight="1" x14ac:dyDescent="0.25">
      <c r="A23" s="23">
        <v>9751367</v>
      </c>
      <c r="B23" s="38">
        <v>2</v>
      </c>
      <c r="C23" s="23" t="s">
        <v>274</v>
      </c>
      <c r="D23" s="39" t="s">
        <v>273</v>
      </c>
      <c r="E23" s="40">
        <v>42649.503067129626</v>
      </c>
      <c r="F23" s="41">
        <v>42649.503067129626</v>
      </c>
      <c r="G23" s="30" t="s">
        <v>275</v>
      </c>
      <c r="H23" s="30" t="s">
        <v>261</v>
      </c>
      <c r="I23" s="30" t="s">
        <v>364</v>
      </c>
      <c r="J23" s="30" t="s">
        <v>364</v>
      </c>
      <c r="K23" s="29" t="s">
        <v>302</v>
      </c>
      <c r="L23" s="30" t="s">
        <v>74</v>
      </c>
      <c r="M23" s="30" t="s">
        <v>385</v>
      </c>
      <c r="N23" s="30" t="s">
        <v>74</v>
      </c>
      <c r="O23" s="29" t="s">
        <v>74</v>
      </c>
      <c r="P23" s="29" t="s">
        <v>74</v>
      </c>
      <c r="Q23" s="100">
        <v>42649</v>
      </c>
    </row>
    <row r="24" spans="1:17" ht="72" customHeight="1" x14ac:dyDescent="0.25">
      <c r="A24" s="23">
        <v>9751368</v>
      </c>
      <c r="B24" s="38">
        <v>1</v>
      </c>
      <c r="C24" s="23" t="s">
        <v>276</v>
      </c>
      <c r="D24" s="39" t="s">
        <v>273</v>
      </c>
      <c r="E24" s="40">
        <v>42649.503067129626</v>
      </c>
      <c r="F24" s="41">
        <v>42649.503067129626</v>
      </c>
      <c r="G24" s="30" t="s">
        <v>275</v>
      </c>
      <c r="H24" s="30" t="s">
        <v>261</v>
      </c>
      <c r="I24" s="30" t="s">
        <v>364</v>
      </c>
      <c r="J24" s="30" t="s">
        <v>364</v>
      </c>
      <c r="K24" s="29" t="s">
        <v>302</v>
      </c>
      <c r="L24" s="30" t="s">
        <v>74</v>
      </c>
      <c r="M24" s="30" t="s">
        <v>385</v>
      </c>
      <c r="N24" s="30" t="s">
        <v>74</v>
      </c>
      <c r="O24" s="29" t="s">
        <v>74</v>
      </c>
      <c r="P24" s="29" t="s">
        <v>74</v>
      </c>
      <c r="Q24" s="100">
        <v>42649</v>
      </c>
    </row>
    <row r="25" spans="1:17" ht="72" customHeight="1" x14ac:dyDescent="0.25">
      <c r="A25" s="23">
        <v>9751369</v>
      </c>
      <c r="B25" s="38">
        <v>2</v>
      </c>
      <c r="C25" s="23" t="s">
        <v>277</v>
      </c>
      <c r="D25" s="39" t="s">
        <v>273</v>
      </c>
      <c r="E25" s="40">
        <v>42649.503067129626</v>
      </c>
      <c r="F25" s="41">
        <v>42649.503067129626</v>
      </c>
      <c r="G25" s="30" t="s">
        <v>275</v>
      </c>
      <c r="H25" s="30" t="s">
        <v>261</v>
      </c>
      <c r="I25" s="30" t="s">
        <v>364</v>
      </c>
      <c r="J25" s="30" t="s">
        <v>364</v>
      </c>
      <c r="K25" s="29" t="s">
        <v>302</v>
      </c>
      <c r="L25" s="30" t="s">
        <v>74</v>
      </c>
      <c r="M25" s="30" t="s">
        <v>385</v>
      </c>
      <c r="N25" s="30" t="s">
        <v>74</v>
      </c>
      <c r="O25" s="29" t="s">
        <v>74</v>
      </c>
      <c r="P25" s="29" t="s">
        <v>74</v>
      </c>
      <c r="Q25" s="100">
        <v>42649</v>
      </c>
    </row>
    <row r="26" spans="1:17" ht="72" customHeight="1" x14ac:dyDescent="0.25">
      <c r="A26" s="23">
        <v>9751497</v>
      </c>
      <c r="B26" s="38">
        <v>10</v>
      </c>
      <c r="C26" s="23" t="s">
        <v>283</v>
      </c>
      <c r="D26" s="39" t="s">
        <v>12</v>
      </c>
      <c r="E26" s="40">
        <v>42649.794571759259</v>
      </c>
      <c r="F26" s="41">
        <v>42649.794571759259</v>
      </c>
      <c r="G26" s="30" t="s">
        <v>74</v>
      </c>
      <c r="H26" s="30" t="s">
        <v>282</v>
      </c>
      <c r="I26" s="30" t="s">
        <v>420</v>
      </c>
      <c r="J26" s="30" t="s">
        <v>339</v>
      </c>
      <c r="K26" s="29" t="s">
        <v>302</v>
      </c>
      <c r="L26" s="30" t="s">
        <v>297</v>
      </c>
      <c r="M26" s="30" t="s">
        <v>297</v>
      </c>
      <c r="N26" s="30" t="s">
        <v>74</v>
      </c>
      <c r="O26" s="29" t="s">
        <v>74</v>
      </c>
      <c r="P26" s="29" t="s">
        <v>74</v>
      </c>
      <c r="Q26" s="100">
        <v>42649</v>
      </c>
    </row>
    <row r="27" spans="1:17" ht="72" customHeight="1" x14ac:dyDescent="0.25">
      <c r="A27" s="23">
        <v>9751604</v>
      </c>
      <c r="B27" s="38">
        <v>1</v>
      </c>
      <c r="C27" s="23" t="s">
        <v>295</v>
      </c>
      <c r="D27" s="39" t="s">
        <v>38</v>
      </c>
      <c r="E27" s="40">
        <v>42650.044456018521</v>
      </c>
      <c r="F27" s="41">
        <v>42650.044456018521</v>
      </c>
      <c r="G27" s="30" t="s">
        <v>69</v>
      </c>
      <c r="H27" s="30" t="s">
        <v>262</v>
      </c>
      <c r="I27" s="30" t="s">
        <v>333</v>
      </c>
      <c r="J27" s="30" t="s">
        <v>339</v>
      </c>
      <c r="K27" s="29" t="s">
        <v>302</v>
      </c>
      <c r="L27" s="30" t="s">
        <v>310</v>
      </c>
      <c r="M27" s="30">
        <v>6900575</v>
      </c>
      <c r="N27" s="30">
        <v>1269100</v>
      </c>
      <c r="O27" s="29" t="s">
        <v>74</v>
      </c>
      <c r="P27" s="29" t="s">
        <v>74</v>
      </c>
      <c r="Q27" s="100">
        <v>42654</v>
      </c>
    </row>
    <row r="28" spans="1:17" ht="72" customHeight="1" x14ac:dyDescent="0.25">
      <c r="A28" s="23">
        <v>9751606</v>
      </c>
      <c r="B28" s="38">
        <v>1</v>
      </c>
      <c r="C28" s="23" t="s">
        <v>56</v>
      </c>
      <c r="D28" s="39" t="s">
        <v>38</v>
      </c>
      <c r="E28" s="40">
        <v>42650.044456018521</v>
      </c>
      <c r="F28" s="41">
        <v>42650.044456018521</v>
      </c>
      <c r="G28" s="30" t="s">
        <v>69</v>
      </c>
      <c r="H28" s="30" t="s">
        <v>262</v>
      </c>
      <c r="I28" s="30" t="s">
        <v>333</v>
      </c>
      <c r="J28" s="30" t="s">
        <v>339</v>
      </c>
      <c r="K28" s="29" t="s">
        <v>302</v>
      </c>
      <c r="L28" s="30" t="s">
        <v>310</v>
      </c>
      <c r="M28" s="30">
        <v>6900377</v>
      </c>
      <c r="N28" s="30">
        <v>1269100</v>
      </c>
      <c r="O28" s="29" t="s">
        <v>74</v>
      </c>
      <c r="P28" s="29" t="s">
        <v>74</v>
      </c>
      <c r="Q28" s="100">
        <v>42654</v>
      </c>
    </row>
    <row r="29" spans="1:17" ht="72" customHeight="1" x14ac:dyDescent="0.25">
      <c r="A29" s="23">
        <v>9751607</v>
      </c>
      <c r="B29" s="38">
        <v>3</v>
      </c>
      <c r="C29" s="23" t="s">
        <v>43</v>
      </c>
      <c r="D29" s="39" t="s">
        <v>38</v>
      </c>
      <c r="E29" s="40">
        <v>42650.044456018521</v>
      </c>
      <c r="F29" s="41">
        <v>42650.044456018521</v>
      </c>
      <c r="G29" s="30" t="s">
        <v>69</v>
      </c>
      <c r="H29" s="30" t="s">
        <v>262</v>
      </c>
      <c r="I29" s="30" t="s">
        <v>333</v>
      </c>
      <c r="J29" s="30" t="s">
        <v>339</v>
      </c>
      <c r="K29" s="29" t="s">
        <v>302</v>
      </c>
      <c r="L29" s="30" t="s">
        <v>310</v>
      </c>
      <c r="M29" s="30">
        <v>6901384</v>
      </c>
      <c r="N29" s="30">
        <v>1269100</v>
      </c>
      <c r="O29" s="29" t="s">
        <v>74</v>
      </c>
      <c r="P29" s="29" t="s">
        <v>74</v>
      </c>
      <c r="Q29" s="100">
        <v>42654</v>
      </c>
    </row>
    <row r="30" spans="1:17" ht="72" customHeight="1" x14ac:dyDescent="0.25">
      <c r="A30" s="23">
        <v>9751608</v>
      </c>
      <c r="B30" s="38">
        <v>1</v>
      </c>
      <c r="C30" s="23" t="s">
        <v>51</v>
      </c>
      <c r="D30" s="39" t="s">
        <v>38</v>
      </c>
      <c r="E30" s="40">
        <v>42650.044456018521</v>
      </c>
      <c r="F30" s="41">
        <v>42650.044456018521</v>
      </c>
      <c r="G30" s="30" t="s">
        <v>69</v>
      </c>
      <c r="H30" s="30" t="s">
        <v>262</v>
      </c>
      <c r="I30" s="30" t="s">
        <v>333</v>
      </c>
      <c r="J30" s="30" t="s">
        <v>339</v>
      </c>
      <c r="K30" s="29" t="s">
        <v>302</v>
      </c>
      <c r="L30" s="30" t="s">
        <v>74</v>
      </c>
      <c r="M30" s="30">
        <v>6901393</v>
      </c>
      <c r="N30" s="30">
        <v>1269100</v>
      </c>
      <c r="O30" s="29" t="s">
        <v>74</v>
      </c>
      <c r="P30" s="29" t="s">
        <v>74</v>
      </c>
      <c r="Q30" s="100">
        <v>42654</v>
      </c>
    </row>
    <row r="31" spans="1:17" ht="72" customHeight="1" x14ac:dyDescent="0.25">
      <c r="A31" s="23">
        <v>9751667</v>
      </c>
      <c r="B31" s="38">
        <v>1</v>
      </c>
      <c r="C31" s="23" t="s">
        <v>93</v>
      </c>
      <c r="D31" s="39" t="s">
        <v>258</v>
      </c>
      <c r="E31" s="40">
        <v>42650.153113425928</v>
      </c>
      <c r="F31" s="41">
        <v>42650.153113425928</v>
      </c>
      <c r="G31" s="30" t="s">
        <v>74</v>
      </c>
      <c r="H31" s="30" t="s">
        <v>296</v>
      </c>
      <c r="I31" s="30" t="s">
        <v>367</v>
      </c>
      <c r="J31" s="30" t="s">
        <v>386</v>
      </c>
      <c r="K31" s="29" t="s">
        <v>302</v>
      </c>
      <c r="L31" s="30" t="s">
        <v>297</v>
      </c>
      <c r="M31" s="30" t="s">
        <v>297</v>
      </c>
      <c r="N31" s="30" t="s">
        <v>74</v>
      </c>
      <c r="O31" s="29" t="s">
        <v>74</v>
      </c>
      <c r="P31" s="29" t="s">
        <v>74</v>
      </c>
      <c r="Q31" s="100">
        <v>42650</v>
      </c>
    </row>
    <row r="32" spans="1:17" ht="72" customHeight="1" x14ac:dyDescent="0.25">
      <c r="A32" s="23">
        <v>9751868</v>
      </c>
      <c r="B32" s="38">
        <v>11</v>
      </c>
      <c r="C32" s="23" t="s">
        <v>291</v>
      </c>
      <c r="D32" s="39" t="s">
        <v>13</v>
      </c>
      <c r="E32" s="40">
        <v>42650.669108796297</v>
      </c>
      <c r="F32" s="41">
        <v>42650.669108796297</v>
      </c>
      <c r="G32" s="30" t="s">
        <v>47</v>
      </c>
      <c r="H32" s="30" t="s">
        <v>261</v>
      </c>
      <c r="I32" s="30" t="s">
        <v>364</v>
      </c>
      <c r="J32" s="30" t="s">
        <v>387</v>
      </c>
      <c r="K32" s="29" t="s">
        <v>302</v>
      </c>
      <c r="L32" s="30" t="s">
        <v>74</v>
      </c>
      <c r="M32" s="30" t="s">
        <v>388</v>
      </c>
      <c r="N32" s="30" t="s">
        <v>74</v>
      </c>
      <c r="O32" s="29" t="s">
        <v>74</v>
      </c>
      <c r="P32" s="29" t="s">
        <v>74</v>
      </c>
      <c r="Q32" s="100">
        <v>42650</v>
      </c>
    </row>
    <row r="33" spans="1:17" ht="72" customHeight="1" x14ac:dyDescent="0.25">
      <c r="A33" s="23">
        <v>9751869</v>
      </c>
      <c r="B33" s="38">
        <v>11</v>
      </c>
      <c r="C33" s="23" t="s">
        <v>292</v>
      </c>
      <c r="D33" s="39" t="s">
        <v>13</v>
      </c>
      <c r="E33" s="40">
        <v>42650.669108796297</v>
      </c>
      <c r="F33" s="41">
        <v>42650.669108796297</v>
      </c>
      <c r="G33" s="30" t="s">
        <v>47</v>
      </c>
      <c r="H33" s="30" t="s">
        <v>261</v>
      </c>
      <c r="I33" s="30" t="s">
        <v>364</v>
      </c>
      <c r="J33" s="30" t="s">
        <v>387</v>
      </c>
      <c r="K33" s="29" t="s">
        <v>302</v>
      </c>
      <c r="L33" s="30" t="s">
        <v>74</v>
      </c>
      <c r="M33" s="30" t="s">
        <v>389</v>
      </c>
      <c r="N33" s="30" t="s">
        <v>74</v>
      </c>
      <c r="O33" s="29" t="s">
        <v>74</v>
      </c>
      <c r="P33" s="29" t="s">
        <v>74</v>
      </c>
      <c r="Q33" s="100">
        <v>42650</v>
      </c>
    </row>
    <row r="34" spans="1:17" ht="72" customHeight="1" x14ac:dyDescent="0.25">
      <c r="A34" s="23">
        <v>9751932</v>
      </c>
      <c r="B34" s="38">
        <v>2</v>
      </c>
      <c r="C34" s="23" t="s">
        <v>37</v>
      </c>
      <c r="D34" s="39" t="s">
        <v>20</v>
      </c>
      <c r="E34" s="40">
        <v>42651.161226851851</v>
      </c>
      <c r="F34" s="41">
        <v>42651.161226851851</v>
      </c>
      <c r="G34" s="30" t="s">
        <v>21</v>
      </c>
      <c r="H34" s="30" t="s">
        <v>261</v>
      </c>
      <c r="I34" s="30" t="s">
        <v>367</v>
      </c>
      <c r="J34" s="30" t="s">
        <v>327</v>
      </c>
      <c r="K34" s="29" t="s">
        <v>302</v>
      </c>
      <c r="L34" s="30" t="s">
        <v>74</v>
      </c>
      <c r="M34" s="30" t="s">
        <v>74</v>
      </c>
      <c r="N34" s="30" t="e">
        <v>#N/A</v>
      </c>
      <c r="O34" s="29" t="s">
        <v>74</v>
      </c>
      <c r="P34" s="29" t="s">
        <v>74</v>
      </c>
      <c r="Q34" s="100">
        <v>42653</v>
      </c>
    </row>
    <row r="35" spans="1:17" ht="72" customHeight="1" x14ac:dyDescent="0.25">
      <c r="A35" s="23">
        <v>9751937</v>
      </c>
      <c r="B35" s="38">
        <v>1</v>
      </c>
      <c r="C35" s="23" t="s">
        <v>285</v>
      </c>
      <c r="D35" s="39" t="s">
        <v>20</v>
      </c>
      <c r="E35" s="40">
        <v>42651.161226851851</v>
      </c>
      <c r="F35" s="41">
        <v>42651.161226851851</v>
      </c>
      <c r="G35" s="30" t="s">
        <v>21</v>
      </c>
      <c r="H35" s="30" t="s">
        <v>261</v>
      </c>
      <c r="I35" s="30" t="s">
        <v>367</v>
      </c>
      <c r="J35" s="30" t="s">
        <v>390</v>
      </c>
      <c r="K35" s="29" t="s">
        <v>302</v>
      </c>
      <c r="L35" s="30" t="s">
        <v>74</v>
      </c>
      <c r="M35" s="30" t="s">
        <v>264</v>
      </c>
      <c r="N35" s="30" t="s">
        <v>74</v>
      </c>
      <c r="O35" s="29" t="s">
        <v>74</v>
      </c>
      <c r="P35" s="29" t="s">
        <v>74</v>
      </c>
      <c r="Q35" s="100">
        <v>42653</v>
      </c>
    </row>
    <row r="36" spans="1:17" ht="72" customHeight="1" x14ac:dyDescent="0.25">
      <c r="A36" s="23">
        <v>9751976</v>
      </c>
      <c r="B36" s="38">
        <v>1</v>
      </c>
      <c r="C36" s="23" t="s">
        <v>294</v>
      </c>
      <c r="D36" s="39" t="s">
        <v>210</v>
      </c>
      <c r="E36" s="40">
        <v>42651.161238425928</v>
      </c>
      <c r="F36" s="41">
        <v>42651.161238425928</v>
      </c>
      <c r="G36" s="30" t="s">
        <v>74</v>
      </c>
      <c r="H36" s="30" t="s">
        <v>262</v>
      </c>
      <c r="I36" s="30" t="s">
        <v>367</v>
      </c>
      <c r="J36" s="30" t="s">
        <v>391</v>
      </c>
      <c r="K36" s="29" t="s">
        <v>302</v>
      </c>
      <c r="L36" s="30" t="s">
        <v>74</v>
      </c>
      <c r="M36" s="30">
        <v>42651</v>
      </c>
      <c r="N36" s="30" t="s">
        <v>74</v>
      </c>
      <c r="O36" s="29" t="s">
        <v>74</v>
      </c>
      <c r="P36" s="29" t="s">
        <v>74</v>
      </c>
      <c r="Q36" s="100">
        <v>42653</v>
      </c>
    </row>
    <row r="37" spans="1:17" ht="72" customHeight="1" x14ac:dyDescent="0.25">
      <c r="A37" s="23">
        <v>9751981</v>
      </c>
      <c r="B37" s="38">
        <v>1</v>
      </c>
      <c r="C37" s="23" t="s">
        <v>46</v>
      </c>
      <c r="D37" s="39" t="s">
        <v>44</v>
      </c>
      <c r="E37" s="40">
        <v>42651.161249999997</v>
      </c>
      <c r="F37" s="41">
        <v>42651.161249999997</v>
      </c>
      <c r="G37" s="30" t="s">
        <v>26</v>
      </c>
      <c r="H37" s="30" t="s">
        <v>262</v>
      </c>
      <c r="I37" s="30" t="s">
        <v>371</v>
      </c>
      <c r="J37" s="30" t="s">
        <v>392</v>
      </c>
      <c r="K37" s="29" t="s">
        <v>302</v>
      </c>
      <c r="L37" s="30" t="s">
        <v>74</v>
      </c>
      <c r="M37" s="30" t="s">
        <v>264</v>
      </c>
      <c r="N37" s="30" t="s">
        <v>74</v>
      </c>
      <c r="O37" s="29" t="s">
        <v>74</v>
      </c>
      <c r="P37" s="29" t="s">
        <v>74</v>
      </c>
      <c r="Q37" s="100">
        <v>42653</v>
      </c>
    </row>
    <row r="38" spans="1:17" ht="72" customHeight="1" x14ac:dyDescent="0.25">
      <c r="A38" s="23">
        <v>9751982</v>
      </c>
      <c r="B38" s="38">
        <v>1</v>
      </c>
      <c r="C38" s="23" t="s">
        <v>45</v>
      </c>
      <c r="D38" s="39" t="s">
        <v>44</v>
      </c>
      <c r="E38" s="40">
        <v>42651.161249999997</v>
      </c>
      <c r="F38" s="41">
        <v>42651.161249999997</v>
      </c>
      <c r="G38" s="30" t="s">
        <v>26</v>
      </c>
      <c r="H38" s="30" t="s">
        <v>262</v>
      </c>
      <c r="I38" s="30" t="s">
        <v>371</v>
      </c>
      <c r="J38" s="30" t="s">
        <v>392</v>
      </c>
      <c r="K38" s="29" t="s">
        <v>302</v>
      </c>
      <c r="L38" s="30" t="s">
        <v>74</v>
      </c>
      <c r="M38" s="30" t="s">
        <v>264</v>
      </c>
      <c r="N38" s="30" t="s">
        <v>74</v>
      </c>
      <c r="O38" s="29" t="s">
        <v>74</v>
      </c>
      <c r="P38" s="29" t="s">
        <v>74</v>
      </c>
      <c r="Q38" s="100">
        <v>42653</v>
      </c>
    </row>
    <row r="39" spans="1:17" ht="72" customHeight="1" x14ac:dyDescent="0.25">
      <c r="A39" s="23">
        <v>9752135</v>
      </c>
      <c r="B39" s="38">
        <v>8</v>
      </c>
      <c r="C39" s="23" t="s">
        <v>286</v>
      </c>
      <c r="D39" s="39" t="s">
        <v>20</v>
      </c>
      <c r="E39" s="40">
        <v>42653.045439814814</v>
      </c>
      <c r="F39" s="41">
        <v>42653.045439814814</v>
      </c>
      <c r="G39" s="30" t="s">
        <v>21</v>
      </c>
      <c r="H39" s="30" t="s">
        <v>262</v>
      </c>
      <c r="I39" s="30" t="s">
        <v>367</v>
      </c>
      <c r="J39" s="30" t="s">
        <v>393</v>
      </c>
      <c r="K39" s="29" t="s">
        <v>302</v>
      </c>
      <c r="L39" s="30" t="s">
        <v>74</v>
      </c>
      <c r="M39" s="30" t="s">
        <v>313</v>
      </c>
      <c r="N39" s="30" t="s">
        <v>74</v>
      </c>
      <c r="O39" s="29" t="s">
        <v>74</v>
      </c>
      <c r="P39" s="29" t="s">
        <v>74</v>
      </c>
      <c r="Q39" s="100">
        <v>42655</v>
      </c>
    </row>
    <row r="40" spans="1:17" ht="72" customHeight="1" x14ac:dyDescent="0.25">
      <c r="A40" s="23">
        <v>9752140</v>
      </c>
      <c r="B40" s="38">
        <v>2</v>
      </c>
      <c r="C40" s="23" t="s">
        <v>52</v>
      </c>
      <c r="D40" s="39" t="s">
        <v>12</v>
      </c>
      <c r="E40" s="40">
        <v>42653.045439814814</v>
      </c>
      <c r="F40" s="41">
        <v>42653.045439814814</v>
      </c>
      <c r="G40" s="30" t="s">
        <v>74</v>
      </c>
      <c r="H40" s="30" t="s">
        <v>262</v>
      </c>
      <c r="I40" s="30" t="s">
        <v>367</v>
      </c>
      <c r="J40" s="30" t="s">
        <v>394</v>
      </c>
      <c r="K40" s="29" t="s">
        <v>302</v>
      </c>
      <c r="L40" s="30" t="s">
        <v>74</v>
      </c>
      <c r="M40" s="30" t="s">
        <v>313</v>
      </c>
      <c r="N40" s="30" t="s">
        <v>74</v>
      </c>
      <c r="O40" s="29" t="s">
        <v>74</v>
      </c>
      <c r="P40" s="29" t="s">
        <v>74</v>
      </c>
      <c r="Q40" s="100">
        <v>42655</v>
      </c>
    </row>
    <row r="41" spans="1:17" ht="72" customHeight="1" x14ac:dyDescent="0.25">
      <c r="A41" s="23">
        <v>9752141</v>
      </c>
      <c r="B41" s="38">
        <v>1</v>
      </c>
      <c r="C41" s="23" t="s">
        <v>287</v>
      </c>
      <c r="D41" s="39" t="s">
        <v>255</v>
      </c>
      <c r="E41" s="40">
        <v>42653.045439814814</v>
      </c>
      <c r="F41" s="41">
        <v>42653.045439814814</v>
      </c>
      <c r="G41" s="30" t="s">
        <v>74</v>
      </c>
      <c r="H41" s="30" t="s">
        <v>262</v>
      </c>
      <c r="I41" s="30" t="s">
        <v>367</v>
      </c>
      <c r="J41" s="30" t="s">
        <v>395</v>
      </c>
      <c r="K41" s="29" t="s">
        <v>302</v>
      </c>
      <c r="L41" s="30" t="s">
        <v>298</v>
      </c>
      <c r="M41" s="30" t="s">
        <v>298</v>
      </c>
      <c r="N41" s="30" t="s">
        <v>74</v>
      </c>
      <c r="O41" s="29" t="s">
        <v>74</v>
      </c>
      <c r="P41" s="29" t="s">
        <v>74</v>
      </c>
      <c r="Q41" s="100">
        <v>42655</v>
      </c>
    </row>
    <row r="42" spans="1:17" ht="72" customHeight="1" x14ac:dyDescent="0.25">
      <c r="A42" s="23">
        <v>9752241</v>
      </c>
      <c r="B42" s="38">
        <v>2</v>
      </c>
      <c r="C42" s="23" t="s">
        <v>288</v>
      </c>
      <c r="D42" s="39" t="s">
        <v>14</v>
      </c>
      <c r="E42" s="40">
        <v>42653.461122685185</v>
      </c>
      <c r="F42" s="41">
        <v>42653.461122685185</v>
      </c>
      <c r="G42" s="30" t="s">
        <v>74</v>
      </c>
      <c r="H42" s="30" t="s">
        <v>262</v>
      </c>
      <c r="I42" s="30" t="s">
        <v>367</v>
      </c>
      <c r="J42" s="30" t="s">
        <v>396</v>
      </c>
      <c r="K42" s="29" t="s">
        <v>302</v>
      </c>
      <c r="L42" s="30" t="s">
        <v>299</v>
      </c>
      <c r="M42" s="30" t="s">
        <v>299</v>
      </c>
      <c r="N42" s="30" t="s">
        <v>74</v>
      </c>
      <c r="O42" s="29" t="s">
        <v>74</v>
      </c>
      <c r="P42" s="29" t="s">
        <v>74</v>
      </c>
      <c r="Q42" s="100">
        <v>42653</v>
      </c>
    </row>
    <row r="43" spans="1:17" ht="72" customHeight="1" x14ac:dyDescent="0.25">
      <c r="A43" s="23">
        <v>9752358</v>
      </c>
      <c r="B43" s="38">
        <v>4</v>
      </c>
      <c r="C43" s="23" t="s">
        <v>290</v>
      </c>
      <c r="D43" s="39" t="s">
        <v>12</v>
      </c>
      <c r="E43" s="40">
        <v>42653.587060185186</v>
      </c>
      <c r="F43" s="41">
        <v>42653.587060185186</v>
      </c>
      <c r="G43" s="30" t="s">
        <v>74</v>
      </c>
      <c r="H43" s="30" t="s">
        <v>309</v>
      </c>
      <c r="I43" s="30" t="s">
        <v>367</v>
      </c>
      <c r="J43" s="30" t="s">
        <v>397</v>
      </c>
      <c r="K43" s="29" t="s">
        <v>302</v>
      </c>
      <c r="L43" s="30" t="s">
        <v>300</v>
      </c>
      <c r="M43" s="30" t="s">
        <v>300</v>
      </c>
      <c r="N43" s="30" t="s">
        <v>74</v>
      </c>
      <c r="O43" s="29" t="s">
        <v>74</v>
      </c>
      <c r="P43" s="29" t="s">
        <v>74</v>
      </c>
      <c r="Q43" s="100">
        <v>42653</v>
      </c>
    </row>
    <row r="44" spans="1:17" ht="72" customHeight="1" x14ac:dyDescent="0.25">
      <c r="A44" s="23">
        <v>9752369</v>
      </c>
      <c r="B44" s="38">
        <v>12</v>
      </c>
      <c r="C44" s="23" t="s">
        <v>289</v>
      </c>
      <c r="D44" s="39" t="s">
        <v>12</v>
      </c>
      <c r="E44" s="40">
        <v>42653.628784722219</v>
      </c>
      <c r="F44" s="41">
        <v>42653.628784722219</v>
      </c>
      <c r="G44" s="30" t="s">
        <v>74</v>
      </c>
      <c r="H44" s="30" t="s">
        <v>261</v>
      </c>
      <c r="I44" s="30" t="s">
        <v>367</v>
      </c>
      <c r="J44" s="30" t="s">
        <v>398</v>
      </c>
      <c r="K44" s="29" t="s">
        <v>302</v>
      </c>
      <c r="L44" s="30" t="s">
        <v>301</v>
      </c>
      <c r="M44" s="30" t="s">
        <v>301</v>
      </c>
      <c r="N44" s="30" t="s">
        <v>74</v>
      </c>
      <c r="O44" s="29" t="s">
        <v>74</v>
      </c>
      <c r="P44" s="29" t="s">
        <v>74</v>
      </c>
      <c r="Q44" s="100">
        <v>42653</v>
      </c>
    </row>
    <row r="45" spans="1:17" ht="72" customHeight="1" x14ac:dyDescent="0.25">
      <c r="A45" s="23">
        <v>9752395</v>
      </c>
      <c r="B45" s="38">
        <v>1</v>
      </c>
      <c r="C45" s="23" t="s">
        <v>293</v>
      </c>
      <c r="D45" s="39" t="s">
        <v>10</v>
      </c>
      <c r="E45" s="40">
        <v>42653.711226851854</v>
      </c>
      <c r="F45" s="41">
        <v>42653.711226851854</v>
      </c>
      <c r="G45" s="30" t="s">
        <v>74</v>
      </c>
      <c r="H45" s="30" t="s">
        <v>74</v>
      </c>
      <c r="I45" s="30" t="s">
        <v>74</v>
      </c>
      <c r="J45" s="30" t="s">
        <v>74</v>
      </c>
      <c r="K45" s="29" t="s">
        <v>266</v>
      </c>
      <c r="L45" s="30" t="s">
        <v>74</v>
      </c>
      <c r="M45" s="30" t="s">
        <v>314</v>
      </c>
      <c r="N45" s="30" t="s">
        <v>74</v>
      </c>
      <c r="O45" s="29" t="s">
        <v>74</v>
      </c>
      <c r="P45" s="29" t="s">
        <v>74</v>
      </c>
      <c r="Q45" s="100">
        <v>42653</v>
      </c>
    </row>
    <row r="46" spans="1:17" ht="72" customHeight="1" x14ac:dyDescent="0.25">
      <c r="A46" s="23">
        <v>9752590</v>
      </c>
      <c r="B46" s="38">
        <v>1</v>
      </c>
      <c r="C46" s="23" t="s">
        <v>305</v>
      </c>
      <c r="D46" s="39" t="s">
        <v>20</v>
      </c>
      <c r="E46" s="40">
        <v>42654.044409722221</v>
      </c>
      <c r="F46" s="41">
        <v>42654.044409722221</v>
      </c>
      <c r="G46" s="30" t="s">
        <v>21</v>
      </c>
      <c r="H46" s="30" t="s">
        <v>262</v>
      </c>
      <c r="I46" s="30" t="s">
        <v>367</v>
      </c>
      <c r="J46" s="30" t="s">
        <v>399</v>
      </c>
      <c r="K46" s="29" t="s">
        <v>302</v>
      </c>
      <c r="L46" s="30" t="s">
        <v>328</v>
      </c>
      <c r="M46" s="30" t="s">
        <v>328</v>
      </c>
      <c r="N46" s="30" t="s">
        <v>74</v>
      </c>
      <c r="O46" s="29" t="s">
        <v>74</v>
      </c>
      <c r="P46" s="29" t="s">
        <v>74</v>
      </c>
      <c r="Q46" s="100">
        <v>42656</v>
      </c>
    </row>
    <row r="47" spans="1:17" ht="72" customHeight="1" x14ac:dyDescent="0.25">
      <c r="A47" s="23">
        <v>9752597</v>
      </c>
      <c r="B47" s="38">
        <v>1</v>
      </c>
      <c r="C47" s="23" t="s">
        <v>254</v>
      </c>
      <c r="D47" s="39" t="s">
        <v>16</v>
      </c>
      <c r="E47" s="40">
        <v>42654.044421296298</v>
      </c>
      <c r="F47" s="41">
        <v>42654.044421296298</v>
      </c>
      <c r="G47" s="30" t="s">
        <v>62</v>
      </c>
      <c r="H47" s="30" t="s">
        <v>261</v>
      </c>
      <c r="I47" s="30" t="s">
        <v>364</v>
      </c>
      <c r="J47" s="30" t="s">
        <v>364</v>
      </c>
      <c r="K47" s="29" t="s">
        <v>302</v>
      </c>
      <c r="L47" s="30" t="s">
        <v>310</v>
      </c>
      <c r="M47" s="30" t="s">
        <v>400</v>
      </c>
      <c r="N47" s="30" t="s">
        <v>74</v>
      </c>
      <c r="O47" s="29" t="s">
        <v>74</v>
      </c>
      <c r="P47" s="29" t="s">
        <v>74</v>
      </c>
      <c r="Q47" s="100">
        <v>42656</v>
      </c>
    </row>
    <row r="48" spans="1:17" ht="72" customHeight="1" x14ac:dyDescent="0.25">
      <c r="A48" s="23">
        <v>9752651</v>
      </c>
      <c r="B48" s="38">
        <v>1</v>
      </c>
      <c r="C48" s="23" t="s">
        <v>257</v>
      </c>
      <c r="D48" s="39" t="s">
        <v>67</v>
      </c>
      <c r="E48" s="40">
        <v>42654.15215277778</v>
      </c>
      <c r="F48" s="41">
        <v>42654.15215277778</v>
      </c>
      <c r="G48" s="30" t="s">
        <v>68</v>
      </c>
      <c r="H48" s="30" t="s">
        <v>59</v>
      </c>
      <c r="I48" s="30" t="s">
        <v>364</v>
      </c>
      <c r="J48" s="30" t="s">
        <v>364</v>
      </c>
      <c r="K48" s="29" t="s">
        <v>302</v>
      </c>
      <c r="L48" s="30" t="s">
        <v>310</v>
      </c>
      <c r="M48" s="30" t="s">
        <v>401</v>
      </c>
      <c r="N48" s="30" t="s">
        <v>74</v>
      </c>
      <c r="O48" s="29" t="s">
        <v>74</v>
      </c>
      <c r="P48" s="29" t="s">
        <v>74</v>
      </c>
      <c r="Q48" s="100">
        <v>42654</v>
      </c>
    </row>
    <row r="49" spans="1:17" ht="72" customHeight="1" x14ac:dyDescent="0.25">
      <c r="A49" s="23">
        <v>9752653</v>
      </c>
      <c r="B49" s="38">
        <v>2</v>
      </c>
      <c r="C49" s="23" t="s">
        <v>84</v>
      </c>
      <c r="D49" s="39" t="s">
        <v>91</v>
      </c>
      <c r="E49" s="40">
        <v>42654.15215277778</v>
      </c>
      <c r="F49" s="41">
        <v>42654.15215277778</v>
      </c>
      <c r="G49" s="30" t="s">
        <v>85</v>
      </c>
      <c r="H49" s="30" t="s">
        <v>261</v>
      </c>
      <c r="I49" s="30" t="s">
        <v>367</v>
      </c>
      <c r="J49" s="30" t="s">
        <v>402</v>
      </c>
      <c r="K49" s="29" t="s">
        <v>302</v>
      </c>
      <c r="L49" s="30" t="s">
        <v>310</v>
      </c>
      <c r="M49" s="30" t="s">
        <v>310</v>
      </c>
      <c r="N49" s="30" t="s">
        <v>74</v>
      </c>
      <c r="O49" s="29" t="s">
        <v>74</v>
      </c>
      <c r="P49" s="29" t="s">
        <v>74</v>
      </c>
      <c r="Q49" s="100">
        <v>42654</v>
      </c>
    </row>
    <row r="50" spans="1:17" ht="72" customHeight="1" x14ac:dyDescent="0.25">
      <c r="A50" s="23">
        <v>9752798</v>
      </c>
      <c r="B50" s="38">
        <v>1</v>
      </c>
      <c r="C50" s="23" t="s">
        <v>306</v>
      </c>
      <c r="D50" s="39" t="s">
        <v>16</v>
      </c>
      <c r="E50" s="40">
        <v>42654.501921296294</v>
      </c>
      <c r="F50" s="41">
        <v>42654.501921296294</v>
      </c>
      <c r="G50" s="30" t="s">
        <v>307</v>
      </c>
      <c r="H50" s="30" t="s">
        <v>262</v>
      </c>
      <c r="I50" s="30" t="s">
        <v>364</v>
      </c>
      <c r="J50" s="30" t="s">
        <v>364</v>
      </c>
      <c r="K50" s="29" t="s">
        <v>302</v>
      </c>
      <c r="L50" s="30" t="s">
        <v>329</v>
      </c>
      <c r="M50" s="30" t="s">
        <v>403</v>
      </c>
      <c r="N50" s="30" t="s">
        <v>74</v>
      </c>
      <c r="O50" s="29" t="s">
        <v>74</v>
      </c>
      <c r="P50" s="29" t="s">
        <v>74</v>
      </c>
      <c r="Q50" s="100">
        <v>42654</v>
      </c>
    </row>
    <row r="51" spans="1:17" ht="72" customHeight="1" x14ac:dyDescent="0.25">
      <c r="A51" s="23">
        <v>9752799</v>
      </c>
      <c r="B51" s="38">
        <v>1</v>
      </c>
      <c r="C51" s="23" t="s">
        <v>308</v>
      </c>
      <c r="D51" s="39" t="s">
        <v>16</v>
      </c>
      <c r="E51" s="40">
        <v>42654.501921296294</v>
      </c>
      <c r="F51" s="41">
        <v>42654.501921296294</v>
      </c>
      <c r="G51" s="30" t="s">
        <v>307</v>
      </c>
      <c r="H51" s="30" t="s">
        <v>74</v>
      </c>
      <c r="I51" s="30" t="s">
        <v>74</v>
      </c>
      <c r="J51" s="30" t="s">
        <v>74</v>
      </c>
      <c r="K51" s="29" t="s">
        <v>284</v>
      </c>
      <c r="L51" s="30" t="s">
        <v>329</v>
      </c>
      <c r="M51" s="30" t="s">
        <v>329</v>
      </c>
      <c r="N51" s="30" t="s">
        <v>74</v>
      </c>
      <c r="O51" s="29" t="s">
        <v>74</v>
      </c>
      <c r="P51" s="29" t="s">
        <v>74</v>
      </c>
      <c r="Q51" s="100">
        <v>42654</v>
      </c>
    </row>
    <row r="52" spans="1:17" ht="72" customHeight="1" x14ac:dyDescent="0.25">
      <c r="A52" s="23">
        <v>9752897</v>
      </c>
      <c r="B52" s="38">
        <v>3</v>
      </c>
      <c r="C52" s="23" t="s">
        <v>316</v>
      </c>
      <c r="D52" s="39" t="s">
        <v>315</v>
      </c>
      <c r="E52" s="40">
        <v>42654.794942129629</v>
      </c>
      <c r="F52" s="41">
        <v>42654.794942129629</v>
      </c>
      <c r="G52" s="30" t="s">
        <v>317</v>
      </c>
      <c r="H52" s="30" t="s">
        <v>262</v>
      </c>
      <c r="I52" s="30" t="s">
        <v>421</v>
      </c>
      <c r="J52" s="30" t="s">
        <v>339</v>
      </c>
      <c r="K52" s="29" t="s">
        <v>302</v>
      </c>
      <c r="L52" s="30" t="s">
        <v>74</v>
      </c>
      <c r="M52" s="30" t="s">
        <v>404</v>
      </c>
      <c r="N52" s="30" t="s">
        <v>74</v>
      </c>
      <c r="O52" s="29" t="s">
        <v>74</v>
      </c>
      <c r="P52" s="29" t="s">
        <v>74</v>
      </c>
      <c r="Q52" s="100">
        <v>42654</v>
      </c>
    </row>
    <row r="53" spans="1:17" ht="72" customHeight="1" x14ac:dyDescent="0.25">
      <c r="A53" s="23">
        <v>9752958</v>
      </c>
      <c r="B53" s="38">
        <v>1</v>
      </c>
      <c r="C53" s="23" t="s">
        <v>322</v>
      </c>
      <c r="D53" s="39" t="s">
        <v>39</v>
      </c>
      <c r="E53" s="40">
        <v>42654.96162037037</v>
      </c>
      <c r="F53" s="41">
        <v>42654.96162037037</v>
      </c>
      <c r="G53" s="30" t="s">
        <v>323</v>
      </c>
      <c r="H53" s="30" t="s">
        <v>262</v>
      </c>
      <c r="I53" s="30" t="s">
        <v>74</v>
      </c>
      <c r="J53" s="30" t="s">
        <v>74</v>
      </c>
      <c r="K53" s="29" t="s">
        <v>318</v>
      </c>
      <c r="L53" s="30" t="s">
        <v>74</v>
      </c>
      <c r="M53" s="30" t="s">
        <v>404</v>
      </c>
      <c r="N53" s="30" t="s">
        <v>74</v>
      </c>
      <c r="O53" s="29" t="s">
        <v>74</v>
      </c>
      <c r="P53" s="29" t="s">
        <v>74</v>
      </c>
      <c r="Q53" s="100">
        <v>42654</v>
      </c>
    </row>
    <row r="54" spans="1:17" ht="72" customHeight="1" x14ac:dyDescent="0.25">
      <c r="A54" s="23">
        <v>9752959</v>
      </c>
      <c r="B54" s="38">
        <v>1</v>
      </c>
      <c r="C54" s="23" t="s">
        <v>324</v>
      </c>
      <c r="D54" s="39" t="s">
        <v>39</v>
      </c>
      <c r="E54" s="40">
        <v>42654.96162037037</v>
      </c>
      <c r="F54" s="41">
        <v>42654.96162037037</v>
      </c>
      <c r="G54" s="30" t="s">
        <v>325</v>
      </c>
      <c r="H54" s="30" t="s">
        <v>262</v>
      </c>
      <c r="I54" s="30" t="s">
        <v>74</v>
      </c>
      <c r="J54" s="30" t="s">
        <v>422</v>
      </c>
      <c r="K54" s="29" t="s">
        <v>318</v>
      </c>
      <c r="L54" s="30" t="s">
        <v>74</v>
      </c>
      <c r="M54" s="30" t="s">
        <v>404</v>
      </c>
      <c r="N54" s="30" t="s">
        <v>74</v>
      </c>
      <c r="O54" s="29" t="s">
        <v>74</v>
      </c>
      <c r="P54" s="29" t="s">
        <v>74</v>
      </c>
      <c r="Q54" s="100">
        <v>42654</v>
      </c>
    </row>
    <row r="55" spans="1:17" ht="72" customHeight="1" x14ac:dyDescent="0.25">
      <c r="A55" s="23">
        <v>9753005</v>
      </c>
      <c r="B55" s="38">
        <v>2</v>
      </c>
      <c r="C55" s="23" t="s">
        <v>53</v>
      </c>
      <c r="D55" s="39" t="s">
        <v>20</v>
      </c>
      <c r="E55" s="40">
        <v>42655.044907407406</v>
      </c>
      <c r="F55" s="41">
        <v>42655.044907407406</v>
      </c>
      <c r="G55" s="30" t="s">
        <v>21</v>
      </c>
      <c r="H55" s="30" t="s">
        <v>74</v>
      </c>
      <c r="I55" s="30" t="s">
        <v>74</v>
      </c>
      <c r="J55" s="30" t="s">
        <v>74</v>
      </c>
      <c r="K55" s="29" t="s">
        <v>217</v>
      </c>
      <c r="L55" s="30" t="s">
        <v>74</v>
      </c>
      <c r="M55" s="30" t="s">
        <v>314</v>
      </c>
      <c r="N55" s="30" t="s">
        <v>74</v>
      </c>
      <c r="O55" s="29" t="s">
        <v>74</v>
      </c>
      <c r="P55" s="29" t="s">
        <v>74</v>
      </c>
      <c r="Q55" s="100">
        <v>42657</v>
      </c>
    </row>
    <row r="56" spans="1:17" ht="72" customHeight="1" x14ac:dyDescent="0.25">
      <c r="A56" s="23">
        <v>9753082</v>
      </c>
      <c r="B56" s="38">
        <v>9</v>
      </c>
      <c r="C56" s="23" t="s">
        <v>320</v>
      </c>
      <c r="D56" s="39" t="s">
        <v>10</v>
      </c>
      <c r="E56" s="40">
        <v>42655.13585648148</v>
      </c>
      <c r="F56" s="41">
        <v>42655.13585648148</v>
      </c>
      <c r="G56" s="30" t="s">
        <v>74</v>
      </c>
      <c r="H56" s="30" t="s">
        <v>74</v>
      </c>
      <c r="I56" s="30" t="s">
        <v>74</v>
      </c>
      <c r="J56" s="30" t="s">
        <v>74</v>
      </c>
      <c r="K56" s="29" t="s">
        <v>266</v>
      </c>
      <c r="L56" s="30" t="s">
        <v>74</v>
      </c>
      <c r="M56" s="30" t="s">
        <v>314</v>
      </c>
      <c r="N56" s="30" t="s">
        <v>74</v>
      </c>
      <c r="O56" s="29" t="s">
        <v>74</v>
      </c>
      <c r="P56" s="29" t="s">
        <v>74</v>
      </c>
      <c r="Q56" s="100">
        <v>42655</v>
      </c>
    </row>
    <row r="57" spans="1:17" ht="72" customHeight="1" x14ac:dyDescent="0.25">
      <c r="A57" s="23">
        <v>9753324</v>
      </c>
      <c r="B57" s="38">
        <v>2</v>
      </c>
      <c r="C57" s="23" t="s">
        <v>341</v>
      </c>
      <c r="D57" s="39" t="s">
        <v>20</v>
      </c>
      <c r="E57" s="40">
        <v>42655.628113425926</v>
      </c>
      <c r="F57" s="41">
        <v>42655.628113425926</v>
      </c>
      <c r="G57" s="30" t="s">
        <v>21</v>
      </c>
      <c r="H57" s="30" t="s">
        <v>74</v>
      </c>
      <c r="I57" s="30" t="s">
        <v>74</v>
      </c>
      <c r="J57" s="30" t="s">
        <v>74</v>
      </c>
      <c r="K57" s="29" t="s">
        <v>284</v>
      </c>
      <c r="L57" s="30" t="s">
        <v>405</v>
      </c>
      <c r="M57" s="30" t="s">
        <v>405</v>
      </c>
      <c r="N57" s="30" t="s">
        <v>74</v>
      </c>
      <c r="O57" s="29" t="s">
        <v>74</v>
      </c>
      <c r="P57" s="29" t="s">
        <v>74</v>
      </c>
      <c r="Q57" s="100">
        <v>42655</v>
      </c>
    </row>
    <row r="58" spans="1:17" ht="72" customHeight="1" x14ac:dyDescent="0.25">
      <c r="A58" s="23">
        <v>9753344</v>
      </c>
      <c r="B58" s="38">
        <v>9</v>
      </c>
      <c r="C58" s="23" t="s">
        <v>343</v>
      </c>
      <c r="D58" s="39" t="s">
        <v>20</v>
      </c>
      <c r="E58" s="40">
        <v>42655.669594907406</v>
      </c>
      <c r="F58" s="41">
        <v>42655.669594907406</v>
      </c>
      <c r="G58" s="30" t="s">
        <v>21</v>
      </c>
      <c r="H58" s="30" t="s">
        <v>74</v>
      </c>
      <c r="I58" s="30" t="s">
        <v>74</v>
      </c>
      <c r="J58" s="30" t="s">
        <v>74</v>
      </c>
      <c r="K58" s="29" t="s">
        <v>284</v>
      </c>
      <c r="L58" s="30" t="s">
        <v>405</v>
      </c>
      <c r="M58" s="30" t="s">
        <v>405</v>
      </c>
      <c r="N58" s="30" t="s">
        <v>74</v>
      </c>
      <c r="O58" s="29" t="s">
        <v>74</v>
      </c>
      <c r="P58" s="29" t="s">
        <v>74</v>
      </c>
      <c r="Q58" s="100">
        <v>42655</v>
      </c>
    </row>
    <row r="59" spans="1:17" ht="72" customHeight="1" x14ac:dyDescent="0.25">
      <c r="A59" s="23">
        <v>9753345</v>
      </c>
      <c r="B59" s="38">
        <v>2</v>
      </c>
      <c r="C59" s="23" t="s">
        <v>66</v>
      </c>
      <c r="D59" s="39" t="s">
        <v>10</v>
      </c>
      <c r="E59" s="40">
        <v>42655.669594907406</v>
      </c>
      <c r="F59" s="41">
        <v>42655.669594907406</v>
      </c>
      <c r="G59" s="30" t="s">
        <v>74</v>
      </c>
      <c r="H59" s="30" t="s">
        <v>74</v>
      </c>
      <c r="I59" s="30" t="s">
        <v>74</v>
      </c>
      <c r="J59" s="30" t="s">
        <v>74</v>
      </c>
      <c r="K59" s="29" t="s">
        <v>284</v>
      </c>
      <c r="L59" s="30" t="s">
        <v>405</v>
      </c>
      <c r="M59" s="30" t="s">
        <v>405</v>
      </c>
      <c r="N59" s="30" t="s">
        <v>74</v>
      </c>
      <c r="O59" s="29" t="s">
        <v>74</v>
      </c>
      <c r="P59" s="29" t="s">
        <v>74</v>
      </c>
      <c r="Q59" s="100">
        <v>42654</v>
      </c>
    </row>
    <row r="60" spans="1:17" ht="72" customHeight="1" x14ac:dyDescent="0.25">
      <c r="A60" s="23">
        <v>9753363</v>
      </c>
      <c r="B60" s="38">
        <v>19</v>
      </c>
      <c r="C60" s="23" t="s">
        <v>348</v>
      </c>
      <c r="D60" s="39" t="s">
        <v>20</v>
      </c>
      <c r="E60" s="40">
        <v>42655.711377314816</v>
      </c>
      <c r="F60" s="41">
        <v>42655.711377314816</v>
      </c>
      <c r="G60" s="30" t="s">
        <v>21</v>
      </c>
      <c r="H60" s="30" t="s">
        <v>262</v>
      </c>
      <c r="I60" s="30" t="s">
        <v>74</v>
      </c>
      <c r="J60" s="30" t="s">
        <v>342</v>
      </c>
      <c r="K60" s="29" t="s">
        <v>318</v>
      </c>
      <c r="L60" s="30" t="s">
        <v>406</v>
      </c>
      <c r="M60" s="30" t="s">
        <v>406</v>
      </c>
      <c r="N60" s="30" t="s">
        <v>74</v>
      </c>
      <c r="O60" s="29" t="s">
        <v>74</v>
      </c>
      <c r="P60" s="29" t="s">
        <v>74</v>
      </c>
      <c r="Q60" s="100">
        <v>42655</v>
      </c>
    </row>
    <row r="61" spans="1:17" ht="72" customHeight="1" x14ac:dyDescent="0.25">
      <c r="A61" s="23">
        <v>9753364</v>
      </c>
      <c r="B61" s="38">
        <v>12</v>
      </c>
      <c r="C61" s="23" t="s">
        <v>349</v>
      </c>
      <c r="D61" s="39" t="s">
        <v>20</v>
      </c>
      <c r="E61" s="40">
        <v>42655.711377314816</v>
      </c>
      <c r="F61" s="41">
        <v>42655.711377314816</v>
      </c>
      <c r="G61" s="30" t="s">
        <v>21</v>
      </c>
      <c r="H61" s="30" t="s">
        <v>261</v>
      </c>
      <c r="I61" s="30" t="s">
        <v>74</v>
      </c>
      <c r="J61" s="30" t="s">
        <v>342</v>
      </c>
      <c r="K61" s="29" t="s">
        <v>318</v>
      </c>
      <c r="L61" s="30" t="s">
        <v>406</v>
      </c>
      <c r="M61" s="30" t="s">
        <v>406</v>
      </c>
      <c r="N61" s="30" t="s">
        <v>74</v>
      </c>
      <c r="O61" s="29" t="s">
        <v>74</v>
      </c>
      <c r="P61" s="29" t="s">
        <v>74</v>
      </c>
      <c r="Q61" s="100">
        <v>42655</v>
      </c>
    </row>
    <row r="62" spans="1:17" ht="72" customHeight="1" x14ac:dyDescent="0.25">
      <c r="A62" s="23">
        <v>9753390</v>
      </c>
      <c r="B62" s="38">
        <v>11</v>
      </c>
      <c r="C62" s="23" t="s">
        <v>350</v>
      </c>
      <c r="D62" s="39" t="s">
        <v>20</v>
      </c>
      <c r="E62" s="40">
        <v>42655.753148148149</v>
      </c>
      <c r="F62" s="41">
        <v>42655.753148148149</v>
      </c>
      <c r="G62" s="30" t="s">
        <v>21</v>
      </c>
      <c r="H62" s="30" t="s">
        <v>262</v>
      </c>
      <c r="I62" s="30" t="s">
        <v>74</v>
      </c>
      <c r="J62" s="30" t="s">
        <v>327</v>
      </c>
      <c r="K62" s="29" t="s">
        <v>318</v>
      </c>
      <c r="L62" s="30" t="s">
        <v>74</v>
      </c>
      <c r="M62" s="30" t="s">
        <v>407</v>
      </c>
      <c r="N62" s="30" t="s">
        <v>74</v>
      </c>
      <c r="O62" s="29" t="s">
        <v>74</v>
      </c>
      <c r="P62" s="29" t="s">
        <v>74</v>
      </c>
      <c r="Q62" s="100">
        <v>42655</v>
      </c>
    </row>
    <row r="63" spans="1:17" ht="72" customHeight="1" x14ac:dyDescent="0.25">
      <c r="A63" s="23">
        <v>9753413</v>
      </c>
      <c r="B63" s="38">
        <v>1</v>
      </c>
      <c r="C63" s="23" t="s">
        <v>357</v>
      </c>
      <c r="D63" s="39" t="s">
        <v>10</v>
      </c>
      <c r="E63" s="40">
        <v>42655.87809027778</v>
      </c>
      <c r="F63" s="41">
        <v>42655.87809027778</v>
      </c>
      <c r="G63" s="30" t="s">
        <v>74</v>
      </c>
      <c r="H63" s="30" t="s">
        <v>262</v>
      </c>
      <c r="I63" s="30" t="s">
        <v>74</v>
      </c>
      <c r="J63" s="30" t="s">
        <v>74</v>
      </c>
      <c r="K63" s="29" t="s">
        <v>318</v>
      </c>
      <c r="L63" s="30" t="s">
        <v>74</v>
      </c>
      <c r="M63" s="30" t="s">
        <v>407</v>
      </c>
      <c r="N63" s="30" t="s">
        <v>74</v>
      </c>
      <c r="O63" s="29" t="s">
        <v>74</v>
      </c>
      <c r="P63" s="29" t="s">
        <v>74</v>
      </c>
      <c r="Q63" s="100">
        <v>42655</v>
      </c>
    </row>
    <row r="64" spans="1:17" ht="72" customHeight="1" x14ac:dyDescent="0.25">
      <c r="A64" s="23">
        <v>9753492</v>
      </c>
      <c r="B64" s="38">
        <v>7</v>
      </c>
      <c r="C64" s="23" t="s">
        <v>347</v>
      </c>
      <c r="D64" s="39" t="s">
        <v>20</v>
      </c>
      <c r="E64" s="40">
        <v>42656.045266203706</v>
      </c>
      <c r="F64" s="41">
        <v>42656.045266203706</v>
      </c>
      <c r="G64" s="30" t="s">
        <v>21</v>
      </c>
      <c r="H64" s="30" t="s">
        <v>74</v>
      </c>
      <c r="I64" s="30" t="s">
        <v>74</v>
      </c>
      <c r="J64" s="30" t="s">
        <v>74</v>
      </c>
      <c r="K64" s="29" t="s">
        <v>217</v>
      </c>
      <c r="L64" s="30" t="s">
        <v>74</v>
      </c>
      <c r="M64" s="30" t="s">
        <v>74</v>
      </c>
      <c r="N64" s="30" t="e">
        <v>#N/A</v>
      </c>
      <c r="O64" s="29" t="s">
        <v>74</v>
      </c>
      <c r="P64" s="29" t="s">
        <v>74</v>
      </c>
      <c r="Q64" s="100">
        <v>42660</v>
      </c>
    </row>
    <row r="65" spans="1:17" ht="72" customHeight="1" x14ac:dyDescent="0.25">
      <c r="A65" s="23">
        <v>9753493</v>
      </c>
      <c r="B65" s="38">
        <v>1</v>
      </c>
      <c r="C65" s="23" t="s">
        <v>36</v>
      </c>
      <c r="D65" s="39" t="s">
        <v>20</v>
      </c>
      <c r="E65" s="40">
        <v>42656.045266203706</v>
      </c>
      <c r="F65" s="41">
        <v>42656.045266203706</v>
      </c>
      <c r="G65" s="30" t="s">
        <v>21</v>
      </c>
      <c r="H65" s="30" t="s">
        <v>74</v>
      </c>
      <c r="I65" s="30" t="s">
        <v>74</v>
      </c>
      <c r="J65" s="30" t="s">
        <v>74</v>
      </c>
      <c r="K65" s="29" t="s">
        <v>217</v>
      </c>
      <c r="L65" s="30" t="s">
        <v>74</v>
      </c>
      <c r="M65" s="30" t="s">
        <v>74</v>
      </c>
      <c r="N65" s="30" t="e">
        <v>#N/A</v>
      </c>
      <c r="O65" s="29" t="s">
        <v>74</v>
      </c>
      <c r="P65" s="29" t="s">
        <v>74</v>
      </c>
      <c r="Q65" s="100">
        <v>42660</v>
      </c>
    </row>
    <row r="66" spans="1:17" ht="72" customHeight="1" x14ac:dyDescent="0.25">
      <c r="A66" s="23">
        <v>9753494</v>
      </c>
      <c r="B66" s="38">
        <v>1</v>
      </c>
      <c r="C66" s="23" t="s">
        <v>50</v>
      </c>
      <c r="D66" s="39" t="s">
        <v>210</v>
      </c>
      <c r="E66" s="40">
        <v>42656.045266203706</v>
      </c>
      <c r="F66" s="41">
        <v>42656.045266203706</v>
      </c>
      <c r="G66" s="30" t="s">
        <v>74</v>
      </c>
      <c r="H66" s="30" t="s">
        <v>74</v>
      </c>
      <c r="I66" s="30" t="s">
        <v>74</v>
      </c>
      <c r="J66" s="30" t="s">
        <v>74</v>
      </c>
      <c r="K66" s="29" t="s">
        <v>217</v>
      </c>
      <c r="L66" s="30" t="s">
        <v>74</v>
      </c>
      <c r="M66" s="30" t="s">
        <v>74</v>
      </c>
      <c r="N66" s="30" t="e">
        <v>#N/A</v>
      </c>
      <c r="O66" s="29" t="s">
        <v>74</v>
      </c>
      <c r="P66" s="29" t="s">
        <v>74</v>
      </c>
      <c r="Q66" s="100">
        <v>42660</v>
      </c>
    </row>
    <row r="67" spans="1:17" ht="72" customHeight="1" x14ac:dyDescent="0.25">
      <c r="A67" s="23">
        <v>9753495</v>
      </c>
      <c r="B67" s="38">
        <v>1</v>
      </c>
      <c r="C67" s="23" t="s">
        <v>363</v>
      </c>
      <c r="D67" s="39" t="s">
        <v>210</v>
      </c>
      <c r="E67" s="40">
        <v>42656.045266203706</v>
      </c>
      <c r="F67" s="41">
        <v>42656.045266203706</v>
      </c>
      <c r="G67" s="30" t="s">
        <v>74</v>
      </c>
      <c r="H67" s="30" t="s">
        <v>74</v>
      </c>
      <c r="I67" s="30" t="s">
        <v>74</v>
      </c>
      <c r="J67" s="30" t="s">
        <v>74</v>
      </c>
      <c r="K67" s="29" t="s">
        <v>217</v>
      </c>
      <c r="L67" s="30" t="s">
        <v>74</v>
      </c>
      <c r="M67" s="30" t="s">
        <v>74</v>
      </c>
      <c r="N67" s="30" t="e">
        <v>#N/A</v>
      </c>
      <c r="O67" s="29" t="s">
        <v>74</v>
      </c>
      <c r="P67" s="29" t="s">
        <v>74</v>
      </c>
      <c r="Q67" s="100">
        <v>42660</v>
      </c>
    </row>
    <row r="68" spans="1:17" ht="72" customHeight="1" x14ac:dyDescent="0.25">
      <c r="A68" s="23">
        <v>9753496</v>
      </c>
      <c r="B68" s="38">
        <v>2</v>
      </c>
      <c r="C68" s="23" t="s">
        <v>280</v>
      </c>
      <c r="D68" s="39" t="s">
        <v>210</v>
      </c>
      <c r="E68" s="40">
        <v>42656.045266203706</v>
      </c>
      <c r="F68" s="41">
        <v>42656.045266203706</v>
      </c>
      <c r="G68" s="30" t="s">
        <v>74</v>
      </c>
      <c r="H68" s="30" t="s">
        <v>74</v>
      </c>
      <c r="I68" s="30" t="s">
        <v>74</v>
      </c>
      <c r="J68" s="30" t="s">
        <v>74</v>
      </c>
      <c r="K68" s="29" t="s">
        <v>217</v>
      </c>
      <c r="L68" s="30" t="s">
        <v>74</v>
      </c>
      <c r="M68" s="30" t="s">
        <v>74</v>
      </c>
      <c r="N68" s="30" t="e">
        <v>#N/A</v>
      </c>
      <c r="O68" s="29" t="s">
        <v>74</v>
      </c>
      <c r="P68" s="29" t="s">
        <v>74</v>
      </c>
      <c r="Q68" s="100">
        <v>42660</v>
      </c>
    </row>
    <row r="69" spans="1:17" ht="72" customHeight="1" x14ac:dyDescent="0.25">
      <c r="A69" s="23">
        <v>9753497</v>
      </c>
      <c r="B69" s="38">
        <v>1</v>
      </c>
      <c r="C69" s="23" t="s">
        <v>48</v>
      </c>
      <c r="D69" s="39" t="s">
        <v>210</v>
      </c>
      <c r="E69" s="40">
        <v>42656.045277777775</v>
      </c>
      <c r="F69" s="41">
        <v>42656.045277777775</v>
      </c>
      <c r="G69" s="30" t="s">
        <v>74</v>
      </c>
      <c r="H69" s="30" t="s">
        <v>74</v>
      </c>
      <c r="I69" s="30" t="s">
        <v>74</v>
      </c>
      <c r="J69" s="30" t="s">
        <v>74</v>
      </c>
      <c r="K69" s="29" t="s">
        <v>217</v>
      </c>
      <c r="L69" s="30" t="s">
        <v>74</v>
      </c>
      <c r="M69" s="30" t="s">
        <v>74</v>
      </c>
      <c r="N69" s="30" t="e">
        <v>#N/A</v>
      </c>
      <c r="O69" s="29" t="s">
        <v>74</v>
      </c>
      <c r="P69" s="29" t="s">
        <v>74</v>
      </c>
      <c r="Q69" s="100">
        <v>42660</v>
      </c>
    </row>
    <row r="70" spans="1:17" ht="72" customHeight="1" x14ac:dyDescent="0.25">
      <c r="A70" s="23">
        <v>9753498</v>
      </c>
      <c r="B70" s="38">
        <v>3</v>
      </c>
      <c r="C70" s="23" t="s">
        <v>88</v>
      </c>
      <c r="D70" s="39" t="s">
        <v>210</v>
      </c>
      <c r="E70" s="40">
        <v>42656.045277777775</v>
      </c>
      <c r="F70" s="41">
        <v>42656.045277777775</v>
      </c>
      <c r="G70" s="30" t="s">
        <v>74</v>
      </c>
      <c r="H70" s="30" t="s">
        <v>74</v>
      </c>
      <c r="I70" s="30" t="s">
        <v>74</v>
      </c>
      <c r="J70" s="30" t="s">
        <v>74</v>
      </c>
      <c r="K70" s="29" t="s">
        <v>217</v>
      </c>
      <c r="L70" s="30" t="s">
        <v>74</v>
      </c>
      <c r="M70" s="30" t="s">
        <v>74</v>
      </c>
      <c r="N70" s="30" t="e">
        <v>#N/A</v>
      </c>
      <c r="O70" s="29" t="s">
        <v>74</v>
      </c>
      <c r="P70" s="29" t="s">
        <v>74</v>
      </c>
      <c r="Q70" s="100">
        <v>42660</v>
      </c>
    </row>
    <row r="71" spans="1:17" ht="72" customHeight="1" x14ac:dyDescent="0.25">
      <c r="A71" s="23">
        <v>9753499</v>
      </c>
      <c r="B71" s="38">
        <v>2</v>
      </c>
      <c r="C71" s="23" t="s">
        <v>212</v>
      </c>
      <c r="D71" s="39" t="s">
        <v>210</v>
      </c>
      <c r="E71" s="40">
        <v>42656.045277777775</v>
      </c>
      <c r="F71" s="41">
        <v>42656.045277777775</v>
      </c>
      <c r="G71" s="30" t="s">
        <v>74</v>
      </c>
      <c r="H71" s="30" t="s">
        <v>74</v>
      </c>
      <c r="I71" s="30" t="s">
        <v>74</v>
      </c>
      <c r="J71" s="30" t="s">
        <v>74</v>
      </c>
      <c r="K71" s="29" t="s">
        <v>217</v>
      </c>
      <c r="L71" s="30" t="s">
        <v>74</v>
      </c>
      <c r="M71" s="30" t="s">
        <v>74</v>
      </c>
      <c r="N71" s="30" t="e">
        <v>#N/A</v>
      </c>
      <c r="O71" s="29" t="s">
        <v>74</v>
      </c>
      <c r="P71" s="29" t="s">
        <v>74</v>
      </c>
      <c r="Q71" s="100">
        <v>42660</v>
      </c>
    </row>
    <row r="72" spans="1:17" ht="72" customHeight="1" x14ac:dyDescent="0.25">
      <c r="A72" s="23">
        <v>9753500</v>
      </c>
      <c r="B72" s="38">
        <v>1</v>
      </c>
      <c r="C72" s="23" t="s">
        <v>49</v>
      </c>
      <c r="D72" s="39" t="s">
        <v>210</v>
      </c>
      <c r="E72" s="40">
        <v>42656.045277777775</v>
      </c>
      <c r="F72" s="41">
        <v>42656.045277777775</v>
      </c>
      <c r="G72" s="30" t="s">
        <v>74</v>
      </c>
      <c r="H72" s="30" t="s">
        <v>74</v>
      </c>
      <c r="I72" s="30" t="s">
        <v>74</v>
      </c>
      <c r="J72" s="30" t="s">
        <v>74</v>
      </c>
      <c r="K72" s="29" t="s">
        <v>217</v>
      </c>
      <c r="L72" s="30" t="s">
        <v>74</v>
      </c>
      <c r="M72" s="30" t="s">
        <v>74</v>
      </c>
      <c r="N72" s="30" t="e">
        <v>#N/A</v>
      </c>
      <c r="O72" s="29" t="s">
        <v>74</v>
      </c>
      <c r="P72" s="29" t="s">
        <v>74</v>
      </c>
      <c r="Q72" s="100">
        <v>42660</v>
      </c>
    </row>
    <row r="73" spans="1:17" ht="72" customHeight="1" x14ac:dyDescent="0.25">
      <c r="A73" s="23">
        <v>9753501</v>
      </c>
      <c r="B73" s="38">
        <v>2</v>
      </c>
      <c r="C73" s="23" t="s">
        <v>43</v>
      </c>
      <c r="D73" s="39" t="s">
        <v>38</v>
      </c>
      <c r="E73" s="40">
        <v>42656.045277777775</v>
      </c>
      <c r="F73" s="41">
        <v>42656.045277777775</v>
      </c>
      <c r="G73" s="30" t="s">
        <v>69</v>
      </c>
      <c r="H73" s="30" t="s">
        <v>74</v>
      </c>
      <c r="I73" s="30" t="s">
        <v>74</v>
      </c>
      <c r="J73" s="30" t="s">
        <v>74</v>
      </c>
      <c r="K73" s="29" t="s">
        <v>217</v>
      </c>
      <c r="L73" s="30" t="s">
        <v>74</v>
      </c>
      <c r="M73" s="30" t="s">
        <v>74</v>
      </c>
      <c r="N73" s="30" t="e">
        <v>#N/A</v>
      </c>
      <c r="O73" s="29" t="s">
        <v>74</v>
      </c>
      <c r="P73" s="29" t="s">
        <v>74</v>
      </c>
      <c r="Q73" s="100">
        <v>42660</v>
      </c>
    </row>
    <row r="74" spans="1:17" ht="72" customHeight="1" x14ac:dyDescent="0.25">
      <c r="A74" s="23">
        <v>9753502</v>
      </c>
      <c r="B74" s="38">
        <v>1</v>
      </c>
      <c r="C74" s="23" t="s">
        <v>42</v>
      </c>
      <c r="D74" s="39" t="s">
        <v>38</v>
      </c>
      <c r="E74" s="40">
        <v>42656.045277777775</v>
      </c>
      <c r="F74" s="41">
        <v>42656.045277777775</v>
      </c>
      <c r="G74" s="30" t="s">
        <v>69</v>
      </c>
      <c r="H74" s="30" t="s">
        <v>74</v>
      </c>
      <c r="I74" s="30" t="s">
        <v>74</v>
      </c>
      <c r="J74" s="30" t="s">
        <v>74</v>
      </c>
      <c r="K74" s="29" t="s">
        <v>217</v>
      </c>
      <c r="L74" s="30" t="s">
        <v>74</v>
      </c>
      <c r="M74" s="30" t="s">
        <v>74</v>
      </c>
      <c r="N74" s="30" t="e">
        <v>#N/A</v>
      </c>
      <c r="O74" s="29" t="s">
        <v>74</v>
      </c>
      <c r="P74" s="29" t="s">
        <v>74</v>
      </c>
      <c r="Q74" s="100">
        <v>42660</v>
      </c>
    </row>
    <row r="75" spans="1:17" ht="72" customHeight="1" x14ac:dyDescent="0.25">
      <c r="A75" s="23">
        <v>9753589</v>
      </c>
      <c r="B75" s="38">
        <v>1</v>
      </c>
      <c r="C75" s="23" t="s">
        <v>360</v>
      </c>
      <c r="D75" s="39" t="s">
        <v>359</v>
      </c>
      <c r="E75" s="40">
        <v>42656.378333333334</v>
      </c>
      <c r="F75" s="41">
        <v>42656.378333333334</v>
      </c>
      <c r="G75" s="30" t="s">
        <v>361</v>
      </c>
      <c r="H75" s="30" t="s">
        <v>262</v>
      </c>
      <c r="I75" s="30" t="s">
        <v>74</v>
      </c>
      <c r="J75" s="30" t="s">
        <v>74</v>
      </c>
      <c r="K75" s="29" t="s">
        <v>318</v>
      </c>
      <c r="L75" s="30" t="s">
        <v>74</v>
      </c>
      <c r="M75" s="30" t="s">
        <v>408</v>
      </c>
      <c r="N75" s="30" t="s">
        <v>74</v>
      </c>
      <c r="O75" s="29" t="s">
        <v>74</v>
      </c>
      <c r="P75" s="29" t="s">
        <v>74</v>
      </c>
      <c r="Q75" s="100">
        <v>42656</v>
      </c>
    </row>
    <row r="76" spans="1:17" ht="72" customHeight="1" x14ac:dyDescent="0.25">
      <c r="A76" s="23">
        <v>9753629</v>
      </c>
      <c r="B76" s="38">
        <v>7</v>
      </c>
      <c r="C76" s="23" t="s">
        <v>362</v>
      </c>
      <c r="D76" s="39" t="s">
        <v>210</v>
      </c>
      <c r="E76" s="40">
        <v>42656.462812500002</v>
      </c>
      <c r="F76" s="41">
        <v>42656.462812500002</v>
      </c>
      <c r="G76" s="30" t="s">
        <v>65</v>
      </c>
      <c r="H76" s="30" t="s">
        <v>262</v>
      </c>
      <c r="I76" s="30" t="s">
        <v>74</v>
      </c>
      <c r="J76" s="30" t="s">
        <v>74</v>
      </c>
      <c r="K76" s="29" t="s">
        <v>318</v>
      </c>
      <c r="L76" s="30" t="s">
        <v>74</v>
      </c>
      <c r="M76" s="30" t="s">
        <v>409</v>
      </c>
      <c r="N76" s="30" t="s">
        <v>74</v>
      </c>
      <c r="O76" s="29" t="s">
        <v>74</v>
      </c>
      <c r="P76" s="29" t="s">
        <v>74</v>
      </c>
      <c r="Q76" s="100">
        <v>42656</v>
      </c>
    </row>
    <row r="77" spans="1:17" ht="72" customHeight="1" x14ac:dyDescent="0.25">
      <c r="A77" s="23">
        <v>9753703</v>
      </c>
      <c r="B77" s="38">
        <v>1</v>
      </c>
      <c r="C77" s="23" t="s">
        <v>71</v>
      </c>
      <c r="D77" s="39" t="s">
        <v>70</v>
      </c>
      <c r="E77" s="40">
        <v>42656.586354166669</v>
      </c>
      <c r="F77" s="41">
        <v>42656.586354166669</v>
      </c>
      <c r="G77" s="30" t="s">
        <v>72</v>
      </c>
      <c r="H77" s="30" t="s">
        <v>262</v>
      </c>
      <c r="I77" s="30" t="s">
        <v>74</v>
      </c>
      <c r="J77" s="30" t="s">
        <v>74</v>
      </c>
      <c r="K77" s="29" t="s">
        <v>318</v>
      </c>
      <c r="L77" s="30" t="s">
        <v>74</v>
      </c>
      <c r="M77" s="30" t="s">
        <v>409</v>
      </c>
      <c r="N77" s="30" t="s">
        <v>74</v>
      </c>
      <c r="O77" s="29" t="s">
        <v>74</v>
      </c>
      <c r="P77" s="29" t="s">
        <v>74</v>
      </c>
      <c r="Q77" s="100">
        <v>42656</v>
      </c>
    </row>
    <row r="78" spans="1:17" ht="72" customHeight="1" x14ac:dyDescent="0.25">
      <c r="A78" s="23">
        <v>9753704</v>
      </c>
      <c r="B78" s="38">
        <v>14</v>
      </c>
      <c r="C78" s="23" t="s">
        <v>352</v>
      </c>
      <c r="D78" s="39" t="s">
        <v>255</v>
      </c>
      <c r="E78" s="40">
        <v>42656.586354166669</v>
      </c>
      <c r="F78" s="41">
        <v>42656.586354166669</v>
      </c>
      <c r="G78" s="30" t="s">
        <v>353</v>
      </c>
      <c r="H78" s="30" t="s">
        <v>262</v>
      </c>
      <c r="I78" s="30" t="s">
        <v>74</v>
      </c>
      <c r="J78" s="30" t="s">
        <v>74</v>
      </c>
      <c r="K78" s="29" t="s">
        <v>318</v>
      </c>
      <c r="L78" s="30" t="s">
        <v>74</v>
      </c>
      <c r="M78" s="30" t="s">
        <v>409</v>
      </c>
      <c r="N78" s="30" t="s">
        <v>74</v>
      </c>
      <c r="O78" s="29" t="s">
        <v>74</v>
      </c>
      <c r="P78" s="29" t="s">
        <v>74</v>
      </c>
      <c r="Q78" s="100">
        <v>42656</v>
      </c>
    </row>
    <row r="79" spans="1:17" ht="72" customHeight="1" x14ac:dyDescent="0.25">
      <c r="A79" s="23">
        <v>9753744</v>
      </c>
      <c r="B79" s="38">
        <v>15</v>
      </c>
      <c r="C79" s="23" t="s">
        <v>351</v>
      </c>
      <c r="D79" s="39" t="s">
        <v>20</v>
      </c>
      <c r="E79" s="40">
        <v>42656.637523148151</v>
      </c>
      <c r="F79" s="41">
        <v>42656.637523148151</v>
      </c>
      <c r="G79" s="30" t="s">
        <v>21</v>
      </c>
      <c r="H79" s="30" t="s">
        <v>74</v>
      </c>
      <c r="I79" s="30" t="s">
        <v>74</v>
      </c>
      <c r="J79" s="30" t="s">
        <v>74</v>
      </c>
      <c r="K79" s="29" t="s">
        <v>266</v>
      </c>
      <c r="L79" s="30" t="s">
        <v>74</v>
      </c>
      <c r="M79" s="30" t="s">
        <v>74</v>
      </c>
      <c r="N79" s="30" t="e">
        <v>#N/A</v>
      </c>
      <c r="O79" s="29" t="s">
        <v>74</v>
      </c>
      <c r="P79" s="29" t="s">
        <v>74</v>
      </c>
      <c r="Q79" s="100">
        <v>42656</v>
      </c>
    </row>
    <row r="80" spans="1:17" ht="72" customHeight="1" x14ac:dyDescent="0.25">
      <c r="A80" s="23">
        <v>9753745</v>
      </c>
      <c r="B80" s="38">
        <v>2</v>
      </c>
      <c r="C80" s="23" t="s">
        <v>358</v>
      </c>
      <c r="D80" s="39" t="s">
        <v>10</v>
      </c>
      <c r="E80" s="40">
        <v>42656.637523148151</v>
      </c>
      <c r="F80" s="41">
        <v>42656.637523148151</v>
      </c>
      <c r="G80" s="30" t="s">
        <v>74</v>
      </c>
      <c r="H80" s="30" t="s">
        <v>74</v>
      </c>
      <c r="I80" s="30" t="s">
        <v>74</v>
      </c>
      <c r="J80" s="30" t="s">
        <v>74</v>
      </c>
      <c r="K80" s="29" t="s">
        <v>266</v>
      </c>
      <c r="L80" s="30" t="s">
        <v>74</v>
      </c>
      <c r="M80" s="30" t="s">
        <v>74</v>
      </c>
      <c r="N80" s="30" t="e">
        <v>#N/A</v>
      </c>
      <c r="O80" s="29" t="s">
        <v>74</v>
      </c>
      <c r="P80" s="29" t="s">
        <v>74</v>
      </c>
      <c r="Q80" s="100">
        <v>42656</v>
      </c>
    </row>
    <row r="81" spans="1:17" ht="72" customHeight="1" x14ac:dyDescent="0.25">
      <c r="A81" s="23">
        <v>9753746</v>
      </c>
      <c r="B81" s="38">
        <v>1</v>
      </c>
      <c r="C81" s="23" t="s">
        <v>356</v>
      </c>
      <c r="D81" s="39" t="s">
        <v>12</v>
      </c>
      <c r="E81" s="40">
        <v>42656.637523148151</v>
      </c>
      <c r="F81" s="41">
        <v>42656.637523148151</v>
      </c>
      <c r="G81" s="30" t="s">
        <v>74</v>
      </c>
      <c r="H81" s="30" t="s">
        <v>74</v>
      </c>
      <c r="I81" s="30" t="s">
        <v>74</v>
      </c>
      <c r="J81" s="30" t="s">
        <v>74</v>
      </c>
      <c r="K81" s="29" t="s">
        <v>266</v>
      </c>
      <c r="L81" s="30" t="s">
        <v>74</v>
      </c>
      <c r="M81" s="30" t="s">
        <v>74</v>
      </c>
      <c r="N81" s="30" t="e">
        <v>#N/A</v>
      </c>
      <c r="O81" s="29" t="s">
        <v>74</v>
      </c>
      <c r="P81" s="29" t="s">
        <v>74</v>
      </c>
      <c r="Q81" s="100">
        <v>42656</v>
      </c>
    </row>
    <row r="82" spans="1:17" ht="72" customHeight="1" x14ac:dyDescent="0.25">
      <c r="A82" s="23">
        <v>9753747</v>
      </c>
      <c r="B82" s="38">
        <v>1</v>
      </c>
      <c r="C82" s="23" t="s">
        <v>354</v>
      </c>
      <c r="D82" s="39" t="s">
        <v>255</v>
      </c>
      <c r="E82" s="40">
        <v>42656.63753472222</v>
      </c>
      <c r="F82" s="41">
        <v>42656.63753472222</v>
      </c>
      <c r="G82" s="30" t="s">
        <v>355</v>
      </c>
      <c r="H82" s="30" t="s">
        <v>74</v>
      </c>
      <c r="I82" s="30" t="s">
        <v>74</v>
      </c>
      <c r="J82" s="30" t="s">
        <v>74</v>
      </c>
      <c r="K82" s="29" t="s">
        <v>266</v>
      </c>
      <c r="L82" s="30" t="s">
        <v>74</v>
      </c>
      <c r="M82" s="30" t="s">
        <v>74</v>
      </c>
      <c r="N82" s="30" t="e">
        <v>#N/A</v>
      </c>
      <c r="O82" s="29" t="s">
        <v>74</v>
      </c>
      <c r="P82" s="29" t="s">
        <v>74</v>
      </c>
      <c r="Q82" s="100">
        <v>42656</v>
      </c>
    </row>
    <row r="83" spans="1:17" ht="72" customHeight="1" x14ac:dyDescent="0.25">
      <c r="A83" s="23">
        <v>9753792</v>
      </c>
      <c r="B83" s="38">
        <v>5</v>
      </c>
      <c r="C83" s="23" t="s">
        <v>57</v>
      </c>
      <c r="D83" s="39" t="s">
        <v>11</v>
      </c>
      <c r="E83" s="40">
        <v>42656.669976851852</v>
      </c>
      <c r="F83" s="41">
        <v>42656.669976851852</v>
      </c>
      <c r="G83" s="30" t="s">
        <v>24</v>
      </c>
      <c r="H83" s="30" t="s">
        <v>74</v>
      </c>
      <c r="I83" s="30" t="s">
        <v>74</v>
      </c>
      <c r="J83" s="30" t="s">
        <v>74</v>
      </c>
      <c r="K83" s="29" t="s">
        <v>266</v>
      </c>
      <c r="L83" s="30" t="s">
        <v>74</v>
      </c>
      <c r="M83" s="30" t="s">
        <v>74</v>
      </c>
      <c r="N83" s="30" t="e">
        <v>#N/A</v>
      </c>
      <c r="O83" s="29" t="s">
        <v>74</v>
      </c>
      <c r="P83" s="29" t="s">
        <v>74</v>
      </c>
      <c r="Q83" s="100">
        <v>42656</v>
      </c>
    </row>
    <row r="84" spans="1:17" ht="72" customHeight="1" x14ac:dyDescent="0.25">
      <c r="A84" s="23">
        <v>9753793</v>
      </c>
      <c r="B84" s="38">
        <v>10</v>
      </c>
      <c r="C84" s="23" t="s">
        <v>412</v>
      </c>
      <c r="D84" s="39" t="s">
        <v>20</v>
      </c>
      <c r="E84" s="40">
        <v>42656.669976851852</v>
      </c>
      <c r="F84" s="41">
        <v>42656.669976851852</v>
      </c>
      <c r="G84" s="30" t="s">
        <v>21</v>
      </c>
      <c r="H84" s="30" t="s">
        <v>74</v>
      </c>
      <c r="I84" s="30" t="s">
        <v>74</v>
      </c>
      <c r="J84" s="30" t="s">
        <v>74</v>
      </c>
      <c r="K84" s="29" t="s">
        <v>266</v>
      </c>
      <c r="L84" s="30" t="s">
        <v>74</v>
      </c>
      <c r="M84" s="30" t="s">
        <v>74</v>
      </c>
      <c r="N84" s="30" t="e">
        <v>#N/A</v>
      </c>
      <c r="O84" s="29" t="s">
        <v>74</v>
      </c>
      <c r="P84" s="29" t="s">
        <v>74</v>
      </c>
      <c r="Q84" s="100">
        <v>42656</v>
      </c>
    </row>
    <row r="85" spans="1:17" ht="72" customHeight="1" x14ac:dyDescent="0.25">
      <c r="A85" s="23">
        <v>9753794</v>
      </c>
      <c r="B85" s="38">
        <v>17</v>
      </c>
      <c r="C85" s="23" t="s">
        <v>410</v>
      </c>
      <c r="D85" s="39" t="s">
        <v>20</v>
      </c>
      <c r="E85" s="40">
        <v>42656.669976851852</v>
      </c>
      <c r="F85" s="41">
        <v>42656.669976851852</v>
      </c>
      <c r="G85" s="30" t="s">
        <v>21</v>
      </c>
      <c r="H85" s="30" t="s">
        <v>74</v>
      </c>
      <c r="I85" s="30" t="s">
        <v>74</v>
      </c>
      <c r="J85" s="30" t="s">
        <v>74</v>
      </c>
      <c r="K85" s="29" t="s">
        <v>266</v>
      </c>
      <c r="L85" s="30" t="s">
        <v>74</v>
      </c>
      <c r="M85" s="30" t="s">
        <v>74</v>
      </c>
      <c r="N85" s="30" t="e">
        <v>#N/A</v>
      </c>
      <c r="O85" s="29" t="s">
        <v>74</v>
      </c>
      <c r="P85" s="29" t="s">
        <v>74</v>
      </c>
      <c r="Q85" s="100">
        <v>42656</v>
      </c>
    </row>
    <row r="86" spans="1:17" ht="72" customHeight="1" x14ac:dyDescent="0.25">
      <c r="A86" s="23">
        <v>9753795</v>
      </c>
      <c r="B86" s="38">
        <v>11</v>
      </c>
      <c r="C86" s="23" t="s">
        <v>415</v>
      </c>
      <c r="D86" s="39" t="s">
        <v>13</v>
      </c>
      <c r="E86" s="40">
        <v>42656.669988425929</v>
      </c>
      <c r="F86" s="41">
        <v>42656.669988425929</v>
      </c>
      <c r="G86" s="30" t="s">
        <v>47</v>
      </c>
      <c r="H86" s="30" t="s">
        <v>74</v>
      </c>
      <c r="I86" s="30" t="s">
        <v>74</v>
      </c>
      <c r="J86" s="30" t="s">
        <v>74</v>
      </c>
      <c r="K86" s="29" t="s">
        <v>266</v>
      </c>
      <c r="L86" s="30" t="s">
        <v>74</v>
      </c>
      <c r="M86" s="30" t="s">
        <v>74</v>
      </c>
      <c r="N86" s="30" t="e">
        <v>#N/A</v>
      </c>
      <c r="O86" s="29" t="s">
        <v>74</v>
      </c>
      <c r="P86" s="29" t="s">
        <v>74</v>
      </c>
      <c r="Q86" s="100">
        <v>42654</v>
      </c>
    </row>
    <row r="87" spans="1:17" ht="72" customHeight="1" x14ac:dyDescent="0.25">
      <c r="A87" s="23">
        <v>9753796</v>
      </c>
      <c r="B87" s="38">
        <v>1</v>
      </c>
      <c r="C87" s="23" t="s">
        <v>413</v>
      </c>
      <c r="D87" s="39" t="s">
        <v>255</v>
      </c>
      <c r="E87" s="40">
        <v>42656.669988425929</v>
      </c>
      <c r="F87" s="41">
        <v>42656.669988425929</v>
      </c>
      <c r="G87" s="30" t="s">
        <v>414</v>
      </c>
      <c r="H87" s="30" t="s">
        <v>74</v>
      </c>
      <c r="I87" s="30" t="s">
        <v>74</v>
      </c>
      <c r="J87" s="30" t="s">
        <v>74</v>
      </c>
      <c r="K87" s="29" t="s">
        <v>266</v>
      </c>
      <c r="L87" s="30" t="s">
        <v>74</v>
      </c>
      <c r="M87" s="30" t="s">
        <v>74</v>
      </c>
      <c r="N87" s="30" t="e">
        <v>#N/A</v>
      </c>
      <c r="O87" s="29" t="s">
        <v>74</v>
      </c>
      <c r="P87" s="29" t="s">
        <v>74</v>
      </c>
      <c r="Q87" s="100">
        <v>42656</v>
      </c>
    </row>
    <row r="88" spans="1:17" ht="72" customHeight="1" x14ac:dyDescent="0.25">
      <c r="A88" s="23">
        <v>9753811</v>
      </c>
      <c r="B88" s="38">
        <v>14</v>
      </c>
      <c r="C88" s="23" t="s">
        <v>411</v>
      </c>
      <c r="D88" s="39" t="s">
        <v>20</v>
      </c>
      <c r="E88" s="40">
        <v>42656.71162037037</v>
      </c>
      <c r="F88" s="41">
        <v>42656.71162037037</v>
      </c>
      <c r="G88" s="30" t="s">
        <v>21</v>
      </c>
      <c r="H88" s="30" t="s">
        <v>74</v>
      </c>
      <c r="I88" s="30" t="s">
        <v>74</v>
      </c>
      <c r="J88" s="30" t="s">
        <v>74</v>
      </c>
      <c r="K88" s="29" t="s">
        <v>266</v>
      </c>
      <c r="L88" s="30" t="s">
        <v>74</v>
      </c>
      <c r="M88" s="30" t="s">
        <v>74</v>
      </c>
      <c r="N88" s="30" t="e">
        <v>#N/A</v>
      </c>
      <c r="O88" s="29" t="s">
        <v>74</v>
      </c>
      <c r="P88" s="29" t="s">
        <v>74</v>
      </c>
      <c r="Q88" s="100">
        <v>42656</v>
      </c>
    </row>
    <row r="89" spans="1:17" ht="72" customHeight="1" x14ac:dyDescent="0.25">
      <c r="A89" s="23">
        <v>9753812</v>
      </c>
      <c r="B89" s="38">
        <v>1</v>
      </c>
      <c r="C89" s="23" t="s">
        <v>79</v>
      </c>
      <c r="D89" s="39" t="s">
        <v>12</v>
      </c>
      <c r="E89" s="40">
        <v>42656.71162037037</v>
      </c>
      <c r="F89" s="41">
        <v>42656.71162037037</v>
      </c>
      <c r="G89" s="30" t="s">
        <v>74</v>
      </c>
      <c r="H89" s="30" t="s">
        <v>74</v>
      </c>
      <c r="I89" s="30" t="s">
        <v>74</v>
      </c>
      <c r="J89" s="30" t="s">
        <v>74</v>
      </c>
      <c r="K89" s="29" t="s">
        <v>217</v>
      </c>
      <c r="L89" s="30" t="s">
        <v>74</v>
      </c>
      <c r="M89" s="30" t="s">
        <v>74</v>
      </c>
      <c r="N89" s="30" t="e">
        <v>#N/A</v>
      </c>
      <c r="O89" s="29" t="s">
        <v>74</v>
      </c>
      <c r="P89" s="29" t="s">
        <v>74</v>
      </c>
      <c r="Q89" s="100">
        <v>42657</v>
      </c>
    </row>
    <row r="90" spans="1:17" ht="72" customHeight="1" x14ac:dyDescent="0.25">
      <c r="A90" s="23">
        <v>9753813</v>
      </c>
      <c r="B90" s="38">
        <v>2</v>
      </c>
      <c r="C90" s="23" t="s">
        <v>417</v>
      </c>
      <c r="D90" s="39" t="s">
        <v>210</v>
      </c>
      <c r="E90" s="40">
        <v>42656.71162037037</v>
      </c>
      <c r="F90" s="41">
        <v>42656.71162037037</v>
      </c>
      <c r="G90" s="30" t="s">
        <v>97</v>
      </c>
      <c r="H90" s="30" t="s">
        <v>74</v>
      </c>
      <c r="I90" s="30" t="s">
        <v>74</v>
      </c>
      <c r="J90" s="30" t="s">
        <v>74</v>
      </c>
      <c r="K90" s="29" t="s">
        <v>266</v>
      </c>
      <c r="L90" s="30" t="s">
        <v>74</v>
      </c>
      <c r="M90" s="30" t="s">
        <v>74</v>
      </c>
      <c r="N90" s="30" t="e">
        <v>#N/A</v>
      </c>
      <c r="O90" s="29" t="s">
        <v>74</v>
      </c>
      <c r="P90" s="29" t="s">
        <v>74</v>
      </c>
      <c r="Q90" s="100">
        <v>42656</v>
      </c>
    </row>
    <row r="91" spans="1:17" ht="72" customHeight="1" x14ac:dyDescent="0.25">
      <c r="A91" s="23">
        <v>9753814</v>
      </c>
      <c r="B91" s="38">
        <v>1</v>
      </c>
      <c r="C91" s="23" t="s">
        <v>418</v>
      </c>
      <c r="D91" s="39" t="s">
        <v>210</v>
      </c>
      <c r="E91" s="40">
        <v>42656.71162037037</v>
      </c>
      <c r="F91" s="41">
        <v>42656.71162037037</v>
      </c>
      <c r="G91" s="30" t="s">
        <v>97</v>
      </c>
      <c r="H91" s="30" t="s">
        <v>74</v>
      </c>
      <c r="I91" s="30" t="s">
        <v>74</v>
      </c>
      <c r="J91" s="30" t="s">
        <v>74</v>
      </c>
      <c r="K91" s="29" t="s">
        <v>266</v>
      </c>
      <c r="L91" s="30" t="s">
        <v>74</v>
      </c>
      <c r="M91" s="30" t="s">
        <v>74</v>
      </c>
      <c r="N91" s="30" t="e">
        <v>#N/A</v>
      </c>
      <c r="O91" s="29" t="s">
        <v>74</v>
      </c>
      <c r="P91" s="29" t="s">
        <v>74</v>
      </c>
      <c r="Q91" s="100">
        <v>42656</v>
      </c>
    </row>
    <row r="92" spans="1:17" ht="72" customHeight="1" x14ac:dyDescent="0.25">
      <c r="A92" s="23">
        <v>9753815</v>
      </c>
      <c r="B92" s="38">
        <v>1</v>
      </c>
      <c r="C92" s="23" t="s">
        <v>419</v>
      </c>
      <c r="D92" s="39" t="s">
        <v>210</v>
      </c>
      <c r="E92" s="40">
        <v>42656.71162037037</v>
      </c>
      <c r="F92" s="41">
        <v>42656.71162037037</v>
      </c>
      <c r="G92" s="30" t="s">
        <v>97</v>
      </c>
      <c r="H92" s="30" t="s">
        <v>74</v>
      </c>
      <c r="I92" s="30" t="s">
        <v>74</v>
      </c>
      <c r="J92" s="30" t="s">
        <v>74</v>
      </c>
      <c r="K92" s="29" t="s">
        <v>217</v>
      </c>
      <c r="L92" s="30" t="s">
        <v>74</v>
      </c>
      <c r="M92" s="30" t="s">
        <v>74</v>
      </c>
      <c r="N92" s="30" t="e">
        <v>#N/A</v>
      </c>
      <c r="O92" s="29" t="s">
        <v>74</v>
      </c>
      <c r="P92" s="29" t="s">
        <v>74</v>
      </c>
      <c r="Q92" s="100">
        <v>42660</v>
      </c>
    </row>
    <row r="93" spans="1:17" ht="72" customHeight="1" x14ac:dyDescent="0.25">
      <c r="A93" s="23">
        <v>9753816</v>
      </c>
      <c r="B93" s="38">
        <v>1</v>
      </c>
      <c r="C93" s="23" t="s">
        <v>416</v>
      </c>
      <c r="D93" s="39" t="s">
        <v>210</v>
      </c>
      <c r="E93" s="40">
        <v>42656.71162037037</v>
      </c>
      <c r="F93" s="41">
        <v>42656.71162037037</v>
      </c>
      <c r="G93" s="30" t="s">
        <v>321</v>
      </c>
      <c r="H93" s="30" t="s">
        <v>74</v>
      </c>
      <c r="I93" s="30" t="s">
        <v>74</v>
      </c>
      <c r="J93" s="30" t="s">
        <v>74</v>
      </c>
      <c r="K93" s="29" t="s">
        <v>266</v>
      </c>
      <c r="L93" s="30" t="s">
        <v>74</v>
      </c>
      <c r="M93" s="30" t="s">
        <v>74</v>
      </c>
      <c r="N93" s="30" t="e">
        <v>#N/A</v>
      </c>
      <c r="O93" s="29" t="s">
        <v>74</v>
      </c>
      <c r="P93" s="29" t="s">
        <v>74</v>
      </c>
      <c r="Q93" s="100">
        <v>42656</v>
      </c>
    </row>
    <row r="94" spans="1:17" ht="72" customHeight="1" x14ac:dyDescent="0.25">
      <c r="A94" s="23">
        <v>9753837</v>
      </c>
      <c r="B94" s="38">
        <v>1</v>
      </c>
      <c r="C94" s="23" t="s">
        <v>426</v>
      </c>
      <c r="D94" s="39" t="s">
        <v>210</v>
      </c>
      <c r="E94" s="40">
        <v>42656.752129629633</v>
      </c>
      <c r="F94" s="41">
        <v>42656.752129629633</v>
      </c>
      <c r="G94" s="30" t="s">
        <v>427</v>
      </c>
      <c r="H94" s="30" t="s">
        <v>74</v>
      </c>
      <c r="I94" s="30" t="s">
        <v>74</v>
      </c>
      <c r="J94" s="30" t="s">
        <v>74</v>
      </c>
      <c r="K94" s="29" t="s">
        <v>266</v>
      </c>
      <c r="L94" s="30" t="s">
        <v>74</v>
      </c>
      <c r="M94" s="30" t="s">
        <v>74</v>
      </c>
      <c r="N94" s="30" t="e">
        <v>#N/A</v>
      </c>
      <c r="O94" s="29" t="s">
        <v>74</v>
      </c>
      <c r="P94" s="29" t="s">
        <v>74</v>
      </c>
      <c r="Q94" s="100">
        <v>42656</v>
      </c>
    </row>
    <row r="95" spans="1:17" ht="72" customHeight="1" x14ac:dyDescent="0.25">
      <c r="A95" s="23">
        <v>9753838</v>
      </c>
      <c r="B95" s="38">
        <v>1</v>
      </c>
      <c r="C95" s="23" t="s">
        <v>418</v>
      </c>
      <c r="D95" s="39" t="s">
        <v>210</v>
      </c>
      <c r="E95" s="40">
        <v>42656.752129629633</v>
      </c>
      <c r="F95" s="41">
        <v>42656.752129629633</v>
      </c>
      <c r="G95" s="30" t="s">
        <v>97</v>
      </c>
      <c r="H95" s="30" t="s">
        <v>74</v>
      </c>
      <c r="I95" s="30" t="s">
        <v>74</v>
      </c>
      <c r="J95" s="30" t="s">
        <v>74</v>
      </c>
      <c r="K95" s="29" t="s">
        <v>266</v>
      </c>
      <c r="L95" s="30" t="s">
        <v>74</v>
      </c>
      <c r="M95" s="30" t="s">
        <v>74</v>
      </c>
      <c r="N95" s="30" t="e">
        <v>#N/A</v>
      </c>
      <c r="O95" s="29" t="s">
        <v>74</v>
      </c>
      <c r="P95" s="29" t="s">
        <v>74</v>
      </c>
      <c r="Q95" s="100">
        <v>42656</v>
      </c>
    </row>
    <row r="96" spans="1:17" ht="72" customHeight="1" x14ac:dyDescent="0.25">
      <c r="A96" s="23">
        <v>9753839</v>
      </c>
      <c r="B96" s="38">
        <v>2</v>
      </c>
      <c r="C96" s="23" t="s">
        <v>430</v>
      </c>
      <c r="D96" s="39" t="s">
        <v>210</v>
      </c>
      <c r="E96" s="40">
        <v>42656.752129629633</v>
      </c>
      <c r="F96" s="41">
        <v>42656.752129629633</v>
      </c>
      <c r="G96" s="30" t="s">
        <v>97</v>
      </c>
      <c r="H96" s="30" t="s">
        <v>74</v>
      </c>
      <c r="I96" s="30" t="s">
        <v>74</v>
      </c>
      <c r="J96" s="30" t="s">
        <v>74</v>
      </c>
      <c r="K96" s="29" t="s">
        <v>217</v>
      </c>
      <c r="L96" s="30" t="s">
        <v>74</v>
      </c>
      <c r="M96" s="30" t="s">
        <v>74</v>
      </c>
      <c r="N96" s="30" t="e">
        <v>#N/A</v>
      </c>
      <c r="O96" s="29" t="s">
        <v>74</v>
      </c>
      <c r="P96" s="29" t="s">
        <v>74</v>
      </c>
      <c r="Q96" s="100">
        <v>42660</v>
      </c>
    </row>
    <row r="97" spans="1:17" ht="72" customHeight="1" x14ac:dyDescent="0.25">
      <c r="A97" s="23">
        <v>9753840</v>
      </c>
      <c r="B97" s="38">
        <v>2</v>
      </c>
      <c r="C97" s="23" t="s">
        <v>429</v>
      </c>
      <c r="D97" s="39" t="s">
        <v>210</v>
      </c>
      <c r="E97" s="40">
        <v>42656.752129629633</v>
      </c>
      <c r="F97" s="41">
        <v>42656.752129629633</v>
      </c>
      <c r="G97" s="30" t="s">
        <v>97</v>
      </c>
      <c r="H97" s="30" t="s">
        <v>74</v>
      </c>
      <c r="I97" s="30" t="s">
        <v>74</v>
      </c>
      <c r="J97" s="30" t="s">
        <v>74</v>
      </c>
      <c r="K97" s="29" t="s">
        <v>217</v>
      </c>
      <c r="L97" s="30" t="s">
        <v>74</v>
      </c>
      <c r="M97" s="30" t="s">
        <v>74</v>
      </c>
      <c r="N97" s="30" t="e">
        <v>#N/A</v>
      </c>
      <c r="O97" s="29" t="s">
        <v>74</v>
      </c>
      <c r="P97" s="29" t="s">
        <v>74</v>
      </c>
      <c r="Q97" s="100">
        <v>42660</v>
      </c>
    </row>
    <row r="98" spans="1:17" ht="72" customHeight="1" x14ac:dyDescent="0.25">
      <c r="A98" s="23">
        <v>9753841</v>
      </c>
      <c r="B98" s="38">
        <v>1</v>
      </c>
      <c r="C98" s="23" t="s">
        <v>419</v>
      </c>
      <c r="D98" s="39" t="s">
        <v>210</v>
      </c>
      <c r="E98" s="40">
        <v>42656.752129629633</v>
      </c>
      <c r="F98" s="41">
        <v>42656.752129629633</v>
      </c>
      <c r="G98" s="30" t="s">
        <v>97</v>
      </c>
      <c r="H98" s="30" t="s">
        <v>74</v>
      </c>
      <c r="I98" s="30" t="s">
        <v>74</v>
      </c>
      <c r="J98" s="30" t="s">
        <v>74</v>
      </c>
      <c r="K98" s="29" t="s">
        <v>217</v>
      </c>
      <c r="L98" s="30" t="s">
        <v>74</v>
      </c>
      <c r="M98" s="30" t="s">
        <v>74</v>
      </c>
      <c r="N98" s="30" t="e">
        <v>#N/A</v>
      </c>
      <c r="O98" s="29" t="s">
        <v>74</v>
      </c>
      <c r="P98" s="29" t="s">
        <v>74</v>
      </c>
      <c r="Q98" s="100">
        <v>42660</v>
      </c>
    </row>
    <row r="99" spans="1:17" ht="72" customHeight="1" x14ac:dyDescent="0.25">
      <c r="A99" s="23">
        <v>9753842</v>
      </c>
      <c r="B99" s="38">
        <v>1</v>
      </c>
      <c r="C99" s="23" t="s">
        <v>428</v>
      </c>
      <c r="D99" s="39" t="s">
        <v>210</v>
      </c>
      <c r="E99" s="40">
        <v>42656.752129629633</v>
      </c>
      <c r="F99" s="41">
        <v>42656.752129629633</v>
      </c>
      <c r="G99" s="30" t="s">
        <v>97</v>
      </c>
      <c r="H99" s="30" t="s">
        <v>74</v>
      </c>
      <c r="I99" s="30" t="s">
        <v>74</v>
      </c>
      <c r="J99" s="30" t="s">
        <v>74</v>
      </c>
      <c r="K99" s="29" t="s">
        <v>266</v>
      </c>
      <c r="L99" s="30" t="s">
        <v>74</v>
      </c>
      <c r="M99" s="30" t="s">
        <v>74</v>
      </c>
      <c r="N99" s="30" t="e">
        <v>#N/A</v>
      </c>
      <c r="O99" s="29" t="s">
        <v>74</v>
      </c>
      <c r="P99" s="29" t="s">
        <v>74</v>
      </c>
      <c r="Q99" s="100">
        <v>42656</v>
      </c>
    </row>
    <row r="100" spans="1:17" ht="72" customHeight="1" x14ac:dyDescent="0.25">
      <c r="A100" s="23">
        <v>9753843</v>
      </c>
      <c r="B100" s="38">
        <v>1</v>
      </c>
      <c r="C100" s="23" t="s">
        <v>425</v>
      </c>
      <c r="D100" s="39" t="s">
        <v>210</v>
      </c>
      <c r="E100" s="40">
        <v>42656.752129629633</v>
      </c>
      <c r="F100" s="41">
        <v>42656.752129629633</v>
      </c>
      <c r="G100" s="30" t="s">
        <v>74</v>
      </c>
      <c r="H100" s="30" t="s">
        <v>74</v>
      </c>
      <c r="I100" s="30" t="s">
        <v>74</v>
      </c>
      <c r="J100" s="30" t="s">
        <v>74</v>
      </c>
      <c r="K100" s="29" t="s">
        <v>266</v>
      </c>
      <c r="L100" s="30" t="s">
        <v>74</v>
      </c>
      <c r="M100" s="30" t="s">
        <v>74</v>
      </c>
      <c r="N100" s="30" t="e">
        <v>#N/A</v>
      </c>
      <c r="O100" s="29" t="s">
        <v>74</v>
      </c>
      <c r="P100" s="29" t="s">
        <v>74</v>
      </c>
      <c r="Q100" s="100">
        <v>42656</v>
      </c>
    </row>
    <row r="101" spans="1:17" ht="72" customHeight="1" x14ac:dyDescent="0.25">
      <c r="A101" s="22"/>
      <c r="B101" s="22"/>
      <c r="C101" s="22"/>
      <c r="D101" s="22"/>
      <c r="E101" s="22"/>
      <c r="F101" s="22"/>
      <c r="G101"/>
      <c r="H101"/>
      <c r="I101"/>
      <c r="J101"/>
      <c r="K101"/>
      <c r="L101"/>
      <c r="M101"/>
      <c r="N101"/>
      <c r="O101"/>
      <c r="P101"/>
      <c r="Q101"/>
    </row>
    <row r="102" spans="1:17" ht="72" customHeight="1" x14ac:dyDescent="0.25">
      <c r="A102" s="22"/>
      <c r="B102" s="22"/>
      <c r="C102" s="22"/>
      <c r="D102" s="22"/>
      <c r="E102" s="22"/>
      <c r="F102" s="22"/>
      <c r="G102"/>
      <c r="H102"/>
      <c r="I102"/>
      <c r="J102"/>
      <c r="K102"/>
      <c r="L102"/>
      <c r="M102"/>
      <c r="N102"/>
      <c r="O102"/>
      <c r="P102"/>
      <c r="Q102"/>
    </row>
    <row r="103" spans="1:17" ht="72" customHeight="1" x14ac:dyDescent="0.25">
      <c r="A103" s="22"/>
      <c r="B103" s="22"/>
      <c r="C103" s="22"/>
      <c r="D103" s="22"/>
      <c r="E103" s="22"/>
      <c r="F103" s="22"/>
      <c r="G103"/>
      <c r="H103"/>
      <c r="I103"/>
      <c r="J103"/>
      <c r="K103"/>
      <c r="L103"/>
      <c r="M103"/>
      <c r="N103"/>
      <c r="O103"/>
      <c r="P103"/>
      <c r="Q103"/>
    </row>
    <row r="104" spans="1:17" ht="72" customHeight="1" x14ac:dyDescent="0.25">
      <c r="A104" s="22"/>
      <c r="B104" s="22"/>
      <c r="C104" s="22"/>
      <c r="D104" s="22"/>
      <c r="E104" s="22"/>
      <c r="F104" s="22"/>
      <c r="G104"/>
      <c r="H104"/>
      <c r="I104"/>
      <c r="J104"/>
      <c r="K104"/>
      <c r="L104"/>
      <c r="M104"/>
      <c r="N104"/>
      <c r="O104"/>
      <c r="P104"/>
      <c r="Q104"/>
    </row>
    <row r="105" spans="1:17" ht="72" customHeight="1" x14ac:dyDescent="0.25">
      <c r="A105" s="22"/>
      <c r="B105" s="22"/>
      <c r="C105" s="22"/>
      <c r="D105" s="22"/>
      <c r="E105" s="22"/>
      <c r="F105" s="22"/>
      <c r="G105"/>
      <c r="H105"/>
      <c r="I105"/>
      <c r="J105"/>
      <c r="K105"/>
      <c r="L105"/>
      <c r="M105"/>
      <c r="N105"/>
      <c r="O105"/>
      <c r="P105"/>
      <c r="Q105"/>
    </row>
    <row r="106" spans="1:17" ht="72" customHeight="1" x14ac:dyDescent="0.25">
      <c r="A106" s="22"/>
      <c r="B106" s="22"/>
      <c r="C106" s="22"/>
      <c r="D106" s="22"/>
      <c r="E106" s="22"/>
      <c r="F106" s="22"/>
      <c r="G106"/>
      <c r="H106"/>
      <c r="I106"/>
      <c r="J106"/>
      <c r="K106"/>
      <c r="L106"/>
      <c r="M106"/>
      <c r="N106"/>
      <c r="O106"/>
      <c r="P106"/>
      <c r="Q106"/>
    </row>
    <row r="107" spans="1:17" ht="72" customHeight="1" x14ac:dyDescent="0.25">
      <c r="A107" s="22"/>
      <c r="B107" s="22"/>
      <c r="C107" s="22"/>
      <c r="D107" s="22"/>
      <c r="E107" s="22"/>
      <c r="F107" s="22"/>
      <c r="G107"/>
      <c r="H107"/>
      <c r="I107"/>
      <c r="J107"/>
      <c r="K107"/>
      <c r="L107"/>
      <c r="M107"/>
      <c r="N107"/>
      <c r="O107"/>
      <c r="P107"/>
      <c r="Q107"/>
    </row>
    <row r="108" spans="1:17" ht="72" customHeight="1" x14ac:dyDescent="0.25">
      <c r="A108" s="22"/>
      <c r="B108" s="22"/>
      <c r="C108" s="22"/>
      <c r="D108" s="22"/>
      <c r="E108" s="22"/>
      <c r="F108" s="22"/>
      <c r="G108"/>
      <c r="H108"/>
      <c r="I108"/>
      <c r="J108"/>
      <c r="K108"/>
      <c r="L108"/>
      <c r="M108"/>
      <c r="N108"/>
      <c r="O108"/>
      <c r="P108"/>
      <c r="Q108"/>
    </row>
    <row r="109" spans="1:17" ht="72" customHeight="1" x14ac:dyDescent="0.25">
      <c r="A109" s="22"/>
      <c r="B109" s="22"/>
      <c r="C109" s="22"/>
      <c r="D109" s="22"/>
      <c r="E109" s="22"/>
      <c r="F109" s="22"/>
      <c r="G109"/>
      <c r="H109"/>
      <c r="I109"/>
      <c r="J109"/>
      <c r="K109"/>
      <c r="L109"/>
      <c r="M109"/>
      <c r="N109"/>
      <c r="O109"/>
      <c r="P109"/>
      <c r="Q109"/>
    </row>
    <row r="110" spans="1:17" ht="72" customHeight="1" x14ac:dyDescent="0.25">
      <c r="A110" s="22"/>
      <c r="B110" s="22"/>
      <c r="C110" s="22"/>
      <c r="D110" s="22"/>
      <c r="E110" s="22"/>
      <c r="F110" s="22"/>
      <c r="G110"/>
      <c r="H110"/>
      <c r="I110"/>
      <c r="J110"/>
      <c r="K110"/>
      <c r="L110"/>
      <c r="M110"/>
      <c r="N110"/>
      <c r="O110"/>
      <c r="P110"/>
      <c r="Q110"/>
    </row>
    <row r="111" spans="1:17" ht="72" customHeight="1" x14ac:dyDescent="0.25">
      <c r="A111" s="22"/>
      <c r="B111" s="22"/>
      <c r="C111" s="22"/>
      <c r="D111" s="22"/>
      <c r="E111" s="22"/>
      <c r="F111" s="22"/>
      <c r="G111"/>
      <c r="H111"/>
      <c r="I111"/>
      <c r="J111"/>
      <c r="K111"/>
      <c r="L111"/>
      <c r="M111"/>
      <c r="N111"/>
      <c r="O111"/>
      <c r="P111"/>
      <c r="Q111"/>
    </row>
    <row r="112" spans="1:17" ht="72" customHeight="1" x14ac:dyDescent="0.25">
      <c r="A112" s="22"/>
      <c r="B112" s="22"/>
      <c r="C112" s="22"/>
      <c r="D112" s="22"/>
      <c r="E112" s="22"/>
      <c r="F112" s="22"/>
      <c r="G112"/>
      <c r="H112"/>
      <c r="I112"/>
      <c r="J112"/>
      <c r="K112"/>
      <c r="L112"/>
      <c r="M112"/>
      <c r="N112"/>
      <c r="O112"/>
      <c r="P112"/>
      <c r="Q112"/>
    </row>
    <row r="113" spans="1:17" ht="72" customHeight="1" x14ac:dyDescent="0.25">
      <c r="A113" s="22"/>
      <c r="B113" s="22"/>
      <c r="C113" s="22"/>
      <c r="D113" s="22"/>
      <c r="E113" s="22"/>
      <c r="F113" s="22"/>
      <c r="G113"/>
      <c r="H113"/>
      <c r="I113"/>
      <c r="J113"/>
      <c r="K113"/>
      <c r="L113"/>
      <c r="M113"/>
      <c r="N113"/>
      <c r="O113"/>
      <c r="P113"/>
      <c r="Q113"/>
    </row>
    <row r="114" spans="1:17" ht="72" customHeight="1" x14ac:dyDescent="0.25">
      <c r="A114" s="22"/>
      <c r="B114" s="22"/>
      <c r="C114" s="22"/>
      <c r="D114" s="22"/>
      <c r="E114" s="22"/>
      <c r="F114" s="22"/>
      <c r="G114"/>
      <c r="H114"/>
      <c r="I114"/>
      <c r="J114"/>
      <c r="K114"/>
      <c r="L114"/>
      <c r="M114"/>
      <c r="N114"/>
      <c r="O114"/>
      <c r="P114"/>
      <c r="Q114"/>
    </row>
    <row r="115" spans="1:17" ht="72" customHeight="1" x14ac:dyDescent="0.25">
      <c r="A115" s="22"/>
      <c r="B115" s="22"/>
      <c r="C115" s="22"/>
      <c r="D115" s="22"/>
      <c r="E115" s="22"/>
      <c r="F115" s="22"/>
      <c r="G115"/>
      <c r="H115"/>
      <c r="I115"/>
      <c r="J115"/>
      <c r="K115"/>
      <c r="L115"/>
      <c r="M115"/>
      <c r="N115"/>
      <c r="O115"/>
      <c r="P115"/>
      <c r="Q115"/>
    </row>
    <row r="116" spans="1:17" ht="72" customHeight="1" x14ac:dyDescent="0.25">
      <c r="A116" s="22"/>
      <c r="B116" s="22"/>
      <c r="C116" s="22"/>
      <c r="D116" s="22"/>
      <c r="E116" s="22"/>
      <c r="F116" s="22"/>
      <c r="G116"/>
      <c r="H116"/>
      <c r="I116"/>
      <c r="J116"/>
      <c r="K116"/>
      <c r="L116"/>
      <c r="M116"/>
      <c r="N116"/>
      <c r="O116"/>
      <c r="P116"/>
      <c r="Q116"/>
    </row>
    <row r="117" spans="1:17" ht="72" customHeight="1" x14ac:dyDescent="0.25">
      <c r="A117" s="22"/>
      <c r="B117" s="22"/>
      <c r="C117" s="22"/>
      <c r="D117" s="22"/>
      <c r="E117" s="22"/>
      <c r="F117" s="22"/>
      <c r="G117"/>
      <c r="H117"/>
      <c r="I117"/>
      <c r="J117"/>
      <c r="K117"/>
      <c r="L117"/>
      <c r="M117"/>
      <c r="N117"/>
      <c r="O117"/>
      <c r="P117"/>
      <c r="Q117"/>
    </row>
    <row r="118" spans="1:17" ht="72" customHeight="1" x14ac:dyDescent="0.25">
      <c r="A118" s="22"/>
      <c r="B118" s="22"/>
      <c r="C118" s="22"/>
      <c r="D118" s="22"/>
      <c r="E118" s="22"/>
      <c r="F118" s="22"/>
      <c r="G118"/>
      <c r="H118"/>
      <c r="I118"/>
      <c r="J118"/>
      <c r="K118"/>
      <c r="L118"/>
      <c r="M118"/>
      <c r="N118"/>
      <c r="O118"/>
      <c r="P118"/>
      <c r="Q118"/>
    </row>
    <row r="119" spans="1:17" ht="72" customHeight="1" x14ac:dyDescent="0.25">
      <c r="A119" s="22"/>
      <c r="B119" s="22"/>
      <c r="C119" s="22"/>
      <c r="D119" s="22"/>
      <c r="E119" s="22"/>
      <c r="F119" s="22"/>
      <c r="G119"/>
      <c r="H119"/>
      <c r="I119"/>
      <c r="J119"/>
      <c r="K119"/>
      <c r="L119"/>
      <c r="M119"/>
      <c r="N119"/>
      <c r="O119"/>
      <c r="P119"/>
      <c r="Q119"/>
    </row>
    <row r="120" spans="1:17" ht="72" customHeight="1" x14ac:dyDescent="0.25">
      <c r="A120" s="22"/>
      <c r="B120" s="22"/>
      <c r="C120" s="22"/>
      <c r="D120" s="22"/>
      <c r="E120" s="22"/>
      <c r="F120" s="22"/>
      <c r="G120"/>
      <c r="H120"/>
      <c r="I120"/>
      <c r="J120"/>
      <c r="K120"/>
      <c r="L120"/>
      <c r="M120"/>
      <c r="N120"/>
      <c r="O120"/>
      <c r="P120"/>
      <c r="Q120"/>
    </row>
    <row r="121" spans="1:17" ht="72" customHeight="1" x14ac:dyDescent="0.25">
      <c r="A121" s="22"/>
      <c r="B121" s="22"/>
      <c r="C121" s="22"/>
      <c r="D121" s="22"/>
      <c r="E121" s="22"/>
      <c r="F121" s="22"/>
      <c r="G121"/>
      <c r="H121"/>
      <c r="I121"/>
      <c r="J121"/>
      <c r="K121"/>
      <c r="L121"/>
      <c r="M121"/>
      <c r="N121"/>
      <c r="O121"/>
      <c r="P121"/>
      <c r="Q121"/>
    </row>
    <row r="122" spans="1:17" ht="72" customHeight="1" x14ac:dyDescent="0.25">
      <c r="A122" s="22"/>
      <c r="B122" s="22"/>
      <c r="C122" s="22"/>
      <c r="D122" s="22"/>
      <c r="E122" s="22"/>
      <c r="F122" s="22"/>
      <c r="G122"/>
      <c r="H122"/>
      <c r="I122"/>
      <c r="J122"/>
      <c r="K122"/>
      <c r="L122"/>
      <c r="M122"/>
      <c r="N122"/>
      <c r="O122"/>
      <c r="P122"/>
      <c r="Q122"/>
    </row>
    <row r="123" spans="1:17" ht="72" customHeight="1" x14ac:dyDescent="0.25">
      <c r="A123" s="22"/>
      <c r="B123" s="22"/>
      <c r="C123" s="22"/>
      <c r="D123" s="22"/>
      <c r="E123" s="22"/>
      <c r="F123" s="22"/>
      <c r="G123"/>
      <c r="H123"/>
      <c r="I123"/>
      <c r="J123"/>
      <c r="K123"/>
      <c r="L123"/>
      <c r="M123"/>
      <c r="N123"/>
      <c r="O123"/>
      <c r="P123"/>
      <c r="Q123"/>
    </row>
    <row r="124" spans="1:17" ht="72" customHeight="1" x14ac:dyDescent="0.25">
      <c r="A124" s="22"/>
      <c r="B124" s="22"/>
      <c r="C124" s="22"/>
      <c r="D124" s="22"/>
      <c r="E124" s="22"/>
      <c r="F124" s="22"/>
      <c r="G124"/>
      <c r="H124"/>
      <c r="I124"/>
      <c r="J124"/>
      <c r="K124"/>
      <c r="L124"/>
      <c r="M124"/>
      <c r="N124"/>
      <c r="O124"/>
      <c r="P124"/>
      <c r="Q124"/>
    </row>
    <row r="125" spans="1:17" ht="72" customHeight="1" x14ac:dyDescent="0.25">
      <c r="A125" s="22"/>
      <c r="B125" s="22"/>
      <c r="C125" s="22"/>
      <c r="D125" s="22"/>
      <c r="E125" s="22"/>
      <c r="F125" s="22"/>
      <c r="G125"/>
      <c r="H125"/>
      <c r="I125"/>
      <c r="J125"/>
      <c r="K125"/>
      <c r="L125"/>
      <c r="M125"/>
      <c r="N125"/>
      <c r="O125"/>
      <c r="P125"/>
      <c r="Q125"/>
    </row>
    <row r="126" spans="1:17" ht="72" customHeight="1" x14ac:dyDescent="0.25">
      <c r="A126" s="22"/>
      <c r="B126" s="22"/>
      <c r="C126" s="22"/>
      <c r="D126" s="22"/>
      <c r="E126" s="22"/>
      <c r="F126" s="22"/>
      <c r="G126"/>
      <c r="H126"/>
      <c r="I126"/>
      <c r="J126"/>
      <c r="K126"/>
      <c r="L126"/>
      <c r="M126"/>
      <c r="N126"/>
      <c r="O126"/>
      <c r="P126"/>
      <c r="Q126"/>
    </row>
    <row r="127" spans="1:17" ht="72" customHeight="1" x14ac:dyDescent="0.25">
      <c r="A127" s="22"/>
      <c r="B127" s="22"/>
      <c r="C127" s="22"/>
      <c r="D127" s="22"/>
      <c r="E127" s="22"/>
      <c r="F127" s="22"/>
      <c r="G127"/>
      <c r="H127"/>
      <c r="I127"/>
      <c r="J127"/>
      <c r="K127"/>
      <c r="L127"/>
      <c r="M127"/>
      <c r="N127"/>
      <c r="O127"/>
      <c r="P127"/>
      <c r="Q127"/>
    </row>
    <row r="128" spans="1:17" ht="72" customHeight="1" x14ac:dyDescent="0.25">
      <c r="A128" s="22"/>
      <c r="B128" s="22"/>
      <c r="C128" s="22"/>
      <c r="D128" s="22"/>
      <c r="E128" s="22"/>
      <c r="F128" s="22"/>
      <c r="G128"/>
      <c r="H128"/>
      <c r="I128"/>
      <c r="J128"/>
      <c r="K128"/>
      <c r="L128"/>
      <c r="M128"/>
      <c r="N128"/>
      <c r="O128"/>
      <c r="P128"/>
      <c r="Q128"/>
    </row>
    <row r="129" spans="1:17" ht="72" customHeight="1" x14ac:dyDescent="0.25">
      <c r="A129" s="22"/>
      <c r="B129" s="22"/>
      <c r="C129" s="22"/>
      <c r="D129" s="22"/>
      <c r="E129" s="22"/>
      <c r="F129" s="22"/>
      <c r="G129"/>
      <c r="H129"/>
      <c r="I129"/>
      <c r="J129"/>
      <c r="K129"/>
      <c r="L129"/>
      <c r="M129"/>
      <c r="N129"/>
      <c r="O129"/>
      <c r="P129"/>
      <c r="Q129"/>
    </row>
    <row r="130" spans="1:17" ht="72" customHeight="1" x14ac:dyDescent="0.25">
      <c r="A130" s="22"/>
      <c r="B130" s="22"/>
      <c r="C130" s="22"/>
      <c r="D130" s="22"/>
      <c r="E130" s="22"/>
      <c r="F130" s="22"/>
      <c r="G130"/>
      <c r="H130"/>
      <c r="I130"/>
      <c r="J130"/>
      <c r="K130"/>
      <c r="L130"/>
      <c r="M130"/>
      <c r="N130"/>
      <c r="O130"/>
      <c r="P130"/>
      <c r="Q130"/>
    </row>
    <row r="131" spans="1:17" ht="72" customHeight="1" x14ac:dyDescent="0.25">
      <c r="A131" s="22"/>
      <c r="B131" s="22"/>
      <c r="C131" s="22"/>
      <c r="D131" s="22"/>
      <c r="E131" s="22"/>
      <c r="F131" s="22"/>
      <c r="G131"/>
      <c r="H131"/>
      <c r="I131"/>
      <c r="J131"/>
      <c r="K131"/>
      <c r="L131"/>
      <c r="M131"/>
      <c r="N131"/>
      <c r="O131"/>
      <c r="P131"/>
      <c r="Q131"/>
    </row>
    <row r="132" spans="1:17" ht="72" customHeight="1" x14ac:dyDescent="0.25">
      <c r="A132" s="22"/>
      <c r="B132" s="22"/>
      <c r="C132" s="22"/>
      <c r="D132" s="22"/>
      <c r="E132" s="22"/>
      <c r="F132" s="22"/>
      <c r="G132"/>
      <c r="H132"/>
      <c r="I132"/>
      <c r="J132"/>
      <c r="K132"/>
      <c r="L132"/>
      <c r="M132"/>
      <c r="N132"/>
      <c r="O132"/>
      <c r="P132"/>
      <c r="Q132"/>
    </row>
    <row r="133" spans="1:17" ht="72" customHeight="1" x14ac:dyDescent="0.25">
      <c r="A133" s="22"/>
      <c r="B133" s="22"/>
      <c r="C133" s="22"/>
      <c r="D133" s="22"/>
      <c r="E133" s="22"/>
      <c r="F133" s="22"/>
      <c r="G133"/>
      <c r="H133"/>
      <c r="I133"/>
      <c r="J133"/>
      <c r="K133"/>
      <c r="L133"/>
      <c r="M133"/>
      <c r="N133"/>
      <c r="O133"/>
      <c r="P133"/>
      <c r="Q133"/>
    </row>
    <row r="134" spans="1:17" ht="72" customHeight="1" x14ac:dyDescent="0.25">
      <c r="A134" s="22"/>
      <c r="B134" s="22"/>
      <c r="C134" s="22"/>
      <c r="D134" s="22"/>
      <c r="E134" s="22"/>
      <c r="F134" s="22"/>
      <c r="G134"/>
      <c r="H134"/>
      <c r="I134"/>
      <c r="J134"/>
      <c r="K134"/>
      <c r="L134"/>
      <c r="M134"/>
      <c r="N134"/>
      <c r="O134"/>
      <c r="P134"/>
      <c r="Q134"/>
    </row>
    <row r="135" spans="1:17" ht="72" customHeight="1" x14ac:dyDescent="0.25">
      <c r="A135" s="22"/>
      <c r="B135" s="22"/>
      <c r="C135" s="22"/>
      <c r="D135" s="22"/>
      <c r="E135" s="22"/>
      <c r="F135" s="22"/>
      <c r="G135"/>
      <c r="H135"/>
      <c r="I135"/>
      <c r="J135"/>
      <c r="K135"/>
      <c r="L135"/>
      <c r="M135"/>
      <c r="N135"/>
      <c r="O135"/>
      <c r="P135"/>
      <c r="Q135"/>
    </row>
    <row r="136" spans="1:17" ht="72" customHeight="1" x14ac:dyDescent="0.25">
      <c r="A136" s="22"/>
      <c r="B136" s="22"/>
      <c r="C136" s="22"/>
      <c r="D136" s="22"/>
      <c r="E136" s="22"/>
      <c r="F136" s="22"/>
      <c r="G136"/>
      <c r="H136"/>
      <c r="I136"/>
      <c r="J136"/>
      <c r="K136"/>
      <c r="L136"/>
      <c r="M136"/>
      <c r="N136"/>
      <c r="O136"/>
      <c r="P136"/>
      <c r="Q136"/>
    </row>
    <row r="137" spans="1:17" ht="72" customHeight="1" x14ac:dyDescent="0.25">
      <c r="A137" s="22"/>
      <c r="B137" s="22"/>
      <c r="C137" s="22"/>
      <c r="D137" s="22"/>
      <c r="E137" s="22"/>
      <c r="F137" s="22"/>
      <c r="G137"/>
      <c r="H137"/>
      <c r="I137"/>
      <c r="J137"/>
      <c r="K137"/>
      <c r="L137"/>
      <c r="M137"/>
      <c r="N137"/>
      <c r="O137"/>
      <c r="P137"/>
      <c r="Q137"/>
    </row>
    <row r="138" spans="1:17" ht="72" customHeight="1" x14ac:dyDescent="0.25">
      <c r="A138" s="22"/>
      <c r="B138" s="22"/>
      <c r="C138" s="22"/>
      <c r="D138" s="22"/>
      <c r="E138" s="22"/>
      <c r="F138" s="22"/>
      <c r="G138"/>
      <c r="H138"/>
      <c r="I138"/>
      <c r="J138"/>
      <c r="K138"/>
      <c r="L138"/>
      <c r="M138"/>
      <c r="N138"/>
      <c r="O138"/>
      <c r="P138"/>
      <c r="Q138"/>
    </row>
    <row r="139" spans="1:17" ht="72" customHeight="1" x14ac:dyDescent="0.25">
      <c r="A139" s="22"/>
      <c r="B139" s="22"/>
      <c r="C139" s="22"/>
      <c r="D139" s="22"/>
      <c r="E139" s="22"/>
      <c r="F139" s="22"/>
      <c r="G139"/>
      <c r="H139"/>
      <c r="I139"/>
      <c r="J139"/>
      <c r="K139"/>
      <c r="L139"/>
      <c r="M139"/>
      <c r="N139"/>
      <c r="O139"/>
      <c r="P139"/>
      <c r="Q139"/>
    </row>
    <row r="140" spans="1:17" ht="72" customHeight="1" x14ac:dyDescent="0.25">
      <c r="A140" s="22"/>
      <c r="B140" s="22"/>
      <c r="C140" s="22"/>
      <c r="D140" s="22"/>
      <c r="E140" s="22"/>
      <c r="F140" s="22"/>
      <c r="G140"/>
      <c r="H140"/>
      <c r="I140"/>
      <c r="J140"/>
      <c r="K140"/>
      <c r="L140"/>
      <c r="M140"/>
      <c r="N140"/>
      <c r="O140"/>
      <c r="P140"/>
      <c r="Q140"/>
    </row>
    <row r="141" spans="1:17" ht="72" customHeight="1" x14ac:dyDescent="0.25">
      <c r="A141" s="22"/>
      <c r="B141" s="22"/>
      <c r="C141" s="22"/>
      <c r="D141" s="22"/>
      <c r="E141" s="22"/>
      <c r="F141" s="22"/>
      <c r="G141"/>
      <c r="H141"/>
      <c r="I141"/>
      <c r="J141"/>
      <c r="K141"/>
      <c r="L141"/>
      <c r="M141"/>
      <c r="N141"/>
      <c r="O141"/>
      <c r="P141"/>
      <c r="Q141"/>
    </row>
    <row r="142" spans="1:17" ht="72" customHeight="1" x14ac:dyDescent="0.25">
      <c r="A142" s="22"/>
      <c r="B142" s="22"/>
      <c r="C142" s="22"/>
      <c r="D142" s="22"/>
      <c r="E142" s="22"/>
      <c r="F142" s="22"/>
      <c r="G142"/>
      <c r="H142"/>
      <c r="I142"/>
      <c r="J142"/>
      <c r="K142"/>
      <c r="L142"/>
      <c r="M142"/>
      <c r="N142"/>
      <c r="O142"/>
      <c r="P142"/>
      <c r="Q142"/>
    </row>
    <row r="143" spans="1:17" ht="72" customHeight="1" x14ac:dyDescent="0.25">
      <c r="A143" s="22"/>
      <c r="B143" s="22"/>
      <c r="C143" s="22"/>
      <c r="D143" s="22"/>
      <c r="E143" s="22"/>
      <c r="F143" s="22"/>
      <c r="G143"/>
      <c r="H143"/>
      <c r="I143"/>
      <c r="J143"/>
      <c r="K143"/>
      <c r="L143"/>
      <c r="M143"/>
      <c r="N143"/>
      <c r="O143"/>
      <c r="P143"/>
      <c r="Q143"/>
    </row>
    <row r="144" spans="1:17" ht="72" customHeight="1" x14ac:dyDescent="0.25">
      <c r="A144" s="22"/>
      <c r="B144" s="22"/>
      <c r="C144" s="22"/>
      <c r="D144" s="22"/>
      <c r="E144" s="22"/>
      <c r="F144" s="22"/>
      <c r="G144"/>
      <c r="H144"/>
      <c r="I144"/>
      <c r="J144"/>
      <c r="K144"/>
      <c r="L144"/>
      <c r="M144"/>
      <c r="N144"/>
      <c r="O144"/>
      <c r="P144"/>
      <c r="Q144"/>
    </row>
    <row r="145" spans="1:17" ht="72" customHeight="1" x14ac:dyDescent="0.25">
      <c r="A145" s="22"/>
      <c r="B145" s="22"/>
      <c r="C145" s="22"/>
      <c r="D145" s="22"/>
      <c r="E145" s="22"/>
      <c r="F145" s="22"/>
      <c r="G145"/>
      <c r="H145"/>
      <c r="I145"/>
      <c r="J145"/>
      <c r="K145"/>
      <c r="L145"/>
      <c r="M145"/>
      <c r="N145"/>
      <c r="O145"/>
      <c r="P145"/>
      <c r="Q145"/>
    </row>
    <row r="146" spans="1:17" ht="72" customHeight="1" x14ac:dyDescent="0.25">
      <c r="A146" s="22"/>
      <c r="B146" s="22"/>
      <c r="C146" s="22"/>
      <c r="D146" s="22"/>
      <c r="E146" s="22"/>
      <c r="F146" s="22"/>
      <c r="G146"/>
      <c r="H146"/>
      <c r="I146"/>
      <c r="J146"/>
      <c r="K146"/>
      <c r="L146"/>
      <c r="M146"/>
      <c r="N146"/>
      <c r="O146"/>
      <c r="P146"/>
      <c r="Q146"/>
    </row>
    <row r="147" spans="1:17" ht="72" customHeight="1" x14ac:dyDescent="0.25">
      <c r="A147" s="22"/>
      <c r="B147" s="22"/>
      <c r="C147" s="22"/>
      <c r="D147" s="22"/>
      <c r="E147" s="22"/>
      <c r="F147" s="22"/>
      <c r="G147"/>
      <c r="H147"/>
      <c r="I147"/>
      <c r="J147"/>
      <c r="K147"/>
      <c r="L147"/>
      <c r="M147"/>
      <c r="N147"/>
      <c r="O147"/>
      <c r="P147"/>
      <c r="Q147"/>
    </row>
    <row r="148" spans="1:17" ht="72" customHeight="1" x14ac:dyDescent="0.25">
      <c r="A148" s="22"/>
      <c r="B148" s="22"/>
      <c r="C148" s="22"/>
      <c r="D148" s="22"/>
      <c r="E148" s="22"/>
      <c r="F148" s="22"/>
      <c r="G148"/>
      <c r="H148"/>
      <c r="I148"/>
      <c r="J148"/>
      <c r="K148"/>
      <c r="L148"/>
      <c r="M148"/>
      <c r="N148"/>
      <c r="O148"/>
      <c r="P148"/>
      <c r="Q148"/>
    </row>
    <row r="149" spans="1:17" ht="72" customHeight="1" x14ac:dyDescent="0.25">
      <c r="A149" s="22"/>
      <c r="B149" s="22"/>
      <c r="C149" s="22"/>
      <c r="D149" s="22"/>
      <c r="E149" s="22"/>
      <c r="F149" s="22"/>
      <c r="G149"/>
      <c r="H149"/>
      <c r="I149"/>
      <c r="J149"/>
      <c r="K149"/>
      <c r="L149"/>
      <c r="M149"/>
      <c r="N149"/>
      <c r="O149"/>
      <c r="P149"/>
      <c r="Q149"/>
    </row>
    <row r="150" spans="1:17" ht="72" customHeight="1" x14ac:dyDescent="0.25">
      <c r="A150" s="22"/>
      <c r="B150" s="22"/>
      <c r="C150" s="22"/>
      <c r="D150" s="22"/>
      <c r="E150" s="22"/>
      <c r="F150" s="22"/>
      <c r="G150"/>
      <c r="H150"/>
      <c r="I150"/>
      <c r="J150"/>
      <c r="K150"/>
      <c r="L150"/>
      <c r="M150"/>
      <c r="N150"/>
      <c r="O150"/>
      <c r="P150"/>
      <c r="Q150"/>
    </row>
    <row r="151" spans="1:17" ht="72" customHeight="1" x14ac:dyDescent="0.25">
      <c r="A151" s="22"/>
      <c r="B151" s="22"/>
      <c r="C151" s="22"/>
      <c r="D151" s="22"/>
      <c r="E151" s="22"/>
      <c r="F151" s="22"/>
      <c r="G151"/>
      <c r="H151"/>
      <c r="I151"/>
      <c r="J151"/>
      <c r="K151"/>
      <c r="L151"/>
      <c r="M151"/>
      <c r="N151"/>
      <c r="O151"/>
      <c r="P151"/>
      <c r="Q151"/>
    </row>
    <row r="152" spans="1:17" ht="72" customHeight="1" x14ac:dyDescent="0.25">
      <c r="A152" s="22"/>
      <c r="B152" s="22"/>
      <c r="C152" s="22"/>
      <c r="D152" s="22"/>
      <c r="E152" s="22"/>
      <c r="F152" s="22"/>
      <c r="G152"/>
      <c r="H152"/>
      <c r="I152"/>
      <c r="J152"/>
      <c r="K152"/>
      <c r="L152"/>
      <c r="M152"/>
      <c r="N152"/>
      <c r="O152"/>
      <c r="P152"/>
      <c r="Q152"/>
    </row>
    <row r="153" spans="1:17" ht="72" customHeight="1" x14ac:dyDescent="0.25">
      <c r="A153" s="22"/>
      <c r="B153" s="22"/>
      <c r="C153" s="22"/>
      <c r="D153" s="22"/>
      <c r="E153" s="22"/>
      <c r="F153" s="22"/>
      <c r="G153"/>
      <c r="H153"/>
      <c r="I153"/>
      <c r="J153"/>
      <c r="K153"/>
      <c r="L153"/>
      <c r="M153"/>
      <c r="N153"/>
      <c r="O153"/>
      <c r="P153"/>
      <c r="Q153"/>
    </row>
    <row r="154" spans="1:17" ht="72" customHeight="1" x14ac:dyDescent="0.25">
      <c r="A154" s="22"/>
      <c r="B154" s="22"/>
      <c r="C154" s="22"/>
      <c r="D154" s="22"/>
      <c r="E154" s="22"/>
      <c r="F154" s="22"/>
      <c r="G154"/>
      <c r="H154"/>
      <c r="I154"/>
      <c r="J154"/>
      <c r="K154"/>
      <c r="L154"/>
      <c r="M154"/>
      <c r="N154"/>
      <c r="O154"/>
      <c r="P154"/>
      <c r="Q154"/>
    </row>
    <row r="155" spans="1:17" ht="72" customHeight="1" x14ac:dyDescent="0.25">
      <c r="A155" s="22"/>
      <c r="B155" s="22"/>
      <c r="C155" s="22"/>
      <c r="D155" s="22"/>
      <c r="E155" s="22"/>
      <c r="F155" s="22"/>
      <c r="G155"/>
      <c r="H155"/>
      <c r="I155"/>
      <c r="J155"/>
      <c r="K155"/>
      <c r="L155"/>
      <c r="M155"/>
      <c r="N155"/>
      <c r="O155"/>
      <c r="P155"/>
      <c r="Q155"/>
    </row>
    <row r="156" spans="1:17" ht="72" customHeight="1" x14ac:dyDescent="0.25">
      <c r="A156" s="22"/>
      <c r="B156" s="22"/>
      <c r="C156" s="22"/>
      <c r="D156" s="22"/>
      <c r="E156" s="22"/>
      <c r="F156" s="22"/>
      <c r="G156"/>
      <c r="H156"/>
      <c r="I156"/>
      <c r="J156"/>
      <c r="K156"/>
      <c r="L156"/>
      <c r="M156"/>
      <c r="N156"/>
      <c r="O156"/>
      <c r="P156"/>
      <c r="Q156"/>
    </row>
    <row r="157" spans="1:17" ht="72" customHeight="1" x14ac:dyDescent="0.25">
      <c r="A157" s="22"/>
      <c r="B157" s="22"/>
      <c r="C157" s="22"/>
      <c r="D157" s="22"/>
      <c r="E157" s="22"/>
      <c r="F157" s="22"/>
      <c r="G157"/>
      <c r="H157"/>
      <c r="I157"/>
      <c r="J157"/>
      <c r="K157"/>
      <c r="L157"/>
      <c r="M157"/>
      <c r="N157"/>
      <c r="O157"/>
      <c r="P157"/>
      <c r="Q157"/>
    </row>
    <row r="158" spans="1:17" ht="72" customHeight="1" x14ac:dyDescent="0.25">
      <c r="A158" s="22"/>
      <c r="B158" s="22"/>
      <c r="C158" s="22"/>
      <c r="D158" s="22"/>
      <c r="E158" s="22"/>
      <c r="F158" s="22"/>
      <c r="G158"/>
      <c r="H158"/>
      <c r="I158"/>
      <c r="J158"/>
      <c r="K158"/>
      <c r="L158"/>
      <c r="M158"/>
      <c r="N158"/>
      <c r="O158"/>
      <c r="P158"/>
      <c r="Q158"/>
    </row>
    <row r="159" spans="1:17" ht="72" customHeight="1" x14ac:dyDescent="0.25">
      <c r="A159" s="22"/>
      <c r="B159" s="22"/>
      <c r="C159" s="22"/>
      <c r="D159" s="22"/>
      <c r="E159" s="22"/>
      <c r="F159" s="22"/>
      <c r="G159"/>
      <c r="H159"/>
      <c r="I159"/>
      <c r="J159"/>
      <c r="K159"/>
      <c r="L159"/>
      <c r="M159"/>
      <c r="N159"/>
      <c r="O159"/>
      <c r="P159"/>
      <c r="Q159"/>
    </row>
    <row r="160" spans="1:17" ht="72" customHeight="1" x14ac:dyDescent="0.25">
      <c r="A160" s="22"/>
      <c r="B160" s="22"/>
      <c r="C160" s="22"/>
      <c r="D160" s="22"/>
      <c r="E160" s="22"/>
      <c r="F160" s="22"/>
      <c r="G160"/>
      <c r="H160"/>
      <c r="I160"/>
      <c r="J160"/>
      <c r="K160"/>
      <c r="L160"/>
      <c r="M160"/>
      <c r="N160"/>
      <c r="O160"/>
      <c r="P160"/>
      <c r="Q160"/>
    </row>
    <row r="161" spans="1:17" ht="72" customHeight="1" x14ac:dyDescent="0.25">
      <c r="A161" s="22"/>
      <c r="B161" s="22"/>
      <c r="C161" s="22"/>
      <c r="D161" s="22"/>
      <c r="E161" s="22"/>
      <c r="F161" s="22"/>
      <c r="G161"/>
      <c r="H161"/>
      <c r="I161"/>
      <c r="J161"/>
      <c r="K161"/>
      <c r="L161"/>
      <c r="M161"/>
      <c r="N161"/>
      <c r="O161"/>
      <c r="P161"/>
      <c r="Q161"/>
    </row>
    <row r="162" spans="1:17" ht="72" customHeight="1" x14ac:dyDescent="0.25">
      <c r="A162" s="22"/>
      <c r="B162" s="22"/>
      <c r="C162" s="22"/>
      <c r="D162" s="22"/>
      <c r="E162" s="22"/>
      <c r="F162" s="22"/>
      <c r="G162"/>
      <c r="H162"/>
      <c r="I162"/>
      <c r="J162"/>
      <c r="K162"/>
      <c r="L162"/>
      <c r="M162"/>
      <c r="N162"/>
      <c r="O162"/>
      <c r="P162"/>
      <c r="Q162"/>
    </row>
    <row r="163" spans="1:17" ht="72" customHeight="1" x14ac:dyDescent="0.25">
      <c r="A163" s="22"/>
      <c r="B163" s="22"/>
      <c r="C163" s="22"/>
      <c r="D163" s="22"/>
      <c r="E163" s="22"/>
      <c r="F163" s="22"/>
      <c r="G163"/>
      <c r="H163"/>
      <c r="I163"/>
      <c r="J163"/>
      <c r="K163"/>
      <c r="L163"/>
      <c r="M163"/>
      <c r="N163"/>
      <c r="O163"/>
      <c r="P163"/>
      <c r="Q163"/>
    </row>
    <row r="164" spans="1:17" ht="72" customHeight="1" x14ac:dyDescent="0.25">
      <c r="A164" s="22"/>
      <c r="B164" s="22"/>
      <c r="C164" s="22"/>
      <c r="D164" s="22"/>
      <c r="E164" s="22"/>
      <c r="F164" s="22"/>
      <c r="G164"/>
      <c r="H164"/>
      <c r="I164"/>
      <c r="J164"/>
      <c r="K164"/>
      <c r="L164"/>
      <c r="M164"/>
      <c r="N164"/>
      <c r="O164"/>
      <c r="P164"/>
      <c r="Q164"/>
    </row>
    <row r="165" spans="1:17" ht="72" customHeight="1" x14ac:dyDescent="0.25">
      <c r="A165" s="22"/>
      <c r="B165" s="22"/>
      <c r="C165" s="22"/>
      <c r="D165" s="22"/>
      <c r="E165" s="22"/>
      <c r="F165" s="22"/>
      <c r="G165"/>
      <c r="H165"/>
      <c r="I165"/>
      <c r="J165"/>
      <c r="K165"/>
      <c r="L165"/>
      <c r="M165"/>
      <c r="N165"/>
      <c r="O165"/>
      <c r="P165"/>
      <c r="Q165"/>
    </row>
    <row r="166" spans="1:17" ht="72" customHeight="1" x14ac:dyDescent="0.25">
      <c r="A166" s="22"/>
      <c r="B166" s="22"/>
      <c r="C166" s="22"/>
      <c r="D166" s="22"/>
      <c r="E166" s="22"/>
      <c r="F166" s="22"/>
      <c r="G166"/>
      <c r="H166"/>
      <c r="I166"/>
      <c r="J166"/>
      <c r="K166"/>
      <c r="L166"/>
      <c r="M166"/>
      <c r="N166"/>
      <c r="O166"/>
      <c r="P166"/>
      <c r="Q166"/>
    </row>
    <row r="167" spans="1:17" ht="72" customHeight="1" x14ac:dyDescent="0.25">
      <c r="A167" s="22"/>
      <c r="B167" s="22"/>
      <c r="C167" s="22"/>
      <c r="D167" s="22"/>
      <c r="E167" s="22"/>
      <c r="F167" s="22"/>
      <c r="G167"/>
      <c r="H167"/>
      <c r="I167"/>
      <c r="J167"/>
      <c r="K167"/>
      <c r="L167"/>
      <c r="M167"/>
      <c r="N167"/>
      <c r="O167"/>
      <c r="P167"/>
      <c r="Q167"/>
    </row>
    <row r="168" spans="1:17" ht="72" customHeight="1" x14ac:dyDescent="0.25">
      <c r="A168" s="22"/>
      <c r="B168" s="22"/>
      <c r="C168" s="22"/>
      <c r="D168" s="22"/>
      <c r="E168" s="22"/>
      <c r="F168" s="22"/>
      <c r="G168"/>
      <c r="H168"/>
      <c r="I168"/>
      <c r="J168"/>
      <c r="K168"/>
      <c r="L168"/>
      <c r="M168"/>
      <c r="N168"/>
      <c r="O168"/>
      <c r="P168"/>
      <c r="Q168"/>
    </row>
    <row r="169" spans="1:17" ht="72" customHeight="1" x14ac:dyDescent="0.25">
      <c r="A169" s="22"/>
      <c r="B169" s="22"/>
      <c r="C169" s="22"/>
      <c r="D169" s="22"/>
      <c r="E169" s="22"/>
      <c r="F169" s="22"/>
      <c r="G169"/>
      <c r="H169"/>
      <c r="I169"/>
      <c r="J169"/>
      <c r="K169"/>
      <c r="L169"/>
      <c r="M169"/>
      <c r="N169"/>
      <c r="O169"/>
      <c r="P169"/>
      <c r="Q169"/>
    </row>
    <row r="170" spans="1:17" ht="72" customHeight="1" x14ac:dyDescent="0.25">
      <c r="A170" s="22"/>
      <c r="B170" s="22"/>
      <c r="C170" s="22"/>
      <c r="D170" s="22"/>
      <c r="E170" s="22"/>
      <c r="F170" s="22"/>
      <c r="G170"/>
      <c r="H170"/>
      <c r="I170"/>
      <c r="J170"/>
      <c r="K170"/>
      <c r="L170"/>
      <c r="M170"/>
      <c r="N170"/>
      <c r="O170"/>
      <c r="P170"/>
      <c r="Q170"/>
    </row>
    <row r="171" spans="1:17" ht="72" customHeight="1" x14ac:dyDescent="0.25">
      <c r="A171" s="22"/>
      <c r="B171" s="22"/>
      <c r="C171" s="22"/>
      <c r="D171" s="22"/>
      <c r="E171" s="22"/>
      <c r="F171" s="22"/>
      <c r="G171"/>
      <c r="H171"/>
      <c r="I171"/>
      <c r="J171"/>
      <c r="K171"/>
      <c r="L171"/>
      <c r="M171"/>
      <c r="N171"/>
      <c r="O171"/>
      <c r="P171"/>
      <c r="Q171"/>
    </row>
    <row r="172" spans="1:17" ht="72" customHeight="1" x14ac:dyDescent="0.25">
      <c r="A172" s="22"/>
      <c r="B172" s="22"/>
      <c r="C172" s="22"/>
      <c r="D172" s="22"/>
      <c r="E172" s="22"/>
      <c r="F172" s="22"/>
      <c r="G172"/>
      <c r="H172"/>
      <c r="I172"/>
      <c r="J172"/>
      <c r="K172"/>
      <c r="L172"/>
      <c r="M172"/>
      <c r="N172"/>
      <c r="O172"/>
      <c r="P172"/>
      <c r="Q172"/>
    </row>
    <row r="173" spans="1:17" ht="72" customHeight="1" x14ac:dyDescent="0.25">
      <c r="A173" s="22"/>
      <c r="B173" s="22"/>
      <c r="C173" s="22"/>
      <c r="D173" s="22"/>
      <c r="E173" s="22"/>
      <c r="F173" s="22"/>
      <c r="G173"/>
      <c r="H173"/>
      <c r="I173"/>
      <c r="J173"/>
      <c r="K173"/>
      <c r="L173"/>
      <c r="M173"/>
      <c r="N173"/>
      <c r="O173"/>
      <c r="P173"/>
      <c r="Q173"/>
    </row>
    <row r="174" spans="1:17" ht="72" customHeight="1" x14ac:dyDescent="0.25">
      <c r="A174" s="22"/>
      <c r="B174" s="22"/>
      <c r="C174" s="22"/>
      <c r="D174" s="22"/>
      <c r="E174" s="22"/>
      <c r="F174" s="22"/>
      <c r="G174"/>
      <c r="H174"/>
      <c r="I174"/>
      <c r="J174"/>
      <c r="K174"/>
      <c r="L174"/>
      <c r="M174"/>
      <c r="N174"/>
      <c r="O174"/>
      <c r="P174"/>
      <c r="Q174"/>
    </row>
    <row r="175" spans="1:17" ht="72" customHeight="1" x14ac:dyDescent="0.25">
      <c r="A175" s="22"/>
      <c r="B175" s="22"/>
      <c r="C175" s="22"/>
      <c r="D175" s="22"/>
      <c r="E175" s="22"/>
      <c r="F175" s="22"/>
      <c r="G175"/>
      <c r="H175"/>
      <c r="I175"/>
      <c r="J175"/>
      <c r="K175"/>
      <c r="L175"/>
      <c r="M175"/>
      <c r="N175"/>
      <c r="O175"/>
      <c r="P175"/>
      <c r="Q175"/>
    </row>
    <row r="176" spans="1:17" ht="72" customHeight="1" x14ac:dyDescent="0.25">
      <c r="A176" s="22"/>
      <c r="B176" s="22"/>
      <c r="C176" s="22"/>
      <c r="D176" s="22"/>
      <c r="E176" s="22"/>
      <c r="F176" s="22"/>
      <c r="G176"/>
      <c r="H176"/>
      <c r="I176"/>
      <c r="J176"/>
      <c r="K176"/>
      <c r="L176"/>
      <c r="M176"/>
      <c r="N176"/>
      <c r="O176"/>
      <c r="P176"/>
      <c r="Q176"/>
    </row>
    <row r="177" spans="1:17" ht="72" customHeight="1" x14ac:dyDescent="0.25">
      <c r="A177" s="22"/>
      <c r="B177" s="22"/>
      <c r="C177" s="22"/>
      <c r="D177" s="22"/>
      <c r="E177" s="22"/>
      <c r="F177" s="22"/>
      <c r="G177"/>
      <c r="H177"/>
      <c r="I177"/>
      <c r="J177"/>
      <c r="K177"/>
      <c r="L177"/>
      <c r="M177"/>
      <c r="N177"/>
      <c r="O177"/>
      <c r="P177"/>
      <c r="Q177"/>
    </row>
    <row r="178" spans="1:17" ht="72" customHeight="1" x14ac:dyDescent="0.25">
      <c r="A178" s="22"/>
      <c r="B178" s="22"/>
      <c r="C178" s="22"/>
      <c r="D178" s="22"/>
      <c r="E178" s="22"/>
      <c r="F178" s="22"/>
      <c r="G178"/>
      <c r="H178"/>
      <c r="I178"/>
      <c r="J178"/>
      <c r="K178"/>
      <c r="L178"/>
      <c r="M178"/>
      <c r="N178"/>
      <c r="O178"/>
      <c r="P178"/>
      <c r="Q178"/>
    </row>
    <row r="179" spans="1:17" ht="72" customHeight="1" x14ac:dyDescent="0.25">
      <c r="A179" s="22"/>
      <c r="B179" s="22"/>
      <c r="C179" s="22"/>
      <c r="D179" s="22"/>
      <c r="E179" s="22"/>
      <c r="F179" s="22"/>
      <c r="G179"/>
      <c r="H179"/>
      <c r="I179"/>
      <c r="J179"/>
      <c r="K179"/>
      <c r="L179"/>
      <c r="M179"/>
      <c r="N179"/>
      <c r="O179"/>
      <c r="P179"/>
      <c r="Q179"/>
    </row>
    <row r="180" spans="1:17" ht="72" customHeight="1" x14ac:dyDescent="0.25">
      <c r="A180" s="22"/>
      <c r="B180" s="22"/>
      <c r="C180" s="22"/>
      <c r="D180" s="22"/>
      <c r="E180" s="22"/>
      <c r="F180" s="22"/>
      <c r="G180"/>
      <c r="H180"/>
      <c r="I180"/>
      <c r="J180"/>
      <c r="K180"/>
      <c r="L180"/>
      <c r="M180"/>
      <c r="N180"/>
      <c r="O180"/>
      <c r="P180"/>
      <c r="Q180"/>
    </row>
    <row r="181" spans="1:17" ht="72" customHeight="1" x14ac:dyDescent="0.25">
      <c r="A181" s="22"/>
      <c r="B181" s="22"/>
      <c r="C181" s="22"/>
      <c r="D181" s="22"/>
      <c r="E181" s="22"/>
      <c r="F181" s="22"/>
      <c r="G181"/>
      <c r="H181"/>
      <c r="I181"/>
      <c r="J181"/>
      <c r="K181"/>
      <c r="L181"/>
      <c r="M181"/>
      <c r="N181"/>
      <c r="O181"/>
      <c r="P181"/>
      <c r="Q181"/>
    </row>
    <row r="182" spans="1:17" ht="72" customHeight="1" x14ac:dyDescent="0.25">
      <c r="A182" s="22"/>
      <c r="B182" s="22"/>
      <c r="C182" s="22"/>
      <c r="D182" s="22"/>
      <c r="E182" s="22"/>
      <c r="F182" s="22"/>
      <c r="G182"/>
      <c r="H182"/>
      <c r="I182"/>
      <c r="J182"/>
      <c r="K182"/>
      <c r="L182"/>
      <c r="M182"/>
      <c r="N182"/>
      <c r="O182"/>
      <c r="P182"/>
      <c r="Q182"/>
    </row>
    <row r="183" spans="1:17" ht="72" customHeight="1" x14ac:dyDescent="0.25">
      <c r="A183" s="22"/>
      <c r="B183" s="22"/>
      <c r="C183" s="22"/>
      <c r="D183" s="22"/>
      <c r="E183" s="22"/>
      <c r="F183" s="22"/>
      <c r="G183"/>
      <c r="H183"/>
      <c r="I183"/>
      <c r="J183"/>
      <c r="K183"/>
      <c r="L183"/>
      <c r="M183"/>
      <c r="N183"/>
      <c r="O183"/>
      <c r="P183"/>
      <c r="Q183"/>
    </row>
    <row r="184" spans="1:17" ht="72" customHeight="1" x14ac:dyDescent="0.25">
      <c r="A184" s="22"/>
      <c r="B184" s="22"/>
      <c r="C184" s="22"/>
      <c r="D184" s="22"/>
      <c r="E184" s="22"/>
      <c r="F184" s="22"/>
      <c r="G184"/>
      <c r="H184"/>
      <c r="I184"/>
      <c r="J184"/>
      <c r="K184"/>
      <c r="L184"/>
      <c r="M184"/>
      <c r="N184"/>
      <c r="O184"/>
      <c r="P184"/>
      <c r="Q184"/>
    </row>
    <row r="185" spans="1:17" ht="72" customHeight="1" x14ac:dyDescent="0.25">
      <c r="A185" s="22"/>
      <c r="B185" s="22"/>
      <c r="C185" s="22"/>
      <c r="D185" s="22"/>
      <c r="E185" s="22"/>
      <c r="F185" s="22"/>
      <c r="G185"/>
      <c r="H185"/>
      <c r="I185"/>
      <c r="J185"/>
      <c r="K185"/>
      <c r="L185"/>
      <c r="M185"/>
      <c r="N185"/>
      <c r="O185"/>
      <c r="P185"/>
      <c r="Q185"/>
    </row>
    <row r="186" spans="1:17" ht="72" customHeight="1" x14ac:dyDescent="0.25">
      <c r="A186" s="22"/>
      <c r="B186" s="22"/>
      <c r="C186" s="22"/>
      <c r="D186" s="22"/>
      <c r="E186" s="22"/>
      <c r="F186" s="22"/>
      <c r="G186"/>
      <c r="H186"/>
      <c r="I186"/>
      <c r="J186"/>
      <c r="K186"/>
      <c r="L186"/>
      <c r="M186"/>
      <c r="N186"/>
      <c r="O186"/>
      <c r="P186"/>
      <c r="Q186"/>
    </row>
    <row r="187" spans="1:17" ht="72" customHeight="1" x14ac:dyDescent="0.25">
      <c r="A187" s="22"/>
      <c r="B187" s="22"/>
      <c r="C187" s="22"/>
      <c r="D187" s="22"/>
      <c r="E187" s="22"/>
      <c r="F187" s="22"/>
      <c r="G187"/>
      <c r="H187"/>
      <c r="I187"/>
      <c r="J187"/>
      <c r="K187"/>
      <c r="L187"/>
      <c r="M187"/>
      <c r="N187"/>
      <c r="O187"/>
      <c r="P187"/>
      <c r="Q187"/>
    </row>
    <row r="188" spans="1:17" ht="72" customHeight="1" x14ac:dyDescent="0.25">
      <c r="A188" s="22"/>
      <c r="B188" s="22"/>
      <c r="C188" s="22"/>
      <c r="D188" s="22"/>
      <c r="E188" s="22"/>
      <c r="F188" s="22"/>
      <c r="G188"/>
      <c r="H188"/>
      <c r="I188"/>
      <c r="J188"/>
      <c r="K188"/>
      <c r="L188"/>
      <c r="M188"/>
      <c r="N188"/>
      <c r="O188"/>
      <c r="P188"/>
      <c r="Q188"/>
    </row>
    <row r="189" spans="1:17" ht="72" customHeight="1" x14ac:dyDescent="0.25">
      <c r="A189" s="22"/>
      <c r="B189" s="22"/>
      <c r="C189" s="22"/>
      <c r="D189" s="22"/>
      <c r="E189" s="22"/>
      <c r="F189" s="22"/>
      <c r="G189"/>
      <c r="H189"/>
      <c r="I189"/>
      <c r="J189"/>
      <c r="K189"/>
      <c r="L189"/>
      <c r="M189"/>
      <c r="N189"/>
      <c r="O189"/>
      <c r="P189"/>
      <c r="Q189"/>
    </row>
    <row r="190" spans="1:17" ht="72" customHeight="1" x14ac:dyDescent="0.25">
      <c r="A190" s="22"/>
      <c r="B190" s="22"/>
      <c r="C190" s="22"/>
      <c r="D190" s="22"/>
      <c r="E190" s="22"/>
      <c r="F190" s="22"/>
      <c r="G190"/>
      <c r="H190"/>
      <c r="I190"/>
      <c r="J190"/>
      <c r="K190"/>
      <c r="L190"/>
      <c r="M190"/>
      <c r="N190"/>
      <c r="O190"/>
      <c r="P190"/>
      <c r="Q190"/>
    </row>
    <row r="191" spans="1:17" ht="72" customHeight="1" x14ac:dyDescent="0.25">
      <c r="A191" s="22"/>
      <c r="B191" s="22"/>
      <c r="C191" s="22"/>
      <c r="D191" s="22"/>
      <c r="E191" s="22"/>
      <c r="F191" s="22"/>
      <c r="G191"/>
      <c r="H191"/>
      <c r="I191"/>
      <c r="J191"/>
      <c r="K191"/>
      <c r="L191"/>
      <c r="M191"/>
      <c r="N191"/>
      <c r="O191"/>
      <c r="P191"/>
      <c r="Q191"/>
    </row>
    <row r="192" spans="1:17" ht="72" customHeight="1" x14ac:dyDescent="0.25">
      <c r="A192" s="22"/>
      <c r="B192" s="22"/>
      <c r="C192" s="22"/>
      <c r="D192" s="22"/>
      <c r="E192" s="22"/>
      <c r="F192" s="22"/>
      <c r="G192"/>
      <c r="H192"/>
      <c r="I192"/>
      <c r="J192"/>
      <c r="K192"/>
      <c r="L192"/>
      <c r="M192"/>
      <c r="N192"/>
      <c r="O192"/>
      <c r="P192"/>
      <c r="Q192"/>
    </row>
    <row r="193" spans="1:17" ht="72" customHeight="1" x14ac:dyDescent="0.25">
      <c r="A193" s="22"/>
      <c r="B193" s="22"/>
      <c r="C193" s="22"/>
      <c r="D193" s="22"/>
      <c r="E193" s="22"/>
      <c r="F193" s="22"/>
      <c r="G193"/>
      <c r="H193"/>
      <c r="I193"/>
      <c r="J193"/>
      <c r="K193"/>
      <c r="L193"/>
      <c r="M193"/>
      <c r="N193"/>
      <c r="O193"/>
      <c r="P193"/>
      <c r="Q193"/>
    </row>
    <row r="194" spans="1:17" ht="72" customHeight="1" x14ac:dyDescent="0.25">
      <c r="A194" s="22"/>
      <c r="B194" s="22"/>
      <c r="C194" s="22"/>
      <c r="D194" s="22"/>
      <c r="E194" s="22"/>
      <c r="F194" s="22"/>
      <c r="G194"/>
      <c r="H194"/>
      <c r="I194"/>
      <c r="J194"/>
      <c r="K194"/>
      <c r="L194"/>
      <c r="M194"/>
      <c r="N194"/>
      <c r="O194"/>
      <c r="P194"/>
      <c r="Q194"/>
    </row>
    <row r="195" spans="1:17" ht="72" customHeight="1" x14ac:dyDescent="0.25">
      <c r="A195" s="22"/>
      <c r="B195" s="22"/>
      <c r="C195" s="22"/>
      <c r="D195" s="22"/>
      <c r="E195" s="22"/>
      <c r="F195" s="22"/>
      <c r="G195"/>
      <c r="H195"/>
      <c r="I195"/>
      <c r="J195"/>
      <c r="K195"/>
      <c r="L195"/>
      <c r="M195"/>
      <c r="N195"/>
      <c r="O195"/>
      <c r="P195"/>
      <c r="Q195"/>
    </row>
    <row r="196" spans="1:17" ht="72" customHeight="1" x14ac:dyDescent="0.25">
      <c r="A196" s="22"/>
      <c r="B196" s="22"/>
      <c r="C196" s="22"/>
      <c r="D196" s="22"/>
      <c r="E196" s="22"/>
      <c r="F196" s="22"/>
      <c r="G196"/>
      <c r="H196"/>
      <c r="I196"/>
      <c r="J196"/>
      <c r="K196"/>
      <c r="L196"/>
      <c r="M196"/>
      <c r="N196"/>
      <c r="O196"/>
      <c r="P196"/>
      <c r="Q196"/>
    </row>
    <row r="197" spans="1:17" ht="72" customHeight="1" x14ac:dyDescent="0.25">
      <c r="A197" s="22"/>
      <c r="B197" s="22"/>
      <c r="C197" s="22"/>
      <c r="D197" s="22"/>
      <c r="E197" s="22"/>
      <c r="F197" s="22"/>
      <c r="G197"/>
      <c r="H197"/>
      <c r="I197"/>
      <c r="J197"/>
      <c r="K197"/>
      <c r="L197"/>
      <c r="M197"/>
      <c r="N197"/>
      <c r="O197"/>
      <c r="P197"/>
      <c r="Q197"/>
    </row>
    <row r="198" spans="1:17" ht="72" customHeight="1" x14ac:dyDescent="0.25">
      <c r="A198" s="22"/>
      <c r="B198" s="22"/>
      <c r="C198" s="22"/>
      <c r="D198" s="22"/>
      <c r="E198" s="22"/>
      <c r="F198" s="22"/>
      <c r="G198"/>
      <c r="H198"/>
      <c r="I198"/>
      <c r="J198"/>
      <c r="K198"/>
      <c r="L198"/>
      <c r="M198"/>
      <c r="N198"/>
      <c r="O198"/>
      <c r="P198"/>
      <c r="Q198"/>
    </row>
    <row r="199" spans="1:17" ht="72" customHeight="1" x14ac:dyDescent="0.25">
      <c r="A199" s="22"/>
      <c r="B199" s="22"/>
      <c r="C199" s="22"/>
      <c r="D199" s="22"/>
      <c r="E199" s="22"/>
      <c r="F199" s="22"/>
      <c r="G199"/>
      <c r="H199"/>
      <c r="I199"/>
      <c r="J199"/>
      <c r="K199"/>
      <c r="L199"/>
      <c r="M199"/>
      <c r="N199"/>
      <c r="O199"/>
      <c r="P199"/>
      <c r="Q199"/>
    </row>
    <row r="200" spans="1:17" ht="72" customHeight="1" x14ac:dyDescent="0.25">
      <c r="A200" s="22"/>
      <c r="B200" s="22"/>
      <c r="C200" s="22"/>
      <c r="D200" s="22"/>
      <c r="E200" s="22"/>
      <c r="F200" s="22"/>
      <c r="G200"/>
      <c r="H200"/>
      <c r="I200"/>
      <c r="J200"/>
      <c r="K200"/>
      <c r="L200"/>
      <c r="M200"/>
      <c r="N200"/>
      <c r="O200"/>
      <c r="P200"/>
      <c r="Q200"/>
    </row>
    <row r="201" spans="1:17" ht="72" customHeight="1" x14ac:dyDescent="0.25">
      <c r="A201" s="22"/>
      <c r="B201" s="22"/>
      <c r="C201" s="22"/>
      <c r="D201" s="22"/>
      <c r="E201" s="22"/>
      <c r="F201" s="22"/>
      <c r="G201"/>
      <c r="H201"/>
      <c r="I201"/>
      <c r="J201"/>
      <c r="K201"/>
      <c r="L201"/>
      <c r="M201"/>
      <c r="N201"/>
      <c r="O201"/>
      <c r="P201"/>
      <c r="Q201"/>
    </row>
    <row r="202" spans="1:17" ht="72" customHeight="1" x14ac:dyDescent="0.25">
      <c r="A202" s="22"/>
      <c r="B202" s="22"/>
      <c r="C202" s="22"/>
      <c r="D202" s="22"/>
      <c r="E202" s="22"/>
      <c r="F202" s="22"/>
      <c r="G202"/>
      <c r="H202"/>
      <c r="I202"/>
      <c r="J202"/>
      <c r="K202"/>
      <c r="L202"/>
      <c r="M202"/>
      <c r="N202"/>
      <c r="O202"/>
      <c r="P202"/>
      <c r="Q202"/>
    </row>
    <row r="203" spans="1:17" ht="72" customHeight="1" x14ac:dyDescent="0.25">
      <c r="A203" s="22"/>
      <c r="B203" s="22"/>
      <c r="C203" s="22"/>
      <c r="D203" s="22"/>
      <c r="E203" s="22"/>
      <c r="F203" s="22"/>
      <c r="G203"/>
      <c r="H203"/>
      <c r="I203"/>
      <c r="J203"/>
      <c r="K203"/>
      <c r="L203"/>
      <c r="M203"/>
      <c r="N203"/>
      <c r="O203"/>
      <c r="P203"/>
      <c r="Q203"/>
    </row>
    <row r="204" spans="1:17" ht="72" customHeight="1" x14ac:dyDescent="0.25">
      <c r="A204" s="22"/>
      <c r="B204" s="22"/>
      <c r="C204" s="22"/>
      <c r="D204" s="22"/>
      <c r="E204" s="22"/>
      <c r="F204" s="22"/>
      <c r="G204"/>
      <c r="H204"/>
      <c r="I204"/>
      <c r="J204"/>
      <c r="K204"/>
      <c r="L204"/>
      <c r="M204"/>
      <c r="N204"/>
      <c r="O204"/>
      <c r="P204"/>
      <c r="Q204"/>
    </row>
    <row r="205" spans="1:17" ht="72" customHeight="1" x14ac:dyDescent="0.25">
      <c r="A205" s="22"/>
      <c r="B205" s="22"/>
      <c r="C205" s="22"/>
      <c r="D205" s="22"/>
      <c r="E205" s="22"/>
      <c r="F205" s="22"/>
      <c r="G205"/>
      <c r="H205"/>
      <c r="I205"/>
      <c r="J205"/>
      <c r="K205"/>
      <c r="L205"/>
      <c r="M205"/>
      <c r="N205"/>
      <c r="O205"/>
      <c r="P205"/>
      <c r="Q205"/>
    </row>
    <row r="206" spans="1:17" ht="72" customHeight="1" x14ac:dyDescent="0.25">
      <c r="A206" s="22"/>
      <c r="B206" s="22"/>
      <c r="C206" s="22"/>
      <c r="D206" s="22"/>
      <c r="E206" s="22"/>
      <c r="F206" s="22"/>
      <c r="G206"/>
      <c r="H206"/>
      <c r="I206"/>
      <c r="J206"/>
      <c r="K206"/>
      <c r="L206"/>
      <c r="M206"/>
      <c r="N206"/>
      <c r="O206"/>
      <c r="P206"/>
      <c r="Q206"/>
    </row>
    <row r="207" spans="1:17" ht="72" customHeight="1" x14ac:dyDescent="0.25">
      <c r="A207" s="22"/>
      <c r="B207" s="22"/>
      <c r="C207" s="22"/>
      <c r="D207" s="22"/>
      <c r="E207" s="22"/>
      <c r="F207" s="22"/>
      <c r="G207"/>
      <c r="H207"/>
      <c r="I207"/>
      <c r="J207"/>
      <c r="K207"/>
      <c r="L207"/>
      <c r="M207"/>
      <c r="N207"/>
      <c r="O207"/>
      <c r="P207"/>
      <c r="Q207"/>
    </row>
    <row r="208" spans="1:17" ht="72" customHeight="1" x14ac:dyDescent="0.25">
      <c r="A208" s="22"/>
      <c r="B208" s="22"/>
      <c r="C208" s="22"/>
      <c r="D208" s="22"/>
      <c r="E208" s="22"/>
      <c r="F208" s="22"/>
      <c r="G208"/>
      <c r="H208"/>
      <c r="I208"/>
      <c r="J208"/>
      <c r="K208"/>
      <c r="L208"/>
      <c r="M208"/>
      <c r="N208"/>
      <c r="O208"/>
      <c r="P208"/>
      <c r="Q208"/>
    </row>
    <row r="209" spans="1:17" ht="72" customHeight="1" x14ac:dyDescent="0.25">
      <c r="A209" s="22"/>
      <c r="B209" s="22"/>
      <c r="C209" s="22"/>
      <c r="D209" s="22"/>
      <c r="E209" s="22"/>
      <c r="F209" s="22"/>
      <c r="G209"/>
      <c r="H209"/>
      <c r="I209"/>
      <c r="J209"/>
      <c r="K209"/>
      <c r="L209"/>
      <c r="M209"/>
      <c r="N209"/>
      <c r="O209"/>
      <c r="P209"/>
      <c r="Q209"/>
    </row>
    <row r="210" spans="1:17" ht="72" customHeight="1" x14ac:dyDescent="0.25">
      <c r="A210" s="22"/>
      <c r="B210" s="22"/>
      <c r="C210" s="22"/>
      <c r="D210" s="22"/>
      <c r="E210" s="22"/>
      <c r="F210" s="22"/>
      <c r="G210"/>
      <c r="H210"/>
      <c r="I210"/>
      <c r="J210"/>
      <c r="K210"/>
      <c r="L210"/>
      <c r="M210"/>
      <c r="N210"/>
      <c r="O210"/>
      <c r="P210"/>
      <c r="Q210"/>
    </row>
    <row r="211" spans="1:17" ht="72" customHeight="1" x14ac:dyDescent="0.25">
      <c r="A211" s="22"/>
      <c r="B211" s="22"/>
      <c r="C211" s="22"/>
      <c r="D211" s="22"/>
      <c r="E211" s="22"/>
      <c r="F211" s="22"/>
      <c r="G211"/>
      <c r="H211"/>
      <c r="I211"/>
      <c r="J211"/>
      <c r="K211"/>
      <c r="L211"/>
      <c r="M211"/>
      <c r="N211"/>
      <c r="O211"/>
      <c r="P211"/>
      <c r="Q211"/>
    </row>
    <row r="212" spans="1:17" ht="72" customHeight="1" x14ac:dyDescent="0.25">
      <c r="A212" s="22"/>
      <c r="B212" s="22"/>
      <c r="C212" s="22"/>
      <c r="D212" s="22"/>
      <c r="E212" s="22"/>
      <c r="F212" s="22"/>
      <c r="G212"/>
      <c r="H212"/>
      <c r="I212"/>
      <c r="J212"/>
      <c r="K212"/>
      <c r="L212"/>
      <c r="M212"/>
      <c r="N212"/>
      <c r="O212"/>
      <c r="P212"/>
      <c r="Q212"/>
    </row>
    <row r="213" spans="1:17" ht="72" customHeight="1" x14ac:dyDescent="0.25">
      <c r="A213" s="22"/>
      <c r="B213" s="22"/>
      <c r="C213" s="22"/>
      <c r="D213" s="22"/>
      <c r="E213" s="22"/>
      <c r="F213" s="22"/>
      <c r="G213"/>
      <c r="H213"/>
      <c r="I213"/>
      <c r="J213"/>
      <c r="K213"/>
      <c r="L213"/>
      <c r="M213"/>
      <c r="N213"/>
      <c r="O213"/>
      <c r="P213"/>
      <c r="Q213"/>
    </row>
    <row r="214" spans="1:17" ht="72" customHeight="1" x14ac:dyDescent="0.25">
      <c r="A214" s="22"/>
      <c r="B214" s="22"/>
      <c r="C214" s="22"/>
      <c r="D214" s="22"/>
      <c r="E214" s="22"/>
      <c r="F214" s="22"/>
      <c r="G214"/>
      <c r="H214"/>
      <c r="I214"/>
      <c r="J214"/>
      <c r="K214"/>
      <c r="L214"/>
      <c r="M214"/>
      <c r="N214"/>
      <c r="O214"/>
      <c r="P214"/>
      <c r="Q214"/>
    </row>
    <row r="215" spans="1:17" ht="72" customHeight="1" x14ac:dyDescent="0.25">
      <c r="A215" s="22"/>
      <c r="B215" s="22"/>
      <c r="C215" s="22"/>
      <c r="D215" s="22"/>
      <c r="E215" s="22"/>
      <c r="F215" s="22"/>
      <c r="G215"/>
      <c r="H215"/>
      <c r="I215"/>
      <c r="J215"/>
      <c r="K215"/>
      <c r="L215"/>
      <c r="M215"/>
      <c r="N215"/>
      <c r="O215"/>
      <c r="P215"/>
      <c r="Q215"/>
    </row>
    <row r="216" spans="1:17" ht="72" customHeight="1" x14ac:dyDescent="0.25">
      <c r="A216" s="22"/>
      <c r="B216" s="22"/>
      <c r="C216" s="22"/>
      <c r="D216" s="22"/>
      <c r="E216" s="22"/>
      <c r="F216" s="22"/>
      <c r="G216"/>
      <c r="H216"/>
      <c r="I216"/>
      <c r="J216"/>
      <c r="K216"/>
      <c r="L216"/>
      <c r="M216"/>
      <c r="N216"/>
      <c r="O216"/>
      <c r="P216"/>
      <c r="Q216"/>
    </row>
    <row r="217" spans="1:17" ht="72" customHeight="1" x14ac:dyDescent="0.25">
      <c r="A217" s="22"/>
      <c r="B217" s="22"/>
      <c r="C217" s="22"/>
      <c r="D217" s="22"/>
      <c r="E217" s="22"/>
      <c r="F217" s="22"/>
      <c r="G217"/>
      <c r="H217"/>
      <c r="I217"/>
      <c r="J217"/>
      <c r="K217"/>
      <c r="L217"/>
      <c r="M217"/>
      <c r="N217"/>
      <c r="O217"/>
      <c r="P217"/>
      <c r="Q217"/>
    </row>
    <row r="218" spans="1:17" ht="72" customHeight="1" x14ac:dyDescent="0.25">
      <c r="A218" s="22"/>
      <c r="B218" s="22"/>
      <c r="C218" s="22"/>
      <c r="D218" s="22"/>
      <c r="E218" s="22"/>
      <c r="F218" s="22"/>
      <c r="G218"/>
      <c r="H218"/>
      <c r="I218"/>
      <c r="J218"/>
      <c r="K218"/>
      <c r="L218"/>
      <c r="M218"/>
      <c r="N218"/>
      <c r="O218"/>
      <c r="P218"/>
      <c r="Q218"/>
    </row>
    <row r="219" spans="1:17" ht="72" customHeight="1" x14ac:dyDescent="0.25">
      <c r="A219" s="22"/>
      <c r="B219" s="22"/>
      <c r="C219" s="22"/>
      <c r="D219" s="22"/>
      <c r="E219" s="22"/>
      <c r="F219" s="22"/>
      <c r="G219"/>
      <c r="H219"/>
      <c r="I219"/>
      <c r="J219"/>
      <c r="K219"/>
      <c r="L219"/>
      <c r="M219"/>
      <c r="N219"/>
      <c r="O219"/>
      <c r="P219"/>
      <c r="Q219"/>
    </row>
    <row r="220" spans="1:17" ht="72" customHeight="1" x14ac:dyDescent="0.25">
      <c r="A220" s="22"/>
      <c r="B220" s="22"/>
      <c r="C220" s="22"/>
      <c r="D220" s="22"/>
      <c r="E220" s="22"/>
      <c r="F220" s="22"/>
      <c r="G220"/>
      <c r="H220"/>
      <c r="I220"/>
      <c r="J220"/>
      <c r="K220"/>
      <c r="L220"/>
      <c r="M220"/>
      <c r="N220"/>
      <c r="O220"/>
      <c r="P220"/>
      <c r="Q220"/>
    </row>
    <row r="221" spans="1:17" ht="72" customHeight="1" x14ac:dyDescent="0.25">
      <c r="A221" s="22"/>
      <c r="B221" s="22"/>
      <c r="C221" s="22"/>
      <c r="D221" s="22"/>
      <c r="E221" s="22"/>
      <c r="F221" s="22"/>
      <c r="G221"/>
      <c r="H221"/>
      <c r="I221"/>
      <c r="J221"/>
      <c r="K221"/>
      <c r="L221"/>
      <c r="M221"/>
      <c r="N221"/>
      <c r="O221"/>
      <c r="P221"/>
      <c r="Q221"/>
    </row>
    <row r="222" spans="1:17" ht="72" customHeight="1" x14ac:dyDescent="0.25">
      <c r="A222" s="22"/>
      <c r="B222" s="22"/>
      <c r="C222" s="22"/>
      <c r="D222" s="22"/>
      <c r="E222" s="22"/>
      <c r="F222" s="22"/>
      <c r="G222"/>
      <c r="H222"/>
      <c r="I222"/>
      <c r="J222"/>
      <c r="K222"/>
      <c r="L222"/>
      <c r="M222"/>
      <c r="N222"/>
      <c r="O222"/>
      <c r="P222"/>
      <c r="Q222"/>
    </row>
    <row r="223" spans="1:17" ht="72" customHeight="1" x14ac:dyDescent="0.25">
      <c r="A223" s="22"/>
      <c r="B223" s="22"/>
      <c r="C223" s="22"/>
      <c r="D223" s="22"/>
      <c r="E223" s="22"/>
      <c r="F223" s="22"/>
      <c r="G223"/>
      <c r="H223"/>
      <c r="I223"/>
      <c r="J223"/>
      <c r="K223"/>
      <c r="L223"/>
      <c r="M223"/>
      <c r="N223"/>
      <c r="O223"/>
      <c r="P223"/>
      <c r="Q223"/>
    </row>
    <row r="224" spans="1:17" ht="72" customHeight="1" x14ac:dyDescent="0.25">
      <c r="A224" s="22"/>
      <c r="B224" s="22"/>
      <c r="C224" s="22"/>
      <c r="D224" s="22"/>
      <c r="E224" s="22"/>
      <c r="F224" s="22"/>
      <c r="G224"/>
      <c r="H224"/>
      <c r="I224"/>
      <c r="J224"/>
      <c r="K224"/>
      <c r="L224"/>
      <c r="M224"/>
      <c r="N224"/>
      <c r="O224"/>
      <c r="P224"/>
      <c r="Q224"/>
    </row>
    <row r="225" spans="1:17" ht="72" customHeight="1" x14ac:dyDescent="0.25">
      <c r="A225" s="22"/>
      <c r="B225" s="22"/>
      <c r="C225" s="22"/>
      <c r="D225" s="22"/>
      <c r="E225" s="22"/>
      <c r="F225" s="22"/>
      <c r="G225"/>
      <c r="H225"/>
      <c r="I225"/>
      <c r="J225"/>
      <c r="K225"/>
      <c r="L225"/>
      <c r="M225"/>
      <c r="N225"/>
      <c r="O225"/>
      <c r="P225"/>
      <c r="Q225"/>
    </row>
    <row r="226" spans="1:17" ht="72" customHeight="1" x14ac:dyDescent="0.25">
      <c r="A226" s="22"/>
      <c r="B226" s="22"/>
      <c r="C226" s="22"/>
      <c r="D226" s="22"/>
      <c r="E226" s="22"/>
      <c r="F226" s="22"/>
      <c r="G226"/>
      <c r="H226"/>
      <c r="I226"/>
      <c r="J226"/>
      <c r="K226"/>
      <c r="L226"/>
      <c r="M226"/>
      <c r="N226"/>
      <c r="O226"/>
      <c r="P226"/>
      <c r="Q226"/>
    </row>
    <row r="227" spans="1:17" ht="72" customHeight="1" x14ac:dyDescent="0.25">
      <c r="A227" s="22"/>
      <c r="B227" s="22"/>
      <c r="C227" s="22"/>
      <c r="D227" s="22"/>
      <c r="E227" s="22"/>
      <c r="F227" s="22"/>
      <c r="G227"/>
      <c r="H227"/>
      <c r="I227"/>
      <c r="J227"/>
      <c r="K227"/>
      <c r="L227"/>
      <c r="M227"/>
      <c r="N227"/>
      <c r="O227"/>
      <c r="P227"/>
      <c r="Q227"/>
    </row>
    <row r="228" spans="1:17" ht="72" customHeight="1" x14ac:dyDescent="0.25">
      <c r="A228" s="22"/>
      <c r="B228" s="22"/>
      <c r="C228" s="22"/>
      <c r="D228" s="22"/>
      <c r="E228" s="22"/>
      <c r="F228" s="22"/>
      <c r="G228"/>
      <c r="H228"/>
      <c r="I228"/>
      <c r="J228"/>
      <c r="K228"/>
      <c r="L228"/>
      <c r="M228"/>
      <c r="N228"/>
      <c r="O228"/>
      <c r="P228"/>
      <c r="Q228"/>
    </row>
    <row r="229" spans="1:17" ht="72" customHeight="1" x14ac:dyDescent="0.25">
      <c r="A229" s="22"/>
      <c r="B229" s="22"/>
      <c r="C229" s="22"/>
      <c r="D229" s="22"/>
      <c r="E229" s="22"/>
      <c r="F229" s="22"/>
      <c r="G229"/>
      <c r="H229"/>
      <c r="I229"/>
      <c r="J229"/>
      <c r="K229"/>
      <c r="L229"/>
      <c r="M229"/>
      <c r="N229"/>
      <c r="O229"/>
      <c r="P229"/>
      <c r="Q229"/>
    </row>
    <row r="230" spans="1:17" ht="72" customHeight="1" x14ac:dyDescent="0.25">
      <c r="A230" s="22"/>
      <c r="B230" s="22"/>
      <c r="C230" s="22"/>
      <c r="D230" s="22"/>
      <c r="E230" s="22"/>
      <c r="F230" s="22"/>
      <c r="G230"/>
      <c r="H230"/>
      <c r="I230"/>
      <c r="J230"/>
      <c r="K230"/>
      <c r="L230"/>
      <c r="M230"/>
      <c r="N230"/>
      <c r="O230"/>
      <c r="P230"/>
      <c r="Q230"/>
    </row>
    <row r="231" spans="1:17" ht="72" customHeight="1" x14ac:dyDescent="0.25">
      <c r="A231" s="22"/>
      <c r="B231" s="22"/>
      <c r="C231" s="22"/>
      <c r="D231" s="22"/>
      <c r="E231" s="22"/>
      <c r="F231" s="22"/>
      <c r="G231"/>
      <c r="H231"/>
      <c r="I231"/>
      <c r="J231"/>
      <c r="K231"/>
      <c r="L231"/>
      <c r="M231"/>
      <c r="N231"/>
      <c r="O231"/>
      <c r="P231"/>
      <c r="Q231"/>
    </row>
    <row r="232" spans="1:17" ht="72" customHeight="1" x14ac:dyDescent="0.25">
      <c r="A232" s="22"/>
      <c r="B232" s="22"/>
      <c r="C232" s="22"/>
      <c r="D232" s="22"/>
      <c r="E232" s="22"/>
      <c r="F232" s="22"/>
      <c r="G232"/>
      <c r="H232"/>
      <c r="I232"/>
      <c r="J232"/>
      <c r="K232"/>
      <c r="L232"/>
      <c r="M232"/>
      <c r="N232"/>
      <c r="O232"/>
      <c r="P232"/>
      <c r="Q232"/>
    </row>
    <row r="233" spans="1:17" ht="72" customHeight="1" x14ac:dyDescent="0.25">
      <c r="A233" s="22"/>
      <c r="B233" s="22"/>
      <c r="C233" s="22"/>
      <c r="D233" s="22"/>
      <c r="E233" s="22"/>
      <c r="F233" s="22"/>
      <c r="G233"/>
      <c r="H233"/>
      <c r="I233"/>
      <c r="J233"/>
      <c r="K233"/>
      <c r="L233"/>
      <c r="M233"/>
      <c r="N233"/>
      <c r="O233"/>
      <c r="P233"/>
      <c r="Q233"/>
    </row>
    <row r="234" spans="1:17" ht="72" customHeight="1" x14ac:dyDescent="0.25">
      <c r="A234" s="22"/>
      <c r="B234" s="22"/>
      <c r="C234" s="22"/>
      <c r="D234" s="22"/>
      <c r="E234" s="22"/>
      <c r="F234" s="22"/>
      <c r="G234"/>
      <c r="H234"/>
      <c r="I234"/>
      <c r="J234"/>
      <c r="K234"/>
      <c r="L234"/>
      <c r="M234"/>
      <c r="N234"/>
      <c r="O234"/>
      <c r="P234"/>
      <c r="Q234"/>
    </row>
    <row r="235" spans="1:17" ht="72" customHeight="1" x14ac:dyDescent="0.25">
      <c r="A235" s="22"/>
      <c r="B235" s="22"/>
      <c r="C235" s="22"/>
      <c r="D235" s="22"/>
      <c r="E235" s="22"/>
      <c r="F235" s="22"/>
      <c r="G235"/>
      <c r="H235"/>
      <c r="I235"/>
      <c r="J235"/>
      <c r="K235"/>
      <c r="L235"/>
      <c r="M235"/>
      <c r="N235"/>
      <c r="O235"/>
      <c r="P235"/>
      <c r="Q235"/>
    </row>
    <row r="236" spans="1:17" ht="72" customHeight="1" x14ac:dyDescent="0.25">
      <c r="A236" s="22"/>
      <c r="B236" s="22"/>
      <c r="C236" s="22"/>
      <c r="D236" s="22"/>
      <c r="E236" s="22"/>
      <c r="F236" s="22"/>
      <c r="G236"/>
      <c r="H236"/>
      <c r="I236"/>
      <c r="J236"/>
      <c r="K236"/>
      <c r="L236"/>
      <c r="M236"/>
      <c r="N236"/>
      <c r="O236"/>
      <c r="P236"/>
      <c r="Q236"/>
    </row>
    <row r="237" spans="1:17" ht="72" customHeight="1" x14ac:dyDescent="0.25">
      <c r="A237" s="22"/>
      <c r="B237" s="22"/>
      <c r="C237" s="22"/>
      <c r="D237" s="22"/>
      <c r="E237" s="22"/>
      <c r="F237" s="22"/>
      <c r="G237"/>
      <c r="H237"/>
      <c r="I237"/>
      <c r="J237"/>
      <c r="K237"/>
      <c r="L237"/>
      <c r="M237"/>
      <c r="N237"/>
      <c r="O237"/>
      <c r="P237"/>
      <c r="Q237"/>
    </row>
    <row r="238" spans="1:17" ht="72" customHeight="1" x14ac:dyDescent="0.25">
      <c r="A238" s="22"/>
      <c r="B238" s="22"/>
      <c r="C238" s="22"/>
      <c r="D238" s="22"/>
      <c r="E238" s="22"/>
      <c r="F238" s="22"/>
      <c r="G238"/>
      <c r="H238"/>
      <c r="I238"/>
      <c r="J238"/>
      <c r="K238"/>
      <c r="L238"/>
      <c r="M238"/>
      <c r="N238"/>
      <c r="O238"/>
      <c r="P238"/>
      <c r="Q238"/>
    </row>
    <row r="239" spans="1:17" ht="72" customHeight="1" x14ac:dyDescent="0.25">
      <c r="A239" s="22"/>
      <c r="B239" s="22"/>
      <c r="C239" s="22"/>
      <c r="D239" s="22"/>
      <c r="E239" s="22"/>
      <c r="F239" s="22"/>
      <c r="G239"/>
      <c r="H239"/>
      <c r="I239"/>
      <c r="J239"/>
      <c r="K239"/>
      <c r="L239"/>
      <c r="M239"/>
      <c r="N239"/>
      <c r="O239"/>
      <c r="P239"/>
      <c r="Q239"/>
    </row>
    <row r="240" spans="1:17" ht="72" customHeight="1" x14ac:dyDescent="0.25">
      <c r="A240" s="22"/>
      <c r="B240" s="22"/>
      <c r="C240" s="22"/>
      <c r="D240" s="22"/>
      <c r="E240" s="22"/>
      <c r="F240" s="22"/>
      <c r="G240"/>
      <c r="H240"/>
      <c r="I240"/>
      <c r="J240"/>
      <c r="K240"/>
      <c r="L240"/>
      <c r="M240"/>
      <c r="N240"/>
      <c r="O240"/>
      <c r="P240"/>
      <c r="Q240"/>
    </row>
    <row r="241" spans="1:17" ht="72" customHeight="1" x14ac:dyDescent="0.25">
      <c r="A241" s="22"/>
      <c r="B241" s="22"/>
      <c r="C241" s="22"/>
      <c r="D241" s="22"/>
      <c r="E241" s="22"/>
      <c r="F241" s="22"/>
      <c r="G241"/>
      <c r="H241"/>
      <c r="I241"/>
      <c r="J241"/>
      <c r="K241"/>
      <c r="L241"/>
      <c r="M241"/>
      <c r="N241"/>
      <c r="O241"/>
      <c r="P241"/>
      <c r="Q241"/>
    </row>
    <row r="242" spans="1:17" ht="72" customHeight="1" x14ac:dyDescent="0.25">
      <c r="A242" s="22"/>
      <c r="B242" s="22"/>
      <c r="C242" s="22"/>
      <c r="D242" s="22"/>
      <c r="E242" s="22"/>
      <c r="F242" s="22"/>
      <c r="G242"/>
      <c r="H242"/>
      <c r="I242"/>
      <c r="J242"/>
      <c r="K242"/>
      <c r="L242"/>
      <c r="M242"/>
      <c r="N242"/>
      <c r="O242"/>
      <c r="P242"/>
      <c r="Q242"/>
    </row>
    <row r="243" spans="1:17" ht="72" customHeight="1" x14ac:dyDescent="0.25">
      <c r="A243" s="22"/>
      <c r="B243" s="22"/>
      <c r="C243" s="22"/>
      <c r="D243" s="22"/>
      <c r="E243" s="22"/>
      <c r="F243" s="22"/>
      <c r="G243"/>
      <c r="H243"/>
      <c r="I243"/>
      <c r="J243"/>
      <c r="K243"/>
      <c r="L243"/>
      <c r="M243"/>
      <c r="N243"/>
      <c r="O243"/>
      <c r="P243"/>
      <c r="Q243"/>
    </row>
    <row r="244" spans="1:17" ht="72" customHeight="1" x14ac:dyDescent="0.25">
      <c r="A244" s="22"/>
      <c r="B244" s="22"/>
      <c r="C244" s="22"/>
      <c r="D244" s="22"/>
      <c r="E244" s="22"/>
      <c r="F244" s="22"/>
      <c r="G244"/>
      <c r="H244"/>
      <c r="I244"/>
      <c r="J244"/>
      <c r="K244"/>
      <c r="L244"/>
      <c r="M244"/>
      <c r="N244"/>
      <c r="O244"/>
      <c r="P244"/>
      <c r="Q244"/>
    </row>
    <row r="245" spans="1:17" ht="72" customHeight="1" x14ac:dyDescent="0.25">
      <c r="A245" s="22"/>
      <c r="B245" s="22"/>
      <c r="C245" s="22"/>
      <c r="D245" s="22"/>
      <c r="E245" s="22"/>
      <c r="F245" s="22"/>
      <c r="G245"/>
      <c r="H245"/>
      <c r="I245"/>
      <c r="J245"/>
      <c r="K245"/>
      <c r="L245"/>
      <c r="M245"/>
      <c r="N245"/>
      <c r="O245"/>
      <c r="P245"/>
      <c r="Q245"/>
    </row>
    <row r="246" spans="1:17" ht="72" customHeight="1" x14ac:dyDescent="0.25">
      <c r="A246" s="22"/>
      <c r="B246" s="22"/>
      <c r="C246" s="22"/>
      <c r="D246" s="22"/>
      <c r="E246" s="22"/>
      <c r="F246" s="22"/>
      <c r="G246"/>
      <c r="H246"/>
      <c r="I246"/>
      <c r="J246"/>
      <c r="K246"/>
      <c r="L246"/>
      <c r="M246"/>
      <c r="N246"/>
      <c r="O246"/>
      <c r="P246"/>
      <c r="Q246"/>
    </row>
    <row r="247" spans="1:17" ht="72" customHeight="1" x14ac:dyDescent="0.25">
      <c r="A247" s="22"/>
      <c r="B247" s="22"/>
      <c r="C247" s="22"/>
      <c r="D247" s="22"/>
      <c r="E247" s="22"/>
      <c r="F247" s="22"/>
      <c r="G247"/>
      <c r="H247"/>
      <c r="I247"/>
      <c r="J247"/>
      <c r="K247"/>
      <c r="L247"/>
      <c r="M247"/>
      <c r="N247"/>
      <c r="O247"/>
      <c r="P247"/>
      <c r="Q247"/>
    </row>
    <row r="248" spans="1:17" ht="72" customHeight="1" x14ac:dyDescent="0.25">
      <c r="A248" s="22"/>
      <c r="B248" s="22"/>
      <c r="C248" s="22"/>
      <c r="D248" s="22"/>
      <c r="E248" s="22"/>
      <c r="F248" s="22"/>
      <c r="G248"/>
      <c r="H248"/>
      <c r="I248"/>
      <c r="J248"/>
      <c r="K248"/>
      <c r="L248"/>
      <c r="M248"/>
      <c r="N248"/>
      <c r="O248"/>
      <c r="P248"/>
      <c r="Q248"/>
    </row>
    <row r="249" spans="1:17" ht="72" customHeight="1" x14ac:dyDescent="0.25">
      <c r="A249" s="22"/>
      <c r="B249" s="22"/>
      <c r="C249" s="22"/>
      <c r="D249" s="22"/>
      <c r="E249" s="22"/>
      <c r="F249" s="22"/>
      <c r="G249"/>
      <c r="H249"/>
      <c r="I249"/>
      <c r="J249"/>
      <c r="K249"/>
      <c r="L249"/>
      <c r="M249"/>
      <c r="N249"/>
      <c r="O249"/>
      <c r="P249"/>
      <c r="Q249"/>
    </row>
    <row r="250" spans="1:17" ht="72" customHeight="1" x14ac:dyDescent="0.25">
      <c r="A250" s="22"/>
      <c r="B250" s="22"/>
      <c r="C250" s="22"/>
      <c r="D250" s="22"/>
      <c r="E250" s="22"/>
      <c r="F250" s="22"/>
      <c r="G250"/>
      <c r="H250"/>
      <c r="I250"/>
      <c r="J250"/>
      <c r="K250"/>
      <c r="L250"/>
      <c r="M250"/>
      <c r="N250"/>
      <c r="O250"/>
      <c r="P250"/>
      <c r="Q250"/>
    </row>
    <row r="251" spans="1:17" ht="72" customHeight="1" x14ac:dyDescent="0.25">
      <c r="A251" s="22"/>
      <c r="B251" s="22"/>
      <c r="C251" s="22"/>
      <c r="D251" s="22"/>
      <c r="E251" s="22"/>
      <c r="F251" s="22"/>
      <c r="G251"/>
      <c r="H251"/>
      <c r="I251"/>
      <c r="J251"/>
      <c r="K251"/>
      <c r="L251"/>
      <c r="M251"/>
      <c r="N251"/>
      <c r="O251"/>
      <c r="P251"/>
      <c r="Q251"/>
    </row>
    <row r="252" spans="1:17" ht="72" customHeight="1" x14ac:dyDescent="0.25">
      <c r="A252" s="22"/>
      <c r="B252" s="22"/>
      <c r="C252" s="22"/>
      <c r="D252" s="22"/>
      <c r="E252" s="22"/>
      <c r="F252" s="22"/>
      <c r="G252"/>
      <c r="H252"/>
      <c r="I252"/>
      <c r="J252"/>
      <c r="K252"/>
      <c r="L252"/>
      <c r="M252"/>
      <c r="N252"/>
      <c r="O252"/>
      <c r="P252"/>
      <c r="Q252"/>
    </row>
    <row r="253" spans="1:17" ht="72" customHeight="1" x14ac:dyDescent="0.25">
      <c r="A253" s="22"/>
      <c r="B253" s="22"/>
      <c r="C253" s="22"/>
      <c r="D253" s="22"/>
      <c r="E253" s="22"/>
      <c r="F253" s="22"/>
      <c r="G253"/>
      <c r="H253"/>
      <c r="I253"/>
      <c r="J253"/>
      <c r="K253"/>
      <c r="L253"/>
      <c r="M253"/>
      <c r="N253"/>
      <c r="O253"/>
      <c r="P253"/>
      <c r="Q253"/>
    </row>
    <row r="254" spans="1:17" ht="72" customHeight="1" x14ac:dyDescent="0.25">
      <c r="A254" s="22"/>
      <c r="B254" s="22"/>
      <c r="C254" s="22"/>
      <c r="D254" s="22"/>
      <c r="E254" s="22"/>
      <c r="F254" s="22"/>
      <c r="G254"/>
      <c r="H254"/>
      <c r="I254"/>
      <c r="J254"/>
      <c r="K254"/>
      <c r="L254"/>
      <c r="M254"/>
      <c r="N254"/>
      <c r="O254"/>
      <c r="P254"/>
      <c r="Q254"/>
    </row>
    <row r="255" spans="1:17" ht="72" customHeight="1" x14ac:dyDescent="0.25">
      <c r="A255" s="22"/>
      <c r="B255" s="22"/>
      <c r="C255" s="22"/>
      <c r="D255" s="22"/>
      <c r="E255" s="22"/>
      <c r="F255" s="22"/>
      <c r="G255"/>
      <c r="H255"/>
      <c r="I255"/>
      <c r="J255"/>
      <c r="K255"/>
      <c r="L255"/>
      <c r="M255"/>
      <c r="N255"/>
      <c r="O255"/>
      <c r="P255"/>
      <c r="Q255"/>
    </row>
    <row r="256" spans="1:17" ht="72" customHeight="1" x14ac:dyDescent="0.25">
      <c r="A256" s="22"/>
      <c r="B256" s="22"/>
      <c r="C256" s="22"/>
      <c r="D256" s="22"/>
      <c r="E256" s="22"/>
      <c r="F256" s="22"/>
      <c r="G256"/>
      <c r="H256"/>
      <c r="I256"/>
      <c r="J256"/>
      <c r="K256"/>
      <c r="L256"/>
      <c r="M256"/>
      <c r="N256"/>
      <c r="O256"/>
      <c r="P256"/>
      <c r="Q256"/>
    </row>
    <row r="257" spans="1:17" ht="72" customHeight="1" x14ac:dyDescent="0.25">
      <c r="A257" s="22"/>
      <c r="B257" s="22"/>
      <c r="C257" s="22"/>
      <c r="D257" s="22"/>
      <c r="E257" s="22"/>
      <c r="F257" s="22"/>
      <c r="G257"/>
      <c r="H257"/>
      <c r="I257"/>
      <c r="J257"/>
      <c r="K257"/>
      <c r="L257"/>
      <c r="M257"/>
      <c r="N257"/>
      <c r="O257"/>
      <c r="P257"/>
      <c r="Q257"/>
    </row>
    <row r="258" spans="1:17" ht="72" customHeight="1" x14ac:dyDescent="0.25">
      <c r="A258" s="22"/>
      <c r="B258" s="22"/>
      <c r="C258" s="22"/>
      <c r="D258" s="22"/>
      <c r="E258" s="22"/>
      <c r="F258" s="22"/>
      <c r="G258"/>
      <c r="H258"/>
      <c r="I258"/>
      <c r="J258"/>
      <c r="K258"/>
      <c r="L258"/>
      <c r="M258"/>
      <c r="N258"/>
      <c r="O258"/>
      <c r="P258"/>
      <c r="Q258"/>
    </row>
    <row r="259" spans="1:17" ht="72" customHeight="1" x14ac:dyDescent="0.25">
      <c r="A259" s="22"/>
      <c r="B259" s="22"/>
      <c r="C259" s="22"/>
      <c r="D259" s="22"/>
      <c r="E259" s="22"/>
      <c r="F259" s="22"/>
      <c r="G259"/>
      <c r="H259"/>
      <c r="I259"/>
      <c r="J259"/>
      <c r="K259"/>
      <c r="L259"/>
      <c r="M259"/>
      <c r="N259"/>
      <c r="O259"/>
      <c r="P259"/>
      <c r="Q259"/>
    </row>
    <row r="260" spans="1:17" ht="72" customHeight="1" x14ac:dyDescent="0.25">
      <c r="A260" s="22"/>
      <c r="B260" s="22"/>
      <c r="C260" s="22"/>
      <c r="D260" s="22"/>
      <c r="E260" s="22"/>
      <c r="F260" s="22"/>
      <c r="G260"/>
      <c r="H260"/>
      <c r="I260"/>
      <c r="J260"/>
      <c r="K260"/>
      <c r="L260"/>
      <c r="M260"/>
      <c r="N260"/>
      <c r="O260"/>
      <c r="P260"/>
      <c r="Q260"/>
    </row>
    <row r="261" spans="1:17" ht="72" customHeight="1" x14ac:dyDescent="0.25">
      <c r="A261" s="22"/>
      <c r="B261" s="22"/>
      <c r="C261" s="22"/>
      <c r="D261" s="22"/>
      <c r="E261" s="22"/>
      <c r="F261" s="22"/>
      <c r="G261"/>
      <c r="H261"/>
      <c r="I261"/>
      <c r="J261"/>
      <c r="K261"/>
      <c r="L261"/>
      <c r="M261"/>
      <c r="N261"/>
      <c r="O261"/>
      <c r="P261"/>
      <c r="Q261"/>
    </row>
    <row r="262" spans="1:17" ht="72" customHeight="1" x14ac:dyDescent="0.25">
      <c r="A262" s="22"/>
      <c r="B262" s="22"/>
      <c r="C262" s="22"/>
      <c r="D262" s="22"/>
      <c r="E262" s="22"/>
      <c r="F262" s="22"/>
      <c r="G262"/>
      <c r="H262"/>
      <c r="I262"/>
      <c r="J262"/>
      <c r="K262"/>
      <c r="L262"/>
      <c r="M262"/>
      <c r="N262"/>
      <c r="O262"/>
      <c r="P262"/>
      <c r="Q262"/>
    </row>
    <row r="263" spans="1:17" ht="72" customHeight="1" x14ac:dyDescent="0.25">
      <c r="A263" s="22"/>
      <c r="B263" s="22"/>
      <c r="C263" s="22"/>
      <c r="D263" s="22"/>
      <c r="E263" s="22"/>
      <c r="F263" s="22"/>
      <c r="G263"/>
      <c r="H263"/>
      <c r="I263"/>
      <c r="J263"/>
      <c r="K263"/>
      <c r="L263"/>
      <c r="M263"/>
      <c r="N263"/>
      <c r="O263"/>
      <c r="P263"/>
      <c r="Q263"/>
    </row>
    <row r="264" spans="1:17" ht="72" customHeight="1" x14ac:dyDescent="0.25">
      <c r="A264" s="22"/>
      <c r="B264" s="22"/>
      <c r="C264" s="22"/>
      <c r="D264" s="22"/>
      <c r="E264" s="22"/>
      <c r="F264" s="22"/>
      <c r="G264"/>
      <c r="H264"/>
      <c r="I264"/>
      <c r="J264"/>
      <c r="K264"/>
      <c r="L264"/>
      <c r="M264"/>
      <c r="N264"/>
      <c r="O264"/>
      <c r="P264"/>
      <c r="Q264"/>
    </row>
    <row r="265" spans="1:17" ht="72" customHeight="1" x14ac:dyDescent="0.25">
      <c r="A265" s="22"/>
      <c r="B265" s="22"/>
      <c r="C265" s="22"/>
      <c r="D265" s="22"/>
      <c r="E265" s="22"/>
      <c r="F265" s="22"/>
      <c r="G265"/>
      <c r="H265"/>
      <c r="I265"/>
      <c r="J265"/>
      <c r="K265"/>
      <c r="L265"/>
      <c r="M265"/>
      <c r="N265"/>
      <c r="O265"/>
      <c r="P265"/>
      <c r="Q265"/>
    </row>
    <row r="266" spans="1:17" ht="72" customHeight="1" x14ac:dyDescent="0.25">
      <c r="A266" s="22"/>
      <c r="B266" s="22"/>
      <c r="C266" s="22"/>
      <c r="D266" s="22"/>
      <c r="E266" s="22"/>
      <c r="F266" s="22"/>
      <c r="G266"/>
      <c r="H266"/>
      <c r="I266"/>
      <c r="J266"/>
      <c r="K266"/>
      <c r="L266"/>
      <c r="M266"/>
      <c r="N266"/>
      <c r="O266"/>
      <c r="P266"/>
      <c r="Q266"/>
    </row>
    <row r="267" spans="1:17" ht="72" customHeight="1" x14ac:dyDescent="0.25">
      <c r="A267" s="22"/>
      <c r="B267" s="22"/>
      <c r="C267" s="22"/>
      <c r="D267" s="22"/>
      <c r="E267" s="22"/>
      <c r="F267" s="22"/>
      <c r="G267"/>
      <c r="H267"/>
      <c r="I267"/>
      <c r="J267"/>
      <c r="K267"/>
      <c r="L267"/>
      <c r="M267"/>
      <c r="N267"/>
      <c r="O267"/>
      <c r="P267"/>
      <c r="Q267"/>
    </row>
    <row r="268" spans="1:17" ht="72" customHeight="1" x14ac:dyDescent="0.25">
      <c r="A268" s="22"/>
      <c r="B268" s="22"/>
      <c r="C268" s="22"/>
      <c r="D268" s="22"/>
      <c r="E268" s="22"/>
      <c r="F268" s="22"/>
      <c r="G268"/>
      <c r="H268"/>
      <c r="I268"/>
      <c r="J268"/>
      <c r="K268"/>
      <c r="L268"/>
      <c r="M268"/>
      <c r="N268"/>
      <c r="O268"/>
      <c r="P268"/>
      <c r="Q268"/>
    </row>
    <row r="269" spans="1:17" ht="72" customHeight="1" x14ac:dyDescent="0.25">
      <c r="A269" s="22"/>
      <c r="B269" s="22"/>
      <c r="C269" s="22"/>
      <c r="D269" s="22"/>
      <c r="E269" s="22"/>
      <c r="F269" s="22"/>
      <c r="G269"/>
      <c r="H269"/>
      <c r="I269"/>
      <c r="J269"/>
      <c r="K269"/>
      <c r="L269"/>
      <c r="M269"/>
      <c r="N269"/>
      <c r="O269"/>
      <c r="P269"/>
      <c r="Q269"/>
    </row>
    <row r="270" spans="1:17" ht="72" customHeight="1" x14ac:dyDescent="0.25">
      <c r="A270" s="22"/>
      <c r="B270" s="22"/>
      <c r="C270" s="22"/>
      <c r="D270" s="22"/>
      <c r="E270" s="22"/>
      <c r="F270" s="22"/>
      <c r="G270"/>
      <c r="H270"/>
      <c r="I270"/>
      <c r="J270"/>
      <c r="K270"/>
      <c r="L270"/>
      <c r="M270"/>
      <c r="N270"/>
      <c r="O270"/>
      <c r="P270"/>
      <c r="Q270"/>
    </row>
    <row r="271" spans="1:17" ht="72" customHeight="1" x14ac:dyDescent="0.25">
      <c r="A271" s="22"/>
      <c r="B271" s="22"/>
      <c r="C271" s="22"/>
      <c r="D271" s="22"/>
      <c r="E271" s="22"/>
      <c r="F271" s="22"/>
      <c r="G271"/>
      <c r="H271"/>
      <c r="I271"/>
      <c r="J271"/>
      <c r="K271"/>
      <c r="L271"/>
      <c r="M271"/>
      <c r="N271"/>
      <c r="O271"/>
      <c r="P271"/>
      <c r="Q271"/>
    </row>
    <row r="272" spans="1:17" ht="72" customHeight="1" x14ac:dyDescent="0.25">
      <c r="A272" s="22"/>
      <c r="B272" s="22"/>
      <c r="C272" s="22"/>
      <c r="D272" s="22"/>
      <c r="E272" s="22"/>
      <c r="F272" s="22"/>
      <c r="G272"/>
      <c r="H272"/>
      <c r="I272"/>
      <c r="J272"/>
      <c r="K272"/>
      <c r="L272"/>
      <c r="M272"/>
      <c r="N272"/>
      <c r="O272"/>
      <c r="P272"/>
      <c r="Q272"/>
    </row>
    <row r="273" spans="1:17" ht="72" customHeight="1" x14ac:dyDescent="0.25">
      <c r="A273" s="22"/>
      <c r="B273" s="22"/>
      <c r="C273" s="22"/>
      <c r="D273" s="22"/>
      <c r="E273" s="22"/>
      <c r="F273" s="22"/>
      <c r="G273"/>
      <c r="H273"/>
      <c r="I273"/>
      <c r="J273"/>
      <c r="K273"/>
      <c r="L273"/>
      <c r="M273"/>
      <c r="N273"/>
      <c r="O273"/>
      <c r="P273"/>
      <c r="Q273"/>
    </row>
    <row r="274" spans="1:17" ht="72" customHeight="1" x14ac:dyDescent="0.25">
      <c r="A274" s="22"/>
      <c r="B274" s="22"/>
      <c r="C274" s="22"/>
      <c r="D274" s="22"/>
      <c r="E274" s="22"/>
      <c r="F274" s="22"/>
      <c r="G274"/>
      <c r="H274"/>
      <c r="I274"/>
      <c r="J274"/>
      <c r="K274"/>
      <c r="L274"/>
      <c r="M274"/>
      <c r="N274"/>
      <c r="O274"/>
      <c r="P274"/>
      <c r="Q274"/>
    </row>
    <row r="275" spans="1:17" ht="72" customHeight="1" x14ac:dyDescent="0.25">
      <c r="A275" s="22"/>
      <c r="B275" s="22"/>
      <c r="C275" s="22"/>
      <c r="D275" s="22"/>
      <c r="E275" s="22"/>
      <c r="F275" s="22"/>
      <c r="G275"/>
      <c r="H275"/>
      <c r="I275"/>
      <c r="J275"/>
      <c r="K275"/>
      <c r="L275"/>
      <c r="M275"/>
      <c r="N275"/>
      <c r="O275"/>
      <c r="P275"/>
      <c r="Q275"/>
    </row>
    <row r="276" spans="1:17" ht="72" customHeight="1" x14ac:dyDescent="0.25">
      <c r="A276" s="22"/>
      <c r="B276" s="22"/>
      <c r="C276" s="22"/>
      <c r="D276" s="22"/>
      <c r="E276" s="22"/>
      <c r="F276" s="22"/>
      <c r="G276"/>
      <c r="H276"/>
      <c r="I276"/>
      <c r="J276"/>
      <c r="K276"/>
      <c r="L276"/>
      <c r="M276"/>
      <c r="N276"/>
      <c r="O276"/>
      <c r="P276"/>
      <c r="Q276"/>
    </row>
    <row r="277" spans="1:17" ht="72" customHeight="1" x14ac:dyDescent="0.25">
      <c r="A277" s="22"/>
      <c r="B277" s="22"/>
      <c r="C277" s="22"/>
      <c r="D277" s="22"/>
      <c r="E277" s="22"/>
      <c r="F277" s="22"/>
      <c r="G277"/>
      <c r="H277"/>
      <c r="I277"/>
      <c r="J277"/>
      <c r="K277"/>
      <c r="L277"/>
      <c r="M277"/>
      <c r="N277"/>
      <c r="O277"/>
      <c r="P277"/>
      <c r="Q277"/>
    </row>
    <row r="278" spans="1:17" ht="72" customHeight="1" x14ac:dyDescent="0.25">
      <c r="A278" s="22"/>
      <c r="B278" s="22"/>
      <c r="C278" s="22"/>
      <c r="D278" s="22"/>
      <c r="E278" s="22"/>
      <c r="F278" s="22"/>
      <c r="G278"/>
      <c r="H278"/>
      <c r="I278"/>
      <c r="J278"/>
      <c r="K278"/>
      <c r="L278"/>
      <c r="M278"/>
      <c r="N278"/>
      <c r="O278"/>
      <c r="P278"/>
      <c r="Q278"/>
    </row>
    <row r="279" spans="1:17" ht="72" customHeight="1" x14ac:dyDescent="0.25">
      <c r="A279" s="22"/>
      <c r="B279" s="22"/>
      <c r="C279" s="22"/>
      <c r="D279" s="22"/>
      <c r="E279" s="22"/>
      <c r="F279" s="22"/>
      <c r="G279"/>
      <c r="H279"/>
      <c r="I279"/>
      <c r="J279"/>
      <c r="K279"/>
      <c r="L279"/>
      <c r="M279"/>
      <c r="N279"/>
      <c r="O279"/>
      <c r="P279"/>
      <c r="Q279"/>
    </row>
    <row r="280" spans="1:17" ht="72" customHeight="1" x14ac:dyDescent="0.25">
      <c r="A280" s="22"/>
      <c r="B280" s="22"/>
      <c r="C280" s="22"/>
      <c r="D280" s="22"/>
      <c r="E280" s="22"/>
      <c r="F280" s="22"/>
      <c r="G280"/>
      <c r="H280"/>
      <c r="I280"/>
      <c r="J280"/>
      <c r="K280"/>
      <c r="L280"/>
      <c r="M280"/>
      <c r="N280"/>
      <c r="O280"/>
      <c r="P280"/>
      <c r="Q280"/>
    </row>
    <row r="281" spans="1:17" ht="72" customHeight="1" x14ac:dyDescent="0.25">
      <c r="A281" s="22"/>
      <c r="B281" s="22"/>
      <c r="C281" s="22"/>
      <c r="D281" s="22"/>
      <c r="E281" s="22"/>
      <c r="F281" s="22"/>
      <c r="G281"/>
      <c r="H281"/>
      <c r="I281"/>
      <c r="J281"/>
      <c r="K281"/>
      <c r="L281"/>
      <c r="M281"/>
      <c r="N281"/>
      <c r="O281"/>
      <c r="P281"/>
      <c r="Q281"/>
    </row>
    <row r="282" spans="1:17" ht="72" customHeight="1" x14ac:dyDescent="0.25">
      <c r="A282" s="22"/>
      <c r="B282" s="22"/>
      <c r="C282" s="22"/>
      <c r="D282" s="22"/>
      <c r="E282" s="22"/>
      <c r="F282" s="22"/>
      <c r="G282"/>
      <c r="H282"/>
      <c r="I282"/>
      <c r="J282"/>
      <c r="K282"/>
      <c r="L282"/>
      <c r="M282"/>
      <c r="N282"/>
      <c r="O282"/>
      <c r="P282"/>
      <c r="Q282"/>
    </row>
    <row r="283" spans="1:17" ht="72" customHeight="1" x14ac:dyDescent="0.25">
      <c r="A283" s="22"/>
      <c r="B283" s="22"/>
      <c r="C283" s="22"/>
      <c r="D283" s="22"/>
      <c r="E283" s="22"/>
      <c r="F283" s="22"/>
      <c r="G283"/>
      <c r="H283"/>
      <c r="I283"/>
      <c r="J283"/>
      <c r="K283"/>
      <c r="L283"/>
      <c r="M283"/>
      <c r="N283"/>
      <c r="O283"/>
      <c r="P283"/>
      <c r="Q283"/>
    </row>
    <row r="284" spans="1:17" ht="72" customHeight="1" x14ac:dyDescent="0.25">
      <c r="A284" s="22"/>
      <c r="B284" s="22"/>
      <c r="C284" s="22"/>
      <c r="D284" s="22"/>
      <c r="E284" s="22"/>
      <c r="F284" s="22"/>
      <c r="G284"/>
      <c r="H284"/>
      <c r="I284"/>
      <c r="J284"/>
      <c r="K284"/>
      <c r="L284"/>
      <c r="M284"/>
      <c r="N284"/>
      <c r="O284"/>
      <c r="P284"/>
      <c r="Q284"/>
    </row>
    <row r="285" spans="1:17" ht="72" customHeight="1" x14ac:dyDescent="0.25">
      <c r="A285" s="22"/>
      <c r="B285" s="22"/>
      <c r="C285" s="22"/>
      <c r="D285" s="22"/>
      <c r="E285" s="22"/>
      <c r="F285" s="22"/>
      <c r="G285"/>
      <c r="H285"/>
      <c r="I285"/>
      <c r="J285"/>
      <c r="K285"/>
      <c r="L285"/>
      <c r="M285"/>
      <c r="N285"/>
      <c r="O285"/>
      <c r="P285"/>
      <c r="Q285"/>
    </row>
    <row r="286" spans="1:17" ht="72" customHeight="1" x14ac:dyDescent="0.25">
      <c r="A286" s="22"/>
      <c r="B286" s="22"/>
      <c r="C286" s="22"/>
      <c r="D286" s="22"/>
      <c r="E286" s="22"/>
      <c r="F286" s="22"/>
      <c r="G286"/>
      <c r="H286"/>
      <c r="I286"/>
      <c r="J286"/>
      <c r="K286"/>
      <c r="L286"/>
      <c r="M286"/>
      <c r="N286"/>
      <c r="O286"/>
      <c r="P286"/>
      <c r="Q286"/>
    </row>
    <row r="287" spans="1:17" ht="72" customHeight="1" x14ac:dyDescent="0.25">
      <c r="A287" s="22"/>
      <c r="B287" s="22"/>
      <c r="C287" s="22"/>
      <c r="D287" s="22"/>
      <c r="E287" s="22"/>
      <c r="F287" s="22"/>
      <c r="G287"/>
      <c r="H287"/>
      <c r="I287"/>
      <c r="J287"/>
      <c r="K287"/>
      <c r="L287"/>
      <c r="M287"/>
      <c r="N287"/>
      <c r="O287"/>
      <c r="P287"/>
      <c r="Q287"/>
    </row>
    <row r="288" spans="1:17" ht="72" customHeight="1" x14ac:dyDescent="0.25">
      <c r="A288" s="22"/>
      <c r="B288" s="22"/>
      <c r="C288" s="22"/>
      <c r="D288" s="22"/>
      <c r="E288" s="22"/>
      <c r="F288" s="22"/>
      <c r="G288"/>
      <c r="H288"/>
      <c r="I288"/>
      <c r="J288"/>
      <c r="K288"/>
      <c r="L288"/>
      <c r="M288"/>
      <c r="N288"/>
      <c r="O288"/>
      <c r="P288"/>
      <c r="Q288"/>
    </row>
    <row r="289" spans="1:17" ht="72" customHeight="1" x14ac:dyDescent="0.25">
      <c r="A289" s="22"/>
      <c r="B289" s="22"/>
      <c r="C289" s="22"/>
      <c r="D289" s="22"/>
      <c r="E289" s="22"/>
      <c r="F289" s="22"/>
      <c r="G289"/>
      <c r="H289"/>
      <c r="I289"/>
      <c r="J289"/>
      <c r="K289"/>
      <c r="L289"/>
      <c r="M289"/>
      <c r="N289"/>
      <c r="O289"/>
      <c r="P289"/>
      <c r="Q289"/>
    </row>
    <row r="290" spans="1:17" ht="72" customHeight="1" x14ac:dyDescent="0.25">
      <c r="A290" s="22"/>
      <c r="B290" s="22"/>
      <c r="C290" s="22"/>
      <c r="D290" s="22"/>
      <c r="E290" s="22"/>
      <c r="F290" s="22"/>
      <c r="G290"/>
      <c r="H290"/>
      <c r="I290"/>
      <c r="J290"/>
      <c r="K290"/>
      <c r="L290"/>
      <c r="M290"/>
      <c r="N290"/>
      <c r="O290"/>
      <c r="P290"/>
      <c r="Q290"/>
    </row>
    <row r="291" spans="1:17" ht="72" customHeight="1" x14ac:dyDescent="0.25">
      <c r="A291" s="22"/>
      <c r="B291" s="22"/>
      <c r="C291" s="22"/>
      <c r="D291" s="22"/>
      <c r="E291" s="22"/>
      <c r="F291" s="22"/>
      <c r="G291"/>
      <c r="H291"/>
      <c r="I291"/>
      <c r="J291"/>
      <c r="K291"/>
      <c r="L291"/>
      <c r="M291"/>
      <c r="N291"/>
      <c r="O291"/>
      <c r="P291"/>
      <c r="Q291"/>
    </row>
    <row r="292" spans="1:17" ht="72" customHeight="1" x14ac:dyDescent="0.25">
      <c r="A292" s="22"/>
      <c r="B292" s="22"/>
      <c r="C292" s="22"/>
      <c r="D292" s="22"/>
      <c r="E292" s="22"/>
      <c r="F292" s="22"/>
      <c r="G292"/>
      <c r="H292"/>
      <c r="I292"/>
      <c r="J292"/>
      <c r="K292"/>
      <c r="L292"/>
      <c r="M292"/>
      <c r="N292"/>
      <c r="O292"/>
      <c r="P292"/>
      <c r="Q292"/>
    </row>
    <row r="293" spans="1:17" ht="72" customHeight="1" x14ac:dyDescent="0.25">
      <c r="A293" s="22"/>
      <c r="B293" s="22"/>
      <c r="C293" s="22"/>
      <c r="D293" s="22"/>
      <c r="E293" s="22"/>
      <c r="F293" s="22"/>
      <c r="G293"/>
      <c r="H293"/>
      <c r="I293"/>
      <c r="J293"/>
      <c r="K293"/>
      <c r="L293"/>
      <c r="M293"/>
      <c r="N293"/>
      <c r="O293"/>
      <c r="P293"/>
      <c r="Q293"/>
    </row>
    <row r="294" spans="1:17" ht="72" customHeight="1" x14ac:dyDescent="0.25">
      <c r="A294" s="22"/>
      <c r="B294" s="22"/>
      <c r="C294" s="22"/>
      <c r="D294" s="22"/>
      <c r="E294" s="22"/>
      <c r="F294" s="22"/>
      <c r="G294"/>
      <c r="H294"/>
      <c r="I294"/>
      <c r="J294"/>
      <c r="K294"/>
      <c r="L294"/>
      <c r="M294"/>
      <c r="N294"/>
      <c r="O294"/>
      <c r="P294"/>
      <c r="Q294"/>
    </row>
    <row r="295" spans="1:17" ht="72" customHeight="1" x14ac:dyDescent="0.25">
      <c r="A295" s="22"/>
      <c r="B295" s="22"/>
      <c r="C295" s="22"/>
      <c r="D295" s="22"/>
      <c r="E295" s="22"/>
      <c r="F295" s="22"/>
      <c r="G295"/>
      <c r="H295"/>
      <c r="I295"/>
      <c r="J295"/>
      <c r="K295"/>
      <c r="L295"/>
      <c r="M295"/>
      <c r="N295"/>
      <c r="O295"/>
      <c r="P295"/>
      <c r="Q295"/>
    </row>
    <row r="296" spans="1:17" ht="72" customHeight="1" x14ac:dyDescent="0.25">
      <c r="A296" s="22"/>
      <c r="B296" s="22"/>
      <c r="C296" s="22"/>
      <c r="D296" s="22"/>
      <c r="E296" s="22"/>
      <c r="F296" s="22"/>
      <c r="G296"/>
      <c r="H296"/>
      <c r="I296"/>
      <c r="J296"/>
      <c r="K296"/>
      <c r="L296"/>
      <c r="M296"/>
      <c r="N296"/>
      <c r="O296"/>
      <c r="P296"/>
      <c r="Q296"/>
    </row>
    <row r="297" spans="1:17" ht="72" customHeight="1" x14ac:dyDescent="0.25">
      <c r="A297" s="22"/>
      <c r="B297" s="22"/>
      <c r="C297" s="22"/>
      <c r="D297" s="22"/>
      <c r="E297" s="22"/>
      <c r="F297" s="22"/>
      <c r="G297"/>
      <c r="H297"/>
      <c r="I297"/>
      <c r="J297"/>
      <c r="K297"/>
      <c r="L297"/>
      <c r="M297"/>
      <c r="N297"/>
      <c r="O297"/>
      <c r="P297"/>
      <c r="Q297"/>
    </row>
    <row r="298" spans="1:17" ht="72" customHeight="1" x14ac:dyDescent="0.25">
      <c r="A298" s="22"/>
      <c r="B298" s="22"/>
      <c r="C298" s="22"/>
      <c r="D298" s="22"/>
      <c r="E298" s="22"/>
      <c r="F298" s="22"/>
      <c r="G298"/>
      <c r="H298"/>
      <c r="I298"/>
      <c r="J298"/>
      <c r="K298"/>
      <c r="L298"/>
      <c r="M298"/>
      <c r="N298"/>
      <c r="O298"/>
      <c r="P298"/>
      <c r="Q298"/>
    </row>
    <row r="299" spans="1:17" ht="72" customHeight="1" x14ac:dyDescent="0.25">
      <c r="A299" s="22"/>
      <c r="B299" s="22"/>
      <c r="C299" s="22"/>
      <c r="D299" s="22"/>
      <c r="E299" s="22"/>
      <c r="F299" s="22"/>
      <c r="G299"/>
      <c r="H299"/>
      <c r="I299"/>
      <c r="J299"/>
      <c r="K299"/>
      <c r="L299"/>
      <c r="M299"/>
      <c r="N299"/>
      <c r="O299"/>
      <c r="P299"/>
      <c r="Q299"/>
    </row>
    <row r="300" spans="1:17" ht="72" customHeight="1" x14ac:dyDescent="0.25">
      <c r="A300" s="22"/>
      <c r="B300" s="22"/>
      <c r="C300" s="22"/>
      <c r="D300" s="22"/>
      <c r="E300" s="22"/>
      <c r="F300" s="22"/>
      <c r="G300"/>
      <c r="H300"/>
      <c r="I300"/>
      <c r="J300"/>
      <c r="K300"/>
      <c r="L300"/>
      <c r="M300"/>
      <c r="N300"/>
      <c r="O300"/>
      <c r="P300"/>
      <c r="Q300"/>
    </row>
    <row r="301" spans="1:17" ht="72" customHeight="1" x14ac:dyDescent="0.25">
      <c r="A301" s="22"/>
      <c r="B301" s="22"/>
      <c r="C301" s="22"/>
      <c r="D301" s="22"/>
      <c r="E301" s="22"/>
      <c r="F301" s="22"/>
      <c r="G301"/>
      <c r="H301"/>
      <c r="I301"/>
      <c r="J301"/>
      <c r="K301"/>
      <c r="L301"/>
      <c r="M301"/>
      <c r="N301"/>
      <c r="O301"/>
      <c r="P301"/>
      <c r="Q301"/>
    </row>
    <row r="302" spans="1:17" ht="72" customHeight="1" x14ac:dyDescent="0.25">
      <c r="A302" s="22"/>
      <c r="B302" s="22"/>
      <c r="C302" s="22"/>
      <c r="D302" s="22"/>
      <c r="E302" s="22"/>
      <c r="F302" s="22"/>
      <c r="G302"/>
      <c r="H302"/>
      <c r="I302"/>
      <c r="J302"/>
      <c r="K302"/>
      <c r="L302"/>
      <c r="M302"/>
      <c r="N302"/>
      <c r="O302"/>
      <c r="P302"/>
      <c r="Q302"/>
    </row>
    <row r="303" spans="1:17" ht="72" customHeight="1" x14ac:dyDescent="0.25">
      <c r="A303" s="22"/>
      <c r="B303" s="22"/>
      <c r="C303" s="22"/>
      <c r="D303" s="22"/>
      <c r="E303" s="22"/>
      <c r="F303" s="22"/>
      <c r="G303"/>
      <c r="H303"/>
      <c r="I303"/>
      <c r="J303"/>
      <c r="K303"/>
      <c r="L303"/>
      <c r="M303"/>
      <c r="N303"/>
      <c r="O303"/>
      <c r="P303"/>
      <c r="Q303"/>
    </row>
    <row r="304" spans="1:17" ht="72" customHeight="1" x14ac:dyDescent="0.25">
      <c r="A304" s="22"/>
      <c r="B304" s="22"/>
      <c r="C304" s="22"/>
      <c r="D304" s="22"/>
      <c r="E304" s="22"/>
      <c r="F304" s="22"/>
      <c r="G304"/>
      <c r="H304"/>
      <c r="I304"/>
      <c r="J304"/>
      <c r="K304"/>
      <c r="L304"/>
      <c r="M304"/>
      <c r="N304"/>
      <c r="O304"/>
      <c r="P304"/>
      <c r="Q304"/>
    </row>
    <row r="305" spans="1:17" ht="72" customHeight="1" x14ac:dyDescent="0.25">
      <c r="A305" s="22"/>
      <c r="B305" s="22"/>
      <c r="C305" s="22"/>
      <c r="D305" s="22"/>
      <c r="E305" s="22"/>
      <c r="F305" s="22"/>
      <c r="G305"/>
      <c r="H305"/>
      <c r="I305"/>
      <c r="J305"/>
      <c r="K305"/>
      <c r="L305"/>
      <c r="M305"/>
      <c r="N305"/>
      <c r="O305"/>
      <c r="P305"/>
      <c r="Q305"/>
    </row>
    <row r="306" spans="1:17" ht="72" customHeight="1" x14ac:dyDescent="0.25">
      <c r="A306" s="22"/>
      <c r="B306" s="22"/>
      <c r="C306" s="22"/>
      <c r="D306" s="22"/>
      <c r="E306" s="22"/>
      <c r="F306" s="22"/>
      <c r="G306"/>
      <c r="H306"/>
      <c r="I306"/>
      <c r="J306"/>
      <c r="K306"/>
      <c r="L306"/>
      <c r="M306"/>
      <c r="N306"/>
      <c r="O306"/>
      <c r="P306"/>
      <c r="Q306"/>
    </row>
    <row r="307" spans="1:17" ht="72" customHeight="1" x14ac:dyDescent="0.25">
      <c r="A307" s="22"/>
      <c r="B307" s="22"/>
      <c r="C307" s="22"/>
      <c r="D307" s="22"/>
      <c r="E307" s="22"/>
      <c r="F307" s="22"/>
      <c r="G307"/>
      <c r="H307"/>
      <c r="I307"/>
      <c r="J307"/>
      <c r="K307"/>
      <c r="L307"/>
      <c r="M307"/>
      <c r="N307"/>
      <c r="O307"/>
      <c r="P307"/>
      <c r="Q307"/>
    </row>
    <row r="308" spans="1:17" ht="72" customHeight="1" x14ac:dyDescent="0.25">
      <c r="A308" s="22"/>
      <c r="B308" s="22"/>
      <c r="C308" s="22"/>
      <c r="D308" s="22"/>
      <c r="E308" s="22"/>
      <c r="F308" s="22"/>
      <c r="G308"/>
      <c r="H308"/>
      <c r="I308"/>
      <c r="J308"/>
      <c r="K308"/>
      <c r="L308"/>
      <c r="M308"/>
      <c r="N308"/>
      <c r="O308"/>
      <c r="P308"/>
      <c r="Q308"/>
    </row>
    <row r="309" spans="1:17" ht="72" customHeight="1" x14ac:dyDescent="0.25">
      <c r="A309" s="22"/>
      <c r="B309" s="22"/>
      <c r="C309" s="22"/>
      <c r="D309" s="22"/>
      <c r="E309" s="22"/>
      <c r="F309" s="22"/>
      <c r="G309"/>
      <c r="H309"/>
      <c r="I309"/>
      <c r="J309"/>
      <c r="K309"/>
      <c r="L309"/>
      <c r="M309"/>
      <c r="N309"/>
      <c r="O309"/>
      <c r="P309"/>
      <c r="Q309"/>
    </row>
    <row r="310" spans="1:17" ht="72" customHeight="1" x14ac:dyDescent="0.25">
      <c r="A310" s="22"/>
      <c r="B310" s="22"/>
      <c r="C310" s="22"/>
      <c r="D310" s="22"/>
      <c r="E310" s="22"/>
      <c r="F310" s="22"/>
      <c r="G310"/>
      <c r="H310"/>
      <c r="I310"/>
      <c r="J310"/>
      <c r="K310"/>
      <c r="L310"/>
      <c r="M310"/>
      <c r="N310"/>
      <c r="O310"/>
      <c r="P310"/>
      <c r="Q310"/>
    </row>
    <row r="311" spans="1:17" ht="72" customHeight="1" x14ac:dyDescent="0.25">
      <c r="A311" s="22"/>
      <c r="B311" s="22"/>
      <c r="C311" s="22"/>
      <c r="D311" s="22"/>
      <c r="E311" s="22"/>
      <c r="F311" s="22"/>
      <c r="G311"/>
      <c r="H311"/>
      <c r="I311"/>
      <c r="J311"/>
      <c r="K311"/>
      <c r="L311"/>
      <c r="M311"/>
      <c r="N311"/>
      <c r="O311"/>
      <c r="P311"/>
      <c r="Q311"/>
    </row>
    <row r="312" spans="1:17" ht="72" customHeight="1" x14ac:dyDescent="0.25">
      <c r="A312" s="22"/>
      <c r="B312" s="22"/>
      <c r="C312" s="22"/>
      <c r="D312" s="22"/>
      <c r="E312" s="22"/>
      <c r="F312" s="22"/>
      <c r="G312"/>
      <c r="H312"/>
      <c r="I312"/>
      <c r="J312"/>
      <c r="K312"/>
      <c r="L312"/>
      <c r="M312"/>
      <c r="N312"/>
      <c r="O312"/>
      <c r="P312"/>
      <c r="Q312"/>
    </row>
    <row r="313" spans="1:17" ht="72" customHeight="1" x14ac:dyDescent="0.25">
      <c r="A313" s="22"/>
      <c r="B313" s="22"/>
      <c r="C313" s="22"/>
      <c r="D313" s="22"/>
      <c r="E313" s="22"/>
      <c r="F313" s="22"/>
      <c r="G313"/>
      <c r="H313"/>
      <c r="I313"/>
      <c r="J313"/>
      <c r="K313"/>
      <c r="L313"/>
      <c r="M313"/>
      <c r="N313"/>
      <c r="O313"/>
      <c r="P313"/>
      <c r="Q313"/>
    </row>
    <row r="314" spans="1:17" ht="72" customHeight="1" x14ac:dyDescent="0.25">
      <c r="A314" s="22"/>
      <c r="B314" s="22"/>
      <c r="C314" s="22"/>
      <c r="D314" s="22"/>
      <c r="E314" s="22"/>
      <c r="F314" s="22"/>
      <c r="G314"/>
      <c r="H314"/>
      <c r="I314"/>
      <c r="J314"/>
      <c r="K314"/>
      <c r="L314"/>
      <c r="M314"/>
      <c r="N314"/>
      <c r="O314"/>
      <c r="P314"/>
      <c r="Q314"/>
    </row>
    <row r="315" spans="1:17" ht="72" customHeight="1" x14ac:dyDescent="0.25">
      <c r="A315" s="22"/>
      <c r="B315" s="22"/>
      <c r="C315" s="22"/>
      <c r="D315" s="22"/>
      <c r="E315" s="22"/>
      <c r="F315" s="22"/>
      <c r="G315"/>
      <c r="H315"/>
      <c r="I315"/>
      <c r="J315"/>
      <c r="K315"/>
      <c r="L315"/>
      <c r="M315"/>
      <c r="N315"/>
      <c r="O315"/>
      <c r="P315"/>
      <c r="Q315"/>
    </row>
    <row r="316" spans="1:17" ht="72" customHeight="1" x14ac:dyDescent="0.25">
      <c r="A316" s="22"/>
      <c r="B316" s="22"/>
      <c r="C316" s="22"/>
      <c r="D316" s="22"/>
      <c r="E316" s="22"/>
      <c r="F316" s="22"/>
      <c r="G316"/>
      <c r="H316"/>
      <c r="I316"/>
      <c r="J316"/>
      <c r="K316"/>
      <c r="L316"/>
      <c r="M316"/>
      <c r="N316"/>
      <c r="O316"/>
      <c r="P316"/>
      <c r="Q316"/>
    </row>
    <row r="317" spans="1:17" ht="72" customHeight="1" x14ac:dyDescent="0.25">
      <c r="A317" s="22"/>
      <c r="B317" s="22"/>
      <c r="C317" s="22"/>
      <c r="D317" s="22"/>
      <c r="E317" s="22"/>
      <c r="F317" s="22"/>
      <c r="G317"/>
      <c r="H317"/>
      <c r="I317"/>
      <c r="J317"/>
      <c r="K317"/>
      <c r="L317"/>
      <c r="M317"/>
      <c r="N317"/>
      <c r="O317"/>
      <c r="P317"/>
      <c r="Q317"/>
    </row>
    <row r="318" spans="1:17" ht="72" customHeight="1" x14ac:dyDescent="0.25">
      <c r="A318" s="22"/>
      <c r="B318" s="22"/>
      <c r="C318" s="22"/>
      <c r="D318" s="22"/>
      <c r="E318" s="22"/>
      <c r="F318" s="22"/>
      <c r="G318"/>
      <c r="H318"/>
      <c r="I318"/>
      <c r="J318"/>
      <c r="K318"/>
      <c r="L318"/>
      <c r="M318"/>
      <c r="N318"/>
      <c r="O318"/>
      <c r="P318"/>
      <c r="Q318"/>
    </row>
    <row r="319" spans="1:17" ht="72" customHeight="1" x14ac:dyDescent="0.25">
      <c r="A319" s="22"/>
      <c r="B319" s="22"/>
      <c r="C319" s="22"/>
      <c r="D319" s="22"/>
      <c r="E319" s="22"/>
      <c r="F319" s="22"/>
      <c r="G319"/>
      <c r="H319"/>
      <c r="I319"/>
      <c r="J319"/>
      <c r="K319"/>
      <c r="L319"/>
      <c r="M319"/>
      <c r="N319"/>
      <c r="O319"/>
      <c r="P319"/>
      <c r="Q319"/>
    </row>
    <row r="320" spans="1:17" ht="72" customHeight="1" x14ac:dyDescent="0.25">
      <c r="A320" s="22"/>
      <c r="B320" s="22"/>
      <c r="C320" s="22"/>
      <c r="D320" s="22"/>
      <c r="E320" s="22"/>
      <c r="F320" s="22"/>
      <c r="G320"/>
      <c r="H320"/>
      <c r="I320"/>
      <c r="J320"/>
      <c r="K320"/>
      <c r="L320"/>
      <c r="M320"/>
      <c r="N320"/>
      <c r="O320"/>
      <c r="P320"/>
      <c r="Q320"/>
    </row>
    <row r="321" spans="1:17" ht="72" customHeight="1" x14ac:dyDescent="0.25">
      <c r="A321" s="22"/>
      <c r="B321" s="22"/>
      <c r="C321" s="22"/>
      <c r="D321" s="22"/>
      <c r="E321" s="22"/>
      <c r="F321" s="22"/>
      <c r="G321"/>
      <c r="H321"/>
      <c r="I321"/>
      <c r="J321"/>
      <c r="K321"/>
      <c r="L321"/>
      <c r="M321"/>
      <c r="N321"/>
      <c r="O321"/>
      <c r="P321"/>
      <c r="Q321"/>
    </row>
    <row r="322" spans="1:17" ht="72" customHeight="1" x14ac:dyDescent="0.25">
      <c r="A322" s="22"/>
      <c r="B322" s="22"/>
      <c r="C322" s="22"/>
      <c r="D322" s="22"/>
      <c r="E322" s="22"/>
      <c r="F322" s="22"/>
      <c r="G322"/>
      <c r="H322"/>
      <c r="I322"/>
      <c r="J322"/>
      <c r="K322"/>
      <c r="L322"/>
      <c r="M322"/>
      <c r="N322"/>
      <c r="O322"/>
      <c r="P322"/>
      <c r="Q322"/>
    </row>
    <row r="323" spans="1:17" ht="72" customHeight="1" x14ac:dyDescent="0.25">
      <c r="A323" s="22"/>
      <c r="B323" s="22"/>
      <c r="C323" s="22"/>
      <c r="D323" s="22"/>
      <c r="E323" s="22"/>
      <c r="F323" s="22"/>
      <c r="G323"/>
      <c r="H323"/>
      <c r="I323"/>
      <c r="J323"/>
      <c r="K323"/>
      <c r="L323"/>
      <c r="M323"/>
      <c r="N323"/>
      <c r="O323"/>
      <c r="P323"/>
      <c r="Q323"/>
    </row>
    <row r="324" spans="1:17" ht="72" customHeight="1" x14ac:dyDescent="0.25">
      <c r="A324" s="22"/>
      <c r="B324" s="22"/>
      <c r="C324" s="22"/>
      <c r="D324" s="22"/>
      <c r="E324" s="22"/>
      <c r="F324" s="22"/>
      <c r="G324"/>
      <c r="H324"/>
      <c r="I324"/>
      <c r="J324"/>
      <c r="K324"/>
      <c r="L324"/>
      <c r="M324"/>
      <c r="N324"/>
      <c r="O324"/>
      <c r="P324"/>
      <c r="Q324"/>
    </row>
    <row r="325" spans="1:17" ht="72" customHeight="1" x14ac:dyDescent="0.25">
      <c r="A325" s="22"/>
      <c r="B325" s="22"/>
      <c r="C325" s="22"/>
      <c r="D325" s="22"/>
      <c r="E325" s="22"/>
      <c r="F325" s="22"/>
      <c r="G325"/>
      <c r="H325"/>
      <c r="I325"/>
      <c r="J325"/>
      <c r="K325"/>
      <c r="L325"/>
      <c r="M325"/>
      <c r="N325"/>
      <c r="O325"/>
      <c r="P325"/>
      <c r="Q325"/>
    </row>
    <row r="326" spans="1:17" ht="72" customHeight="1" x14ac:dyDescent="0.25">
      <c r="A326" s="22"/>
      <c r="B326" s="22"/>
      <c r="C326" s="22"/>
      <c r="D326" s="22"/>
      <c r="E326" s="22"/>
      <c r="F326" s="22"/>
      <c r="G326"/>
      <c r="H326"/>
      <c r="I326"/>
      <c r="J326"/>
      <c r="K326"/>
      <c r="L326"/>
      <c r="M326"/>
      <c r="N326"/>
      <c r="O326"/>
      <c r="P326"/>
      <c r="Q326"/>
    </row>
    <row r="327" spans="1:17" ht="72" customHeight="1" x14ac:dyDescent="0.25">
      <c r="A327" s="22"/>
      <c r="B327" s="22"/>
      <c r="C327" s="22"/>
      <c r="D327" s="22"/>
      <c r="E327" s="22"/>
      <c r="F327" s="22"/>
      <c r="G327"/>
      <c r="H327"/>
      <c r="I327"/>
      <c r="J327"/>
      <c r="K327"/>
      <c r="L327"/>
      <c r="M327"/>
      <c r="N327"/>
      <c r="O327"/>
      <c r="P327"/>
      <c r="Q327"/>
    </row>
    <row r="328" spans="1:17" ht="72" customHeight="1" x14ac:dyDescent="0.25">
      <c r="A328" s="22"/>
      <c r="B328" s="22"/>
      <c r="C328" s="22"/>
      <c r="D328" s="22"/>
      <c r="E328" s="22"/>
      <c r="F328" s="22"/>
      <c r="G328"/>
      <c r="H328"/>
      <c r="I328"/>
      <c r="J328"/>
      <c r="K328"/>
      <c r="L328"/>
      <c r="M328"/>
      <c r="N328"/>
      <c r="O328"/>
      <c r="P328"/>
      <c r="Q328"/>
    </row>
    <row r="329" spans="1:17" ht="72" customHeight="1" x14ac:dyDescent="0.25">
      <c r="A329" s="22"/>
      <c r="B329" s="22"/>
      <c r="C329" s="22"/>
      <c r="D329" s="22"/>
      <c r="E329" s="22"/>
      <c r="F329" s="22"/>
      <c r="G329"/>
      <c r="H329"/>
      <c r="I329"/>
      <c r="J329"/>
      <c r="K329"/>
      <c r="L329"/>
      <c r="M329"/>
      <c r="N329"/>
      <c r="O329"/>
      <c r="P329"/>
      <c r="Q329"/>
    </row>
    <row r="330" spans="1:17" ht="72" customHeight="1" x14ac:dyDescent="0.25">
      <c r="A330" s="22"/>
      <c r="B330" s="22"/>
      <c r="C330" s="22"/>
      <c r="D330" s="22"/>
      <c r="E330" s="22"/>
      <c r="F330" s="22"/>
      <c r="G330"/>
      <c r="H330"/>
      <c r="I330"/>
      <c r="J330"/>
      <c r="K330"/>
      <c r="L330"/>
      <c r="M330"/>
      <c r="N330"/>
      <c r="O330"/>
      <c r="P330"/>
      <c r="Q330"/>
    </row>
    <row r="331" spans="1:17" ht="72" customHeight="1" x14ac:dyDescent="0.25">
      <c r="A331" s="22"/>
      <c r="B331" s="22"/>
      <c r="C331" s="22"/>
      <c r="D331" s="22"/>
      <c r="E331" s="22"/>
      <c r="F331" s="22"/>
      <c r="G331"/>
      <c r="H331"/>
      <c r="I331"/>
      <c r="J331"/>
      <c r="K331"/>
      <c r="L331"/>
      <c r="M331"/>
      <c r="N331"/>
      <c r="O331"/>
      <c r="P331"/>
      <c r="Q331"/>
    </row>
    <row r="332" spans="1:17" ht="72" customHeight="1" x14ac:dyDescent="0.25">
      <c r="A332" s="22"/>
      <c r="B332" s="22"/>
      <c r="C332" s="22"/>
      <c r="D332" s="22"/>
      <c r="E332" s="22"/>
      <c r="F332" s="22"/>
      <c r="G332"/>
      <c r="H332"/>
      <c r="I332"/>
      <c r="J332"/>
      <c r="K332"/>
      <c r="L332"/>
      <c r="M332"/>
      <c r="N332"/>
      <c r="O332"/>
      <c r="P332"/>
      <c r="Q332"/>
    </row>
    <row r="333" spans="1:17" ht="72" customHeight="1" x14ac:dyDescent="0.25">
      <c r="A333" s="22"/>
      <c r="B333" s="22"/>
      <c r="C333" s="22"/>
      <c r="D333" s="22"/>
      <c r="E333" s="22"/>
      <c r="F333" s="22"/>
      <c r="G333"/>
      <c r="H333"/>
      <c r="I333"/>
      <c r="J333"/>
      <c r="K333"/>
      <c r="L333"/>
      <c r="M333"/>
      <c r="N333"/>
      <c r="O333"/>
      <c r="P333"/>
      <c r="Q333"/>
    </row>
    <row r="334" spans="1:17" ht="72" customHeight="1" x14ac:dyDescent="0.25">
      <c r="A334" s="22"/>
      <c r="B334" s="22"/>
      <c r="C334" s="22"/>
      <c r="D334" s="22"/>
      <c r="E334" s="22"/>
      <c r="F334" s="22"/>
      <c r="G334"/>
      <c r="H334"/>
      <c r="I334"/>
      <c r="J334"/>
      <c r="K334"/>
      <c r="L334"/>
      <c r="M334"/>
      <c r="N334"/>
      <c r="O334"/>
      <c r="P334"/>
      <c r="Q334"/>
    </row>
    <row r="335" spans="1:17" ht="72" customHeight="1" x14ac:dyDescent="0.25">
      <c r="A335" s="22"/>
      <c r="B335" s="22"/>
      <c r="C335" s="22"/>
      <c r="D335" s="22"/>
      <c r="E335" s="22"/>
      <c r="F335" s="22"/>
      <c r="G335"/>
      <c r="H335"/>
      <c r="I335"/>
      <c r="J335"/>
      <c r="K335"/>
      <c r="L335"/>
      <c r="M335"/>
      <c r="N335"/>
      <c r="O335"/>
      <c r="P335"/>
      <c r="Q335"/>
    </row>
    <row r="336" spans="1:17" ht="72" customHeight="1" x14ac:dyDescent="0.25">
      <c r="A336" s="22"/>
      <c r="B336" s="22"/>
      <c r="C336" s="22"/>
      <c r="D336" s="22"/>
      <c r="E336" s="22"/>
      <c r="F336" s="22"/>
      <c r="G336"/>
      <c r="H336"/>
      <c r="I336"/>
      <c r="J336"/>
      <c r="K336"/>
      <c r="L336"/>
      <c r="M336"/>
      <c r="N336"/>
      <c r="O336"/>
      <c r="P336"/>
      <c r="Q336"/>
    </row>
    <row r="337" spans="1:17" ht="72" customHeight="1" x14ac:dyDescent="0.25">
      <c r="A337" s="22"/>
      <c r="B337" s="22"/>
      <c r="C337" s="22"/>
      <c r="D337" s="22"/>
      <c r="E337" s="22"/>
      <c r="F337" s="22"/>
      <c r="G337"/>
      <c r="H337"/>
      <c r="I337"/>
      <c r="J337"/>
      <c r="K337"/>
      <c r="L337"/>
      <c r="M337"/>
      <c r="N337"/>
      <c r="O337"/>
      <c r="P337"/>
      <c r="Q337"/>
    </row>
    <row r="338" spans="1:17" ht="72" customHeight="1" x14ac:dyDescent="0.25">
      <c r="A338" s="22"/>
      <c r="B338" s="22"/>
      <c r="C338" s="22"/>
      <c r="D338" s="22"/>
      <c r="E338" s="22"/>
      <c r="F338" s="22"/>
      <c r="G338"/>
      <c r="H338"/>
      <c r="I338"/>
      <c r="J338"/>
      <c r="K338"/>
      <c r="L338"/>
      <c r="M338"/>
      <c r="N338"/>
      <c r="O338"/>
      <c r="P338"/>
      <c r="Q338"/>
    </row>
    <row r="339" spans="1:17" ht="72" customHeight="1" x14ac:dyDescent="0.25">
      <c r="A339" s="22"/>
      <c r="B339" s="22"/>
      <c r="C339" s="22"/>
      <c r="D339" s="22"/>
      <c r="E339" s="22"/>
      <c r="F339" s="22"/>
      <c r="G339"/>
      <c r="H339"/>
      <c r="I339"/>
      <c r="J339"/>
      <c r="K339"/>
      <c r="L339"/>
      <c r="M339"/>
      <c r="N339"/>
      <c r="O339"/>
      <c r="P339"/>
      <c r="Q339"/>
    </row>
    <row r="340" spans="1:17" ht="72" customHeight="1" x14ac:dyDescent="0.25">
      <c r="A340" s="22"/>
      <c r="B340" s="22"/>
      <c r="C340" s="22"/>
      <c r="D340" s="22"/>
      <c r="E340" s="22"/>
      <c r="F340" s="22"/>
      <c r="G340"/>
      <c r="H340"/>
      <c r="I340"/>
      <c r="J340"/>
      <c r="K340"/>
      <c r="L340"/>
      <c r="M340"/>
      <c r="N340"/>
      <c r="O340"/>
      <c r="P340"/>
      <c r="Q340"/>
    </row>
    <row r="341" spans="1:17" ht="72" customHeight="1" x14ac:dyDescent="0.25">
      <c r="A341" s="22"/>
      <c r="B341" s="22"/>
      <c r="C341" s="22"/>
      <c r="D341" s="22"/>
      <c r="E341" s="22"/>
      <c r="F341" s="22"/>
      <c r="G341"/>
      <c r="H341"/>
      <c r="I341"/>
      <c r="J341"/>
      <c r="K341"/>
      <c r="L341"/>
      <c r="M341"/>
      <c r="N341"/>
      <c r="O341"/>
      <c r="P341"/>
      <c r="Q341"/>
    </row>
    <row r="342" spans="1:17" ht="72" customHeight="1" x14ac:dyDescent="0.25">
      <c r="A342" s="22"/>
      <c r="B342" s="22"/>
      <c r="C342" s="22"/>
      <c r="D342" s="22"/>
      <c r="E342" s="22"/>
      <c r="F342" s="22"/>
      <c r="G342"/>
      <c r="H342"/>
      <c r="I342"/>
      <c r="J342"/>
      <c r="K342"/>
      <c r="L342"/>
      <c r="M342"/>
      <c r="N342"/>
      <c r="O342"/>
      <c r="P342"/>
      <c r="Q342"/>
    </row>
    <row r="343" spans="1:17" ht="72" customHeight="1" x14ac:dyDescent="0.25">
      <c r="A343" s="22"/>
      <c r="B343" s="22"/>
      <c r="C343" s="22"/>
      <c r="D343" s="22"/>
      <c r="E343" s="22"/>
      <c r="F343" s="22"/>
      <c r="G343"/>
      <c r="H343"/>
      <c r="I343"/>
      <c r="J343"/>
      <c r="K343"/>
      <c r="L343"/>
      <c r="M343"/>
      <c r="N343"/>
      <c r="O343"/>
      <c r="P343"/>
      <c r="Q343"/>
    </row>
    <row r="344" spans="1:17" ht="72" customHeight="1" x14ac:dyDescent="0.25">
      <c r="A344" s="22"/>
      <c r="B344" s="22"/>
      <c r="C344" s="22"/>
      <c r="D344" s="22"/>
      <c r="E344" s="22"/>
      <c r="F344" s="22"/>
      <c r="G344"/>
      <c r="H344"/>
      <c r="I344"/>
      <c r="J344"/>
      <c r="K344"/>
      <c r="L344"/>
      <c r="M344"/>
      <c r="N344"/>
      <c r="O344"/>
      <c r="P344"/>
      <c r="Q344"/>
    </row>
    <row r="345" spans="1:17" ht="72" customHeight="1" x14ac:dyDescent="0.25">
      <c r="A345" s="22"/>
      <c r="B345" s="22"/>
      <c r="C345" s="22"/>
      <c r="D345" s="22"/>
      <c r="E345" s="22"/>
      <c r="F345" s="22"/>
      <c r="G345"/>
      <c r="H345"/>
      <c r="I345"/>
      <c r="J345"/>
      <c r="K345"/>
      <c r="L345"/>
      <c r="M345"/>
      <c r="N345"/>
      <c r="O345"/>
      <c r="P345"/>
      <c r="Q345"/>
    </row>
    <row r="346" spans="1:17" ht="72" customHeight="1" x14ac:dyDescent="0.25">
      <c r="A346" s="22"/>
      <c r="B346" s="22"/>
      <c r="C346" s="22"/>
      <c r="D346" s="22"/>
      <c r="E346" s="22"/>
      <c r="F346" s="22"/>
      <c r="G346"/>
      <c r="H346"/>
      <c r="I346"/>
      <c r="J346"/>
      <c r="K346"/>
      <c r="L346"/>
      <c r="M346"/>
      <c r="N346"/>
      <c r="O346"/>
      <c r="P346"/>
      <c r="Q346"/>
    </row>
    <row r="347" spans="1:17" ht="72" customHeight="1" x14ac:dyDescent="0.25">
      <c r="A347" s="22"/>
      <c r="B347" s="22"/>
      <c r="C347" s="22"/>
      <c r="D347" s="22"/>
      <c r="E347" s="22"/>
      <c r="F347" s="22"/>
      <c r="G347"/>
      <c r="H347"/>
      <c r="I347"/>
      <c r="J347"/>
      <c r="K347"/>
      <c r="L347"/>
      <c r="M347"/>
      <c r="N347"/>
      <c r="O347"/>
      <c r="P347"/>
      <c r="Q347"/>
    </row>
    <row r="348" spans="1:17" ht="72" customHeight="1" x14ac:dyDescent="0.25">
      <c r="A348" s="22"/>
      <c r="B348" s="22"/>
      <c r="C348" s="22"/>
      <c r="D348" s="22"/>
      <c r="E348" s="22"/>
      <c r="F348" s="22"/>
      <c r="G348"/>
      <c r="H348"/>
      <c r="I348"/>
      <c r="J348"/>
      <c r="K348"/>
      <c r="L348"/>
      <c r="M348"/>
      <c r="N348"/>
      <c r="O348"/>
      <c r="P348"/>
      <c r="Q348"/>
    </row>
    <row r="349" spans="1:17" ht="72" customHeight="1" x14ac:dyDescent="0.25">
      <c r="A349" s="22"/>
      <c r="B349" s="22"/>
      <c r="C349" s="22"/>
      <c r="D349" s="22"/>
      <c r="E349" s="22"/>
      <c r="F349" s="22"/>
      <c r="G349"/>
      <c r="H349"/>
      <c r="I349"/>
      <c r="J349"/>
      <c r="K349"/>
      <c r="L349"/>
      <c r="M349"/>
      <c r="N349"/>
      <c r="O349"/>
      <c r="P349"/>
      <c r="Q349"/>
    </row>
    <row r="350" spans="1:17" ht="72" customHeight="1" x14ac:dyDescent="0.25">
      <c r="A350" s="22"/>
      <c r="B350" s="22"/>
      <c r="C350" s="22"/>
      <c r="D350" s="22"/>
      <c r="E350" s="22"/>
      <c r="F350" s="22"/>
      <c r="G350"/>
      <c r="H350"/>
      <c r="I350"/>
      <c r="J350"/>
      <c r="K350"/>
      <c r="L350"/>
      <c r="M350"/>
      <c r="N350"/>
      <c r="O350"/>
      <c r="P350"/>
      <c r="Q350"/>
    </row>
    <row r="351" spans="1:17" ht="72" customHeight="1" x14ac:dyDescent="0.25">
      <c r="A351" s="22"/>
      <c r="B351" s="22"/>
      <c r="C351" s="22"/>
      <c r="D351" s="22"/>
      <c r="E351" s="22"/>
      <c r="F351" s="22"/>
      <c r="G351"/>
      <c r="H351"/>
      <c r="I351"/>
      <c r="J351"/>
      <c r="K351"/>
      <c r="L351"/>
      <c r="M351"/>
      <c r="N351"/>
      <c r="O351"/>
      <c r="P351"/>
      <c r="Q351"/>
    </row>
    <row r="352" spans="1:17" ht="72" customHeight="1" x14ac:dyDescent="0.25">
      <c r="A352" s="22"/>
      <c r="B352" s="22"/>
      <c r="C352" s="22"/>
      <c r="D352" s="22"/>
      <c r="E352" s="22"/>
      <c r="F352" s="22"/>
      <c r="G352"/>
      <c r="H352"/>
      <c r="I352"/>
      <c r="J352"/>
      <c r="K352"/>
      <c r="L352"/>
      <c r="M352"/>
      <c r="N352"/>
      <c r="O352"/>
      <c r="P352"/>
      <c r="Q352"/>
    </row>
    <row r="353" spans="1:17" ht="72" customHeight="1" x14ac:dyDescent="0.25">
      <c r="A353" s="22"/>
      <c r="B353" s="22"/>
      <c r="C353" s="22"/>
      <c r="D353" s="22"/>
      <c r="E353" s="22"/>
      <c r="F353" s="22"/>
      <c r="G353"/>
      <c r="H353"/>
      <c r="I353"/>
      <c r="J353"/>
      <c r="K353"/>
      <c r="L353"/>
      <c r="M353"/>
      <c r="N353"/>
      <c r="O353"/>
      <c r="P353"/>
      <c r="Q353"/>
    </row>
    <row r="354" spans="1:17" ht="72" customHeight="1" x14ac:dyDescent="0.25">
      <c r="A354" s="22"/>
      <c r="B354" s="22"/>
      <c r="C354" s="22"/>
      <c r="D354" s="22"/>
      <c r="E354" s="22"/>
      <c r="F354" s="22"/>
      <c r="G354"/>
      <c r="H354"/>
      <c r="I354"/>
      <c r="J354"/>
      <c r="K354"/>
      <c r="L354"/>
      <c r="M354"/>
      <c r="N354"/>
      <c r="O354"/>
      <c r="P354"/>
      <c r="Q354"/>
    </row>
    <row r="355" spans="1:17" ht="72" customHeight="1" x14ac:dyDescent="0.25">
      <c r="A355" s="22"/>
      <c r="B355" s="22"/>
      <c r="C355" s="22"/>
      <c r="D355" s="22"/>
      <c r="E355" s="22"/>
      <c r="F355" s="22"/>
      <c r="G355"/>
      <c r="H355"/>
      <c r="I355"/>
      <c r="J355"/>
      <c r="K355"/>
      <c r="L355"/>
      <c r="M355"/>
      <c r="N355"/>
      <c r="O355"/>
      <c r="P355"/>
      <c r="Q355"/>
    </row>
    <row r="356" spans="1:17" ht="72" customHeight="1" x14ac:dyDescent="0.25">
      <c r="A356" s="22"/>
      <c r="B356" s="22"/>
      <c r="C356" s="22"/>
      <c r="D356" s="22"/>
      <c r="E356" s="22"/>
      <c r="F356" s="22"/>
      <c r="G356"/>
      <c r="H356"/>
      <c r="I356"/>
      <c r="J356"/>
      <c r="K356"/>
      <c r="L356"/>
      <c r="M356"/>
      <c r="N356"/>
      <c r="O356"/>
      <c r="P356"/>
      <c r="Q356"/>
    </row>
    <row r="357" spans="1:17" ht="72" customHeight="1" x14ac:dyDescent="0.25">
      <c r="A357" s="22"/>
      <c r="B357" s="22"/>
      <c r="C357" s="22"/>
      <c r="D357" s="22"/>
      <c r="E357" s="22"/>
      <c r="F357" s="22"/>
      <c r="G357"/>
      <c r="H357"/>
      <c r="I357"/>
      <c r="J357"/>
      <c r="K357"/>
      <c r="L357"/>
      <c r="M357"/>
      <c r="N357"/>
      <c r="O357"/>
      <c r="P357"/>
      <c r="Q357"/>
    </row>
    <row r="358" spans="1:17" ht="72" customHeight="1" x14ac:dyDescent="0.25">
      <c r="A358" s="22"/>
      <c r="B358" s="22"/>
      <c r="C358" s="22"/>
      <c r="D358" s="22"/>
      <c r="E358" s="22"/>
      <c r="F358" s="22"/>
      <c r="G358"/>
      <c r="H358"/>
      <c r="I358"/>
      <c r="J358"/>
      <c r="K358"/>
      <c r="L358"/>
      <c r="M358"/>
      <c r="N358"/>
      <c r="O358"/>
      <c r="P358"/>
      <c r="Q358"/>
    </row>
    <row r="359" spans="1:17" ht="72" customHeight="1" x14ac:dyDescent="0.25">
      <c r="A359" s="22"/>
      <c r="B359" s="22"/>
      <c r="C359" s="22"/>
      <c r="D359" s="22"/>
      <c r="E359" s="22"/>
      <c r="F359" s="22"/>
      <c r="G359"/>
      <c r="H359"/>
      <c r="I359"/>
      <c r="J359"/>
      <c r="K359"/>
      <c r="L359"/>
      <c r="M359"/>
      <c r="N359"/>
      <c r="O359"/>
      <c r="P359"/>
      <c r="Q359"/>
    </row>
    <row r="360" spans="1:17" ht="72" customHeight="1" x14ac:dyDescent="0.25">
      <c r="A360" s="22"/>
      <c r="B360" s="22"/>
      <c r="C360" s="22"/>
      <c r="D360" s="22"/>
      <c r="E360" s="22"/>
      <c r="F360" s="22"/>
      <c r="G360"/>
      <c r="H360"/>
      <c r="I360"/>
      <c r="J360"/>
      <c r="K360"/>
      <c r="L360"/>
      <c r="M360"/>
      <c r="N360"/>
      <c r="O360"/>
      <c r="P360"/>
      <c r="Q360"/>
    </row>
    <row r="361" spans="1:17" ht="72" customHeight="1" x14ac:dyDescent="0.25">
      <c r="A361" s="22"/>
      <c r="B361" s="22"/>
      <c r="C361" s="22"/>
      <c r="D361" s="22"/>
      <c r="E361" s="22"/>
      <c r="F361" s="22"/>
      <c r="G361"/>
      <c r="H361"/>
      <c r="I361"/>
      <c r="J361"/>
      <c r="K361"/>
      <c r="L361"/>
      <c r="M361"/>
      <c r="N361"/>
      <c r="O361"/>
      <c r="P361"/>
      <c r="Q361"/>
    </row>
    <row r="362" spans="1:17" ht="72" customHeight="1" x14ac:dyDescent="0.25">
      <c r="A362" s="22"/>
      <c r="B362" s="22"/>
      <c r="C362" s="22"/>
      <c r="D362" s="22"/>
      <c r="E362" s="22"/>
      <c r="F362" s="22"/>
      <c r="G362"/>
      <c r="H362"/>
      <c r="I362"/>
      <c r="J362"/>
      <c r="K362"/>
      <c r="L362"/>
      <c r="M362"/>
      <c r="N362"/>
      <c r="O362"/>
      <c r="P362"/>
      <c r="Q362"/>
    </row>
    <row r="363" spans="1:17" ht="72" customHeight="1" x14ac:dyDescent="0.25">
      <c r="A363" s="22"/>
      <c r="B363" s="22"/>
      <c r="C363" s="22"/>
      <c r="D363" s="22"/>
      <c r="E363" s="22"/>
      <c r="F363" s="22"/>
      <c r="G363"/>
      <c r="H363"/>
      <c r="I363"/>
      <c r="J363"/>
      <c r="K363"/>
      <c r="L363"/>
      <c r="M363"/>
      <c r="N363"/>
      <c r="O363"/>
      <c r="P363"/>
      <c r="Q363"/>
    </row>
    <row r="364" spans="1:17" ht="72" customHeight="1" x14ac:dyDescent="0.25">
      <c r="A364" s="22"/>
      <c r="B364" s="22"/>
      <c r="C364" s="22"/>
      <c r="D364" s="22"/>
      <c r="E364" s="22"/>
      <c r="F364" s="22"/>
      <c r="G364"/>
      <c r="H364"/>
      <c r="I364"/>
      <c r="J364"/>
      <c r="K364"/>
      <c r="L364"/>
      <c r="M364"/>
      <c r="N364"/>
      <c r="O364"/>
      <c r="P364"/>
      <c r="Q364"/>
    </row>
    <row r="365" spans="1:17" ht="72" customHeight="1" x14ac:dyDescent="0.25">
      <c r="A365" s="22"/>
      <c r="B365" s="22"/>
      <c r="C365" s="22"/>
      <c r="D365" s="22"/>
      <c r="E365" s="22"/>
      <c r="F365" s="22"/>
      <c r="G365"/>
      <c r="H365"/>
      <c r="I365"/>
      <c r="J365"/>
      <c r="K365"/>
      <c r="L365"/>
      <c r="M365"/>
      <c r="N365"/>
      <c r="O365"/>
      <c r="P365"/>
      <c r="Q365"/>
    </row>
    <row r="366" spans="1:17" ht="72" customHeight="1" x14ac:dyDescent="0.25">
      <c r="A366" s="22"/>
      <c r="B366" s="22"/>
      <c r="C366" s="22"/>
      <c r="D366" s="22"/>
      <c r="E366" s="22"/>
      <c r="F366" s="22"/>
      <c r="G366"/>
      <c r="H366"/>
      <c r="I366"/>
      <c r="J366"/>
      <c r="K366"/>
      <c r="L366"/>
      <c r="M366"/>
      <c r="N366"/>
      <c r="O366"/>
      <c r="P366"/>
      <c r="Q366"/>
    </row>
    <row r="367" spans="1:17" ht="72" customHeight="1" x14ac:dyDescent="0.25">
      <c r="A367" s="22"/>
      <c r="B367" s="22"/>
      <c r="C367" s="22"/>
      <c r="D367" s="22"/>
      <c r="E367" s="22"/>
      <c r="F367" s="22"/>
      <c r="G367"/>
      <c r="H367"/>
      <c r="I367"/>
      <c r="J367"/>
      <c r="K367"/>
      <c r="L367"/>
      <c r="M367"/>
      <c r="N367"/>
      <c r="O367"/>
      <c r="P367"/>
      <c r="Q367"/>
    </row>
    <row r="368" spans="1:17" ht="72" customHeight="1" x14ac:dyDescent="0.25">
      <c r="A368" s="22"/>
      <c r="B368" s="22"/>
      <c r="C368" s="22"/>
      <c r="D368" s="22"/>
      <c r="E368" s="22"/>
      <c r="F368" s="22"/>
      <c r="G368"/>
      <c r="H368"/>
      <c r="I368"/>
      <c r="J368"/>
      <c r="K368"/>
      <c r="L368"/>
      <c r="M368"/>
      <c r="N368"/>
      <c r="O368"/>
      <c r="P368"/>
      <c r="Q368"/>
    </row>
    <row r="369" spans="1:17" ht="72" customHeight="1" x14ac:dyDescent="0.25">
      <c r="A369" s="22"/>
      <c r="B369" s="22"/>
      <c r="C369" s="22"/>
      <c r="D369" s="22"/>
      <c r="E369" s="22"/>
      <c r="F369" s="22"/>
      <c r="G369"/>
      <c r="H369"/>
      <c r="I369"/>
      <c r="J369"/>
      <c r="K369"/>
      <c r="L369"/>
      <c r="M369"/>
      <c r="N369"/>
      <c r="O369"/>
      <c r="P369"/>
      <c r="Q369"/>
    </row>
    <row r="370" spans="1:17" ht="72" customHeight="1" x14ac:dyDescent="0.25">
      <c r="A370" s="22"/>
      <c r="B370" s="22"/>
      <c r="C370" s="22"/>
      <c r="D370" s="22"/>
      <c r="E370" s="22"/>
      <c r="F370" s="22"/>
      <c r="G370"/>
      <c r="H370"/>
      <c r="I370"/>
      <c r="J370"/>
      <c r="K370"/>
      <c r="L370"/>
      <c r="M370"/>
      <c r="N370"/>
      <c r="O370"/>
      <c r="P370"/>
      <c r="Q370"/>
    </row>
    <row r="371" spans="1:17" ht="72" customHeight="1" x14ac:dyDescent="0.25">
      <c r="A371" s="22"/>
      <c r="B371" s="22"/>
      <c r="C371" s="22"/>
      <c r="D371" s="22"/>
      <c r="E371" s="22"/>
      <c r="F371" s="22"/>
      <c r="G371"/>
      <c r="H371"/>
      <c r="I371"/>
      <c r="J371"/>
      <c r="K371"/>
      <c r="L371"/>
      <c r="M371"/>
      <c r="N371"/>
      <c r="O371"/>
      <c r="P371"/>
      <c r="Q371"/>
    </row>
    <row r="372" spans="1:17" ht="72" customHeight="1" x14ac:dyDescent="0.25">
      <c r="A372" s="22"/>
      <c r="B372" s="22"/>
      <c r="C372" s="22"/>
      <c r="D372" s="22"/>
      <c r="E372" s="22"/>
      <c r="F372" s="22"/>
      <c r="G372"/>
      <c r="H372"/>
      <c r="I372"/>
      <c r="J372"/>
      <c r="K372"/>
      <c r="L372"/>
      <c r="M372"/>
      <c r="N372"/>
      <c r="O372"/>
      <c r="P372"/>
      <c r="Q372"/>
    </row>
    <row r="373" spans="1:17" ht="72" customHeight="1" x14ac:dyDescent="0.25">
      <c r="A373" s="22"/>
      <c r="B373" s="22"/>
      <c r="C373" s="22"/>
      <c r="D373" s="22"/>
      <c r="E373" s="22"/>
      <c r="F373" s="22"/>
      <c r="G373"/>
      <c r="H373"/>
      <c r="I373"/>
      <c r="J373"/>
      <c r="K373"/>
      <c r="L373"/>
      <c r="M373"/>
      <c r="N373"/>
      <c r="O373"/>
      <c r="P373"/>
      <c r="Q373"/>
    </row>
    <row r="374" spans="1:17" ht="72" customHeight="1" x14ac:dyDescent="0.25">
      <c r="A374" s="22"/>
      <c r="B374" s="22"/>
      <c r="C374" s="22"/>
      <c r="D374" s="22"/>
      <c r="E374" s="22"/>
      <c r="F374" s="22"/>
      <c r="G374"/>
      <c r="H374"/>
      <c r="I374"/>
      <c r="J374"/>
      <c r="K374"/>
      <c r="L374"/>
      <c r="M374"/>
      <c r="N374"/>
      <c r="O374"/>
      <c r="P374"/>
      <c r="Q374"/>
    </row>
    <row r="375" spans="1:17" ht="72" customHeight="1" x14ac:dyDescent="0.25">
      <c r="A375" s="22"/>
      <c r="B375" s="22"/>
      <c r="C375" s="22"/>
      <c r="D375" s="22"/>
      <c r="E375" s="22"/>
      <c r="F375" s="22"/>
      <c r="G375"/>
      <c r="H375"/>
      <c r="I375"/>
      <c r="J375"/>
      <c r="K375"/>
      <c r="L375"/>
      <c r="M375"/>
      <c r="N375"/>
      <c r="O375"/>
      <c r="P375"/>
      <c r="Q375"/>
    </row>
    <row r="376" spans="1:17" ht="72" customHeight="1" x14ac:dyDescent="0.25">
      <c r="A376" s="22"/>
      <c r="B376" s="22"/>
      <c r="C376" s="22"/>
      <c r="D376" s="22"/>
      <c r="E376" s="22"/>
      <c r="F376" s="22"/>
      <c r="G376"/>
      <c r="H376"/>
      <c r="I376"/>
      <c r="J376"/>
      <c r="K376"/>
      <c r="L376"/>
      <c r="M376"/>
      <c r="N376"/>
      <c r="O376"/>
      <c r="P376"/>
      <c r="Q376"/>
    </row>
    <row r="377" spans="1:17" ht="72" customHeight="1" x14ac:dyDescent="0.25">
      <c r="A377" s="22"/>
      <c r="B377" s="22"/>
      <c r="C377" s="22"/>
      <c r="D377" s="22"/>
      <c r="E377" s="22"/>
      <c r="F377" s="22"/>
      <c r="G377"/>
      <c r="H377"/>
      <c r="I377"/>
      <c r="J377"/>
      <c r="K377"/>
      <c r="L377"/>
      <c r="M377"/>
      <c r="N377"/>
      <c r="O377"/>
      <c r="P377"/>
      <c r="Q377"/>
    </row>
    <row r="378" spans="1:17" ht="72" customHeight="1" x14ac:dyDescent="0.25">
      <c r="A378" s="22"/>
      <c r="B378" s="22"/>
      <c r="C378" s="22"/>
      <c r="D378" s="22"/>
      <c r="E378" s="22"/>
      <c r="F378" s="22"/>
      <c r="G378"/>
      <c r="H378"/>
      <c r="I378"/>
      <c r="J378"/>
      <c r="K378"/>
      <c r="L378"/>
      <c r="M378"/>
      <c r="N378"/>
      <c r="O378"/>
      <c r="P378"/>
      <c r="Q378"/>
    </row>
    <row r="379" spans="1:17" ht="72" customHeight="1" x14ac:dyDescent="0.25">
      <c r="A379" s="22"/>
      <c r="B379" s="22"/>
      <c r="C379" s="22"/>
      <c r="D379" s="22"/>
      <c r="E379" s="22"/>
      <c r="F379" s="22"/>
      <c r="G379"/>
      <c r="H379"/>
      <c r="I379"/>
      <c r="J379"/>
      <c r="K379"/>
      <c r="L379"/>
      <c r="M379"/>
      <c r="N379"/>
      <c r="O379"/>
      <c r="P379"/>
      <c r="Q379"/>
    </row>
    <row r="380" spans="1:17" ht="72" customHeight="1" x14ac:dyDescent="0.25">
      <c r="A380" s="22"/>
      <c r="B380" s="22"/>
      <c r="C380" s="22"/>
      <c r="D380" s="22"/>
      <c r="E380" s="22"/>
      <c r="F380" s="22"/>
      <c r="G380"/>
      <c r="H380"/>
      <c r="I380"/>
      <c r="J380"/>
      <c r="K380"/>
      <c r="L380"/>
      <c r="M380"/>
      <c r="N380"/>
      <c r="O380"/>
      <c r="P380"/>
      <c r="Q380"/>
    </row>
    <row r="381" spans="1:17" ht="72" customHeight="1" x14ac:dyDescent="0.25">
      <c r="A381" s="22"/>
      <c r="B381" s="22"/>
      <c r="C381" s="22"/>
      <c r="D381" s="22"/>
      <c r="E381" s="22"/>
      <c r="F381" s="22"/>
      <c r="G381"/>
      <c r="H381"/>
      <c r="I381"/>
      <c r="J381"/>
      <c r="K381"/>
      <c r="L381"/>
      <c r="M381"/>
      <c r="N381"/>
      <c r="O381"/>
      <c r="P381"/>
      <c r="Q381"/>
    </row>
    <row r="382" spans="1:17" ht="72" customHeight="1" x14ac:dyDescent="0.25">
      <c r="A382" s="22"/>
      <c r="B382" s="22"/>
      <c r="C382" s="22"/>
      <c r="D382" s="22"/>
      <c r="E382" s="22"/>
      <c r="F382" s="22"/>
      <c r="G382"/>
      <c r="H382"/>
      <c r="I382"/>
      <c r="J382"/>
      <c r="K382"/>
      <c r="L382"/>
      <c r="M382"/>
      <c r="N382"/>
      <c r="O382"/>
      <c r="P382"/>
      <c r="Q382"/>
    </row>
    <row r="383" spans="1:17" ht="72" customHeight="1" x14ac:dyDescent="0.25">
      <c r="A383" s="22"/>
      <c r="B383" s="22"/>
      <c r="C383" s="22"/>
      <c r="D383" s="22"/>
      <c r="E383" s="22"/>
      <c r="F383" s="22"/>
      <c r="G383"/>
      <c r="H383"/>
      <c r="I383"/>
      <c r="J383"/>
      <c r="K383"/>
      <c r="L383"/>
      <c r="M383"/>
      <c r="N383"/>
      <c r="O383"/>
      <c r="P383"/>
      <c r="Q383"/>
    </row>
    <row r="384" spans="1:17" ht="72" customHeight="1" x14ac:dyDescent="0.25">
      <c r="A384" s="22"/>
      <c r="B384" s="22"/>
      <c r="C384" s="22"/>
      <c r="D384" s="22"/>
      <c r="E384" s="22"/>
      <c r="F384" s="22"/>
      <c r="G384"/>
      <c r="H384"/>
      <c r="I384"/>
      <c r="J384"/>
      <c r="K384"/>
      <c r="L384"/>
      <c r="M384"/>
      <c r="N384"/>
      <c r="O384"/>
      <c r="P384"/>
      <c r="Q384"/>
    </row>
    <row r="385" spans="1:17" ht="72" customHeight="1" x14ac:dyDescent="0.25">
      <c r="A385" s="22"/>
      <c r="B385" s="22"/>
      <c r="C385" s="22"/>
      <c r="D385" s="22"/>
      <c r="E385" s="22"/>
      <c r="F385" s="22"/>
      <c r="G385"/>
      <c r="H385"/>
      <c r="I385"/>
      <c r="J385"/>
      <c r="K385"/>
      <c r="L385"/>
      <c r="M385"/>
      <c r="N385"/>
      <c r="O385"/>
      <c r="P385"/>
      <c r="Q385"/>
    </row>
    <row r="386" spans="1:17" ht="72" customHeight="1" x14ac:dyDescent="0.25">
      <c r="A386" s="22"/>
      <c r="B386" s="22"/>
      <c r="C386" s="22"/>
      <c r="D386" s="22"/>
      <c r="E386" s="22"/>
      <c r="F386" s="22"/>
      <c r="G386"/>
      <c r="H386"/>
      <c r="I386"/>
      <c r="J386"/>
      <c r="K386"/>
      <c r="L386"/>
      <c r="M386"/>
      <c r="N386"/>
      <c r="O386"/>
      <c r="P386"/>
      <c r="Q386"/>
    </row>
    <row r="387" spans="1:17" ht="72" customHeight="1" x14ac:dyDescent="0.25">
      <c r="A387" s="22"/>
      <c r="B387" s="22"/>
      <c r="C387" s="22"/>
      <c r="D387" s="22"/>
      <c r="E387" s="22"/>
      <c r="F387" s="22"/>
      <c r="G387"/>
      <c r="H387"/>
      <c r="I387"/>
      <c r="J387"/>
      <c r="K387"/>
      <c r="L387"/>
      <c r="M387"/>
      <c r="N387"/>
      <c r="O387"/>
      <c r="P387"/>
      <c r="Q387"/>
    </row>
    <row r="388" spans="1:17" ht="72" customHeight="1" x14ac:dyDescent="0.25">
      <c r="A388" s="22"/>
      <c r="B388" s="22"/>
      <c r="C388" s="22"/>
      <c r="D388" s="22"/>
      <c r="E388" s="22"/>
      <c r="F388" s="22"/>
      <c r="G388"/>
      <c r="H388"/>
      <c r="I388"/>
      <c r="J388"/>
      <c r="K388"/>
      <c r="L388"/>
      <c r="M388"/>
      <c r="N388"/>
      <c r="O388"/>
      <c r="P388"/>
      <c r="Q388"/>
    </row>
    <row r="389" spans="1:17" ht="72" customHeight="1" x14ac:dyDescent="0.25">
      <c r="A389" s="22"/>
      <c r="B389" s="22"/>
      <c r="C389" s="22"/>
      <c r="D389" s="22"/>
      <c r="E389" s="22"/>
      <c r="F389" s="22"/>
      <c r="G389"/>
      <c r="H389"/>
      <c r="I389"/>
      <c r="J389"/>
      <c r="K389"/>
      <c r="L389"/>
      <c r="M389"/>
      <c r="N389"/>
      <c r="O389"/>
      <c r="P389"/>
      <c r="Q389"/>
    </row>
    <row r="390" spans="1:17" ht="72" customHeight="1" x14ac:dyDescent="0.25">
      <c r="A390" s="22"/>
      <c r="B390" s="22"/>
      <c r="C390" s="22"/>
      <c r="D390" s="22"/>
      <c r="E390" s="22"/>
      <c r="F390" s="22"/>
      <c r="G390"/>
      <c r="H390"/>
      <c r="I390"/>
      <c r="J390"/>
      <c r="K390"/>
      <c r="L390"/>
      <c r="M390"/>
      <c r="N390"/>
      <c r="O390"/>
      <c r="P390"/>
      <c r="Q390"/>
    </row>
    <row r="391" spans="1:17" ht="72" customHeight="1" x14ac:dyDescent="0.25">
      <c r="A391" s="22"/>
      <c r="B391" s="22"/>
      <c r="C391" s="22"/>
      <c r="D391" s="22"/>
      <c r="E391" s="22"/>
      <c r="F391" s="22"/>
      <c r="G391"/>
      <c r="H391"/>
      <c r="I391"/>
      <c r="J391"/>
      <c r="K391"/>
      <c r="L391"/>
      <c r="M391"/>
      <c r="N391"/>
      <c r="O391"/>
      <c r="P391"/>
      <c r="Q391"/>
    </row>
    <row r="392" spans="1:17" ht="72" customHeight="1" x14ac:dyDescent="0.25">
      <c r="A392" s="22"/>
      <c r="B392" s="22"/>
      <c r="C392" s="22"/>
      <c r="D392" s="22"/>
      <c r="E392" s="22"/>
      <c r="F392" s="22"/>
      <c r="G392"/>
      <c r="H392"/>
      <c r="I392"/>
      <c r="J392"/>
      <c r="K392"/>
      <c r="L392"/>
      <c r="M392"/>
      <c r="N392"/>
      <c r="O392"/>
      <c r="P392"/>
      <c r="Q392"/>
    </row>
    <row r="393" spans="1:17" ht="72" customHeight="1" x14ac:dyDescent="0.25">
      <c r="A393" s="22"/>
      <c r="B393" s="22"/>
      <c r="C393" s="22"/>
      <c r="D393" s="22"/>
      <c r="E393" s="22"/>
      <c r="F393" s="22"/>
      <c r="G393"/>
      <c r="H393"/>
      <c r="I393"/>
      <c r="J393"/>
      <c r="K393"/>
      <c r="L393"/>
      <c r="M393"/>
      <c r="N393"/>
      <c r="O393"/>
      <c r="P393"/>
      <c r="Q393"/>
    </row>
    <row r="394" spans="1:17" ht="72" customHeight="1" x14ac:dyDescent="0.25">
      <c r="A394" s="22"/>
      <c r="B394" s="22"/>
      <c r="C394" s="22"/>
      <c r="D394" s="22"/>
      <c r="E394" s="22"/>
      <c r="F394" s="22"/>
      <c r="G394"/>
      <c r="H394"/>
      <c r="I394"/>
      <c r="J394"/>
      <c r="K394"/>
      <c r="L394"/>
      <c r="M394"/>
      <c r="N394"/>
      <c r="O394"/>
      <c r="P394"/>
      <c r="Q394"/>
    </row>
    <row r="395" spans="1:17" ht="72" customHeight="1" x14ac:dyDescent="0.25">
      <c r="A395" s="22"/>
      <c r="B395" s="22"/>
      <c r="C395" s="22"/>
      <c r="D395" s="22"/>
      <c r="E395" s="22"/>
      <c r="F395" s="22"/>
      <c r="G395"/>
      <c r="H395"/>
      <c r="I395"/>
      <c r="J395"/>
      <c r="K395"/>
      <c r="L395"/>
      <c r="M395"/>
      <c r="N395"/>
      <c r="O395"/>
      <c r="P395"/>
      <c r="Q395"/>
    </row>
    <row r="396" spans="1:17" ht="72" customHeight="1" x14ac:dyDescent="0.25">
      <c r="A396" s="22"/>
      <c r="B396" s="22"/>
      <c r="C396" s="22"/>
      <c r="D396" s="22"/>
      <c r="E396" s="22"/>
      <c r="F396" s="22"/>
      <c r="G396"/>
      <c r="H396"/>
      <c r="I396"/>
      <c r="J396"/>
      <c r="K396"/>
      <c r="L396"/>
      <c r="M396"/>
      <c r="N396"/>
      <c r="O396"/>
      <c r="P396"/>
      <c r="Q396"/>
    </row>
    <row r="397" spans="1:17" ht="72" customHeight="1" x14ac:dyDescent="0.25">
      <c r="A397" s="22"/>
      <c r="B397" s="22"/>
      <c r="C397" s="22"/>
      <c r="D397" s="22"/>
      <c r="E397" s="22"/>
      <c r="F397" s="22"/>
      <c r="G397"/>
      <c r="H397"/>
      <c r="I397"/>
      <c r="J397"/>
      <c r="K397"/>
      <c r="L397"/>
      <c r="M397"/>
      <c r="N397"/>
      <c r="O397"/>
      <c r="P397"/>
      <c r="Q397"/>
    </row>
    <row r="398" spans="1:17" ht="72" customHeight="1" x14ac:dyDescent="0.25">
      <c r="A398" s="22"/>
      <c r="B398" s="22"/>
      <c r="C398" s="22"/>
      <c r="D398" s="22"/>
      <c r="E398" s="22"/>
      <c r="F398" s="22"/>
      <c r="G398"/>
      <c r="H398"/>
      <c r="I398"/>
      <c r="J398"/>
      <c r="K398"/>
      <c r="L398"/>
      <c r="M398"/>
      <c r="N398"/>
      <c r="O398"/>
      <c r="P398"/>
      <c r="Q398"/>
    </row>
    <row r="399" spans="1:17" ht="72" customHeight="1" x14ac:dyDescent="0.25">
      <c r="A399" s="22"/>
      <c r="B399" s="22"/>
      <c r="C399" s="22"/>
      <c r="D399" s="22"/>
      <c r="E399" s="22"/>
      <c r="F399" s="22"/>
      <c r="G399"/>
      <c r="H399"/>
      <c r="I399"/>
      <c r="J399"/>
      <c r="K399"/>
      <c r="L399"/>
      <c r="M399"/>
      <c r="N399"/>
      <c r="O399"/>
      <c r="P399"/>
      <c r="Q399"/>
    </row>
    <row r="400" spans="1:17" ht="72" customHeight="1" x14ac:dyDescent="0.25">
      <c r="A400" s="22"/>
      <c r="B400" s="22"/>
      <c r="C400" s="22"/>
      <c r="D400" s="22"/>
      <c r="E400" s="22"/>
      <c r="F400" s="22"/>
      <c r="G400"/>
      <c r="H400"/>
      <c r="I400"/>
      <c r="J400"/>
      <c r="K400"/>
      <c r="L400"/>
      <c r="M400"/>
      <c r="N400"/>
      <c r="O400"/>
      <c r="P400"/>
      <c r="Q400"/>
    </row>
    <row r="401" spans="1:17" ht="72" customHeight="1" x14ac:dyDescent="0.25">
      <c r="A401" s="22"/>
      <c r="B401" s="22"/>
      <c r="C401" s="22"/>
      <c r="D401" s="22"/>
      <c r="E401" s="22"/>
      <c r="F401" s="22"/>
      <c r="G401"/>
      <c r="H401"/>
      <c r="I401"/>
      <c r="J401"/>
      <c r="K401"/>
      <c r="L401"/>
      <c r="M401"/>
      <c r="N401"/>
      <c r="O401"/>
      <c r="P401"/>
      <c r="Q401"/>
    </row>
    <row r="402" spans="1:17" ht="72" customHeight="1" x14ac:dyDescent="0.25">
      <c r="A402" s="22"/>
      <c r="B402" s="22"/>
      <c r="C402" s="22"/>
      <c r="D402" s="22"/>
      <c r="E402" s="22"/>
      <c r="F402" s="22"/>
      <c r="G402"/>
      <c r="H402"/>
      <c r="I402"/>
      <c r="J402"/>
      <c r="K402"/>
      <c r="L402"/>
      <c r="M402"/>
      <c r="N402"/>
      <c r="O402"/>
      <c r="P402"/>
      <c r="Q402"/>
    </row>
    <row r="403" spans="1:17" ht="72" customHeight="1" x14ac:dyDescent="0.25">
      <c r="A403" s="22"/>
      <c r="B403" s="22"/>
      <c r="C403" s="22"/>
      <c r="D403" s="22"/>
      <c r="E403" s="22"/>
      <c r="F403" s="22"/>
      <c r="G403"/>
      <c r="H403"/>
      <c r="I403"/>
      <c r="J403"/>
      <c r="K403"/>
      <c r="L403"/>
      <c r="M403"/>
      <c r="N403"/>
      <c r="O403"/>
      <c r="P403"/>
      <c r="Q403"/>
    </row>
    <row r="404" spans="1:17" ht="72" customHeight="1" x14ac:dyDescent="0.25">
      <c r="A404" s="22"/>
      <c r="B404" s="22"/>
      <c r="C404" s="22"/>
      <c r="D404" s="22"/>
      <c r="E404" s="22"/>
      <c r="F404" s="22"/>
      <c r="G404"/>
      <c r="H404"/>
      <c r="I404"/>
      <c r="J404"/>
      <c r="K404"/>
      <c r="L404"/>
      <c r="M404"/>
      <c r="N404"/>
      <c r="O404"/>
      <c r="P404"/>
      <c r="Q404"/>
    </row>
    <row r="405" spans="1:17" ht="72" customHeight="1" x14ac:dyDescent="0.25">
      <c r="A405" s="22"/>
      <c r="B405" s="22"/>
      <c r="C405" s="22"/>
      <c r="D405" s="22"/>
      <c r="E405" s="22"/>
      <c r="F405" s="22"/>
      <c r="G405"/>
      <c r="H405"/>
      <c r="I405"/>
      <c r="J405"/>
      <c r="K405"/>
      <c r="L405"/>
      <c r="M405"/>
      <c r="N405"/>
      <c r="O405"/>
      <c r="P405"/>
      <c r="Q405"/>
    </row>
    <row r="406" spans="1:17" ht="72" customHeight="1" x14ac:dyDescent="0.25">
      <c r="A406" s="22"/>
      <c r="B406" s="22"/>
      <c r="C406" s="22"/>
      <c r="D406" s="22"/>
      <c r="E406" s="22"/>
      <c r="F406" s="22"/>
      <c r="G406"/>
      <c r="H406"/>
      <c r="I406"/>
      <c r="J406"/>
      <c r="K406"/>
      <c r="L406"/>
      <c r="M406"/>
      <c r="N406"/>
      <c r="O406"/>
      <c r="P406"/>
      <c r="Q406"/>
    </row>
    <row r="407" spans="1:17" ht="72" customHeight="1" x14ac:dyDescent="0.25">
      <c r="A407" s="22"/>
      <c r="B407" s="22"/>
      <c r="C407" s="22"/>
      <c r="D407" s="22"/>
      <c r="E407" s="22"/>
      <c r="F407" s="22"/>
      <c r="G407"/>
      <c r="H407"/>
      <c r="I407"/>
      <c r="J407"/>
      <c r="K407"/>
      <c r="L407"/>
      <c r="M407"/>
      <c r="N407"/>
      <c r="O407"/>
      <c r="P407"/>
      <c r="Q407"/>
    </row>
    <row r="408" spans="1:17" ht="72" customHeight="1" x14ac:dyDescent="0.25">
      <c r="A408" s="22"/>
      <c r="B408" s="22"/>
      <c r="C408" s="22"/>
      <c r="D408" s="22"/>
      <c r="E408" s="22"/>
      <c r="F408" s="22"/>
      <c r="G408"/>
      <c r="H408"/>
      <c r="I408"/>
      <c r="J408"/>
      <c r="K408"/>
      <c r="L408"/>
      <c r="M408"/>
      <c r="N408"/>
      <c r="O408"/>
      <c r="P408"/>
      <c r="Q408"/>
    </row>
    <row r="409" spans="1:17" ht="72" customHeight="1" x14ac:dyDescent="0.25">
      <c r="A409" s="22"/>
      <c r="B409" s="22"/>
      <c r="C409" s="22"/>
      <c r="D409" s="22"/>
      <c r="E409" s="22"/>
      <c r="F409" s="22"/>
      <c r="G409"/>
      <c r="H409"/>
      <c r="I409"/>
      <c r="J409"/>
      <c r="K409"/>
      <c r="L409"/>
      <c r="M409"/>
      <c r="N409"/>
      <c r="O409"/>
      <c r="P409"/>
      <c r="Q409"/>
    </row>
    <row r="410" spans="1:17" ht="72" customHeight="1" x14ac:dyDescent="0.25">
      <c r="A410" s="22"/>
      <c r="B410" s="22"/>
      <c r="C410" s="22"/>
      <c r="D410" s="22"/>
      <c r="E410" s="22"/>
      <c r="F410" s="22"/>
      <c r="G410"/>
      <c r="H410"/>
      <c r="I410"/>
      <c r="J410"/>
      <c r="K410"/>
      <c r="L410"/>
      <c r="M410"/>
      <c r="N410"/>
      <c r="O410"/>
      <c r="P410"/>
      <c r="Q410"/>
    </row>
    <row r="411" spans="1:17" ht="72" customHeight="1" x14ac:dyDescent="0.25">
      <c r="A411" s="22"/>
      <c r="B411" s="22"/>
      <c r="C411" s="22"/>
      <c r="D411" s="22"/>
      <c r="E411" s="22"/>
      <c r="F411" s="22"/>
      <c r="G411"/>
      <c r="H411"/>
      <c r="I411"/>
      <c r="J411"/>
      <c r="K411"/>
      <c r="L411"/>
      <c r="M411"/>
      <c r="N411"/>
      <c r="O411"/>
      <c r="P411"/>
      <c r="Q411"/>
    </row>
    <row r="412" spans="1:17" ht="72" customHeight="1" x14ac:dyDescent="0.25">
      <c r="A412" s="22"/>
      <c r="B412" s="22"/>
      <c r="C412" s="22"/>
      <c r="D412" s="22"/>
      <c r="E412" s="22"/>
      <c r="F412" s="22"/>
      <c r="G412"/>
      <c r="H412"/>
      <c r="I412"/>
      <c r="J412"/>
      <c r="K412"/>
      <c r="L412"/>
      <c r="M412"/>
      <c r="N412"/>
      <c r="O412"/>
      <c r="P412"/>
      <c r="Q412"/>
    </row>
    <row r="413" spans="1:17" ht="72" customHeight="1" x14ac:dyDescent="0.25">
      <c r="A413" s="22"/>
      <c r="B413" s="22"/>
      <c r="C413" s="22"/>
      <c r="D413" s="22"/>
      <c r="E413" s="22"/>
      <c r="F413" s="22"/>
      <c r="G413"/>
      <c r="H413"/>
      <c r="I413"/>
      <c r="J413"/>
      <c r="K413"/>
      <c r="L413"/>
      <c r="M413"/>
      <c r="N413"/>
      <c r="O413"/>
      <c r="P413"/>
      <c r="Q413"/>
    </row>
    <row r="414" spans="1:17" ht="72" customHeight="1" x14ac:dyDescent="0.25">
      <c r="A414" s="22"/>
      <c r="B414" s="22"/>
      <c r="C414" s="22"/>
      <c r="D414" s="22"/>
      <c r="E414" s="22"/>
      <c r="F414" s="22"/>
      <c r="G414"/>
      <c r="H414"/>
      <c r="I414"/>
      <c r="J414"/>
      <c r="K414"/>
      <c r="L414"/>
      <c r="M414"/>
      <c r="N414"/>
      <c r="O414"/>
      <c r="P414"/>
      <c r="Q414"/>
    </row>
    <row r="415" spans="1:17" ht="72" customHeight="1" x14ac:dyDescent="0.25">
      <c r="A415" s="22"/>
      <c r="B415" s="22"/>
      <c r="C415" s="22"/>
      <c r="D415" s="22"/>
      <c r="E415" s="22"/>
      <c r="F415" s="22"/>
      <c r="G415"/>
      <c r="H415"/>
      <c r="I415"/>
      <c r="J415"/>
      <c r="K415"/>
      <c r="L415"/>
      <c r="M415"/>
      <c r="N415"/>
      <c r="O415"/>
      <c r="P415"/>
      <c r="Q415"/>
    </row>
    <row r="416" spans="1:17" ht="72" customHeight="1" x14ac:dyDescent="0.25">
      <c r="A416" s="22"/>
      <c r="B416" s="22"/>
      <c r="C416" s="22"/>
      <c r="D416" s="22"/>
      <c r="E416" s="22"/>
      <c r="F416" s="22"/>
      <c r="G416"/>
      <c r="H416"/>
      <c r="I416"/>
      <c r="J416"/>
      <c r="K416"/>
      <c r="L416"/>
      <c r="M416"/>
      <c r="N416"/>
      <c r="O416"/>
      <c r="P416"/>
      <c r="Q416"/>
    </row>
    <row r="417" spans="1:17" ht="72" customHeight="1" x14ac:dyDescent="0.25">
      <c r="A417" s="22"/>
      <c r="B417" s="22"/>
      <c r="C417" s="22"/>
      <c r="D417" s="22"/>
      <c r="E417" s="22"/>
      <c r="F417" s="22"/>
      <c r="G417"/>
      <c r="H417"/>
      <c r="I417"/>
      <c r="J417"/>
      <c r="K417"/>
      <c r="L417"/>
      <c r="M417"/>
      <c r="N417"/>
      <c r="O417"/>
      <c r="P417"/>
      <c r="Q417"/>
    </row>
    <row r="418" spans="1:17" ht="72" customHeight="1" x14ac:dyDescent="0.25">
      <c r="A418" s="22"/>
      <c r="B418" s="22"/>
      <c r="C418" s="22"/>
      <c r="D418" s="22"/>
      <c r="E418" s="22"/>
      <c r="F418" s="22"/>
      <c r="G418"/>
      <c r="H418"/>
      <c r="I418"/>
      <c r="J418"/>
      <c r="K418"/>
      <c r="L418"/>
      <c r="M418"/>
      <c r="N418"/>
      <c r="O418"/>
      <c r="P418"/>
      <c r="Q418"/>
    </row>
    <row r="419" spans="1:17" ht="72" customHeight="1" x14ac:dyDescent="0.25">
      <c r="A419" s="22"/>
      <c r="B419" s="22"/>
      <c r="C419" s="22"/>
      <c r="D419" s="22"/>
      <c r="E419" s="22"/>
      <c r="F419" s="22"/>
      <c r="G419"/>
      <c r="H419"/>
      <c r="I419"/>
      <c r="J419"/>
      <c r="K419"/>
      <c r="L419"/>
      <c r="M419"/>
      <c r="N419"/>
      <c r="O419"/>
      <c r="P419"/>
      <c r="Q419"/>
    </row>
    <row r="420" spans="1:17" ht="72" customHeight="1" x14ac:dyDescent="0.25">
      <c r="A420" s="22"/>
      <c r="B420" s="22"/>
      <c r="C420" s="22"/>
      <c r="D420" s="22"/>
      <c r="E420" s="22"/>
      <c r="F420" s="22"/>
      <c r="G420"/>
      <c r="H420"/>
      <c r="I420"/>
      <c r="J420"/>
      <c r="K420"/>
      <c r="L420"/>
      <c r="M420"/>
      <c r="N420"/>
      <c r="O420"/>
      <c r="P420"/>
      <c r="Q420"/>
    </row>
    <row r="421" spans="1:17" ht="72" customHeight="1" x14ac:dyDescent="0.25">
      <c r="A421" s="22"/>
      <c r="B421" s="22"/>
      <c r="C421" s="22"/>
      <c r="D421" s="22"/>
      <c r="E421" s="22"/>
      <c r="F421" s="22"/>
      <c r="G421"/>
      <c r="H421"/>
      <c r="I421"/>
      <c r="J421"/>
      <c r="K421"/>
      <c r="L421"/>
      <c r="M421"/>
      <c r="N421"/>
      <c r="O421"/>
      <c r="P421"/>
      <c r="Q421"/>
    </row>
    <row r="422" spans="1:17" ht="72" customHeight="1" x14ac:dyDescent="0.25">
      <c r="A422" s="22"/>
      <c r="B422" s="22"/>
      <c r="C422" s="22"/>
      <c r="D422" s="22"/>
      <c r="E422" s="22"/>
      <c r="F422" s="22"/>
      <c r="G422"/>
      <c r="H422"/>
      <c r="I422"/>
      <c r="J422"/>
      <c r="K422"/>
      <c r="L422"/>
      <c r="M422"/>
      <c r="N422"/>
      <c r="O422"/>
      <c r="P422"/>
      <c r="Q422"/>
    </row>
    <row r="423" spans="1:17" ht="72" customHeight="1" x14ac:dyDescent="0.25">
      <c r="A423" s="22"/>
      <c r="B423" s="22"/>
      <c r="C423" s="22"/>
      <c r="D423" s="22"/>
      <c r="E423" s="22"/>
      <c r="F423" s="22"/>
      <c r="G423"/>
      <c r="H423"/>
      <c r="I423"/>
      <c r="J423"/>
      <c r="K423"/>
      <c r="L423"/>
      <c r="M423"/>
      <c r="N423"/>
      <c r="O423"/>
      <c r="P423"/>
      <c r="Q423"/>
    </row>
    <row r="424" spans="1:17" ht="72" customHeight="1" x14ac:dyDescent="0.25">
      <c r="A424" s="22"/>
      <c r="B424" s="22"/>
      <c r="C424" s="22"/>
      <c r="D424" s="22"/>
      <c r="E424" s="22"/>
      <c r="F424" s="22"/>
      <c r="G424"/>
      <c r="H424"/>
      <c r="I424"/>
      <c r="J424"/>
      <c r="K424"/>
      <c r="L424"/>
      <c r="M424"/>
      <c r="N424"/>
      <c r="O424"/>
      <c r="P424"/>
      <c r="Q424"/>
    </row>
    <row r="425" spans="1:17" ht="72" customHeight="1" x14ac:dyDescent="0.25">
      <c r="A425" s="22"/>
      <c r="B425" s="22"/>
      <c r="C425" s="22"/>
      <c r="D425" s="22"/>
      <c r="E425" s="22"/>
      <c r="F425" s="22"/>
      <c r="G425"/>
      <c r="H425"/>
      <c r="I425"/>
      <c r="J425"/>
      <c r="K425"/>
      <c r="L425"/>
      <c r="M425"/>
      <c r="N425"/>
      <c r="O425"/>
      <c r="P425"/>
      <c r="Q425"/>
    </row>
    <row r="426" spans="1:17" ht="72" customHeight="1" x14ac:dyDescent="0.25">
      <c r="A426" s="22"/>
      <c r="B426" s="22"/>
      <c r="C426" s="22"/>
      <c r="D426" s="22"/>
      <c r="E426" s="22"/>
      <c r="F426" s="22"/>
      <c r="G426"/>
      <c r="H426"/>
      <c r="I426"/>
      <c r="J426"/>
      <c r="K426"/>
      <c r="L426"/>
      <c r="M426"/>
      <c r="N426"/>
      <c r="O426"/>
      <c r="P426"/>
      <c r="Q426"/>
    </row>
    <row r="427" spans="1:17" ht="72" customHeight="1" x14ac:dyDescent="0.25">
      <c r="A427" s="22"/>
      <c r="B427" s="22"/>
      <c r="C427" s="22"/>
      <c r="D427" s="22"/>
      <c r="E427" s="22"/>
      <c r="F427" s="22"/>
      <c r="G427"/>
      <c r="H427"/>
      <c r="I427"/>
      <c r="J427"/>
      <c r="K427"/>
      <c r="L427"/>
      <c r="M427"/>
      <c r="N427"/>
      <c r="O427"/>
      <c r="P427"/>
      <c r="Q427"/>
    </row>
    <row r="428" spans="1:17" ht="72" customHeight="1" x14ac:dyDescent="0.25">
      <c r="A428" s="22"/>
      <c r="B428" s="22"/>
      <c r="C428" s="22"/>
      <c r="D428" s="22"/>
      <c r="E428" s="22"/>
      <c r="F428" s="22"/>
      <c r="G428"/>
      <c r="H428"/>
      <c r="I428"/>
      <c r="J428"/>
      <c r="K428"/>
      <c r="L428"/>
      <c r="M428"/>
      <c r="N428"/>
      <c r="O428"/>
      <c r="P428"/>
      <c r="Q428"/>
    </row>
    <row r="429" spans="1:17" ht="72" customHeight="1" x14ac:dyDescent="0.25">
      <c r="A429" s="22"/>
      <c r="B429" s="22"/>
      <c r="C429" s="22"/>
      <c r="D429" s="22"/>
      <c r="E429" s="22"/>
      <c r="F429" s="22"/>
      <c r="G429"/>
      <c r="H429"/>
      <c r="I429"/>
      <c r="J429"/>
      <c r="K429"/>
      <c r="L429"/>
      <c r="M429"/>
      <c r="N429"/>
      <c r="O429"/>
      <c r="P429"/>
      <c r="Q429"/>
    </row>
    <row r="430" spans="1:17" ht="72" customHeight="1" x14ac:dyDescent="0.25">
      <c r="A430" s="22"/>
      <c r="B430" s="22"/>
      <c r="C430" s="22"/>
      <c r="D430" s="22"/>
      <c r="E430" s="22"/>
      <c r="F430" s="22"/>
      <c r="G430"/>
      <c r="H430"/>
      <c r="I430"/>
      <c r="J430"/>
      <c r="K430"/>
      <c r="L430"/>
      <c r="M430"/>
      <c r="N430"/>
      <c r="O430"/>
      <c r="P430"/>
      <c r="Q430"/>
    </row>
    <row r="431" spans="1:17" ht="72" customHeight="1" x14ac:dyDescent="0.25">
      <c r="A431" s="22"/>
      <c r="B431" s="22"/>
      <c r="C431" s="22"/>
      <c r="D431" s="22"/>
      <c r="E431" s="22"/>
      <c r="F431" s="22"/>
      <c r="G431"/>
      <c r="H431"/>
      <c r="I431"/>
      <c r="J431"/>
      <c r="K431"/>
      <c r="L431"/>
      <c r="M431"/>
      <c r="N431"/>
      <c r="O431"/>
      <c r="P431"/>
      <c r="Q431"/>
    </row>
    <row r="432" spans="1:17" ht="72" customHeight="1" x14ac:dyDescent="0.25">
      <c r="A432" s="22"/>
      <c r="B432" s="22"/>
      <c r="C432" s="22"/>
      <c r="D432" s="22"/>
      <c r="E432" s="22"/>
      <c r="F432" s="22"/>
      <c r="G432"/>
      <c r="H432"/>
      <c r="I432"/>
      <c r="J432"/>
      <c r="K432"/>
      <c r="L432"/>
      <c r="M432"/>
      <c r="N432"/>
      <c r="O432"/>
      <c r="P432"/>
      <c r="Q432"/>
    </row>
    <row r="433" spans="1:17" ht="72" customHeight="1" x14ac:dyDescent="0.25">
      <c r="A433" s="22"/>
      <c r="B433" s="22"/>
      <c r="C433" s="22"/>
      <c r="D433" s="22"/>
      <c r="E433" s="22"/>
      <c r="F433" s="22"/>
      <c r="G433"/>
      <c r="H433"/>
      <c r="I433"/>
      <c r="J433"/>
      <c r="K433"/>
      <c r="L433"/>
      <c r="M433"/>
      <c r="N433"/>
      <c r="O433"/>
      <c r="P433"/>
      <c r="Q433"/>
    </row>
    <row r="434" spans="1:17" ht="72" customHeight="1" x14ac:dyDescent="0.25">
      <c r="A434" s="22"/>
      <c r="B434" s="22"/>
      <c r="C434" s="22"/>
      <c r="D434" s="22"/>
      <c r="E434" s="22"/>
      <c r="F434" s="22"/>
      <c r="G434"/>
      <c r="H434"/>
      <c r="I434"/>
      <c r="J434"/>
      <c r="K434"/>
      <c r="L434"/>
      <c r="M434"/>
      <c r="N434"/>
      <c r="O434"/>
      <c r="P434"/>
      <c r="Q434"/>
    </row>
    <row r="435" spans="1:17" ht="72" customHeight="1" x14ac:dyDescent="0.25">
      <c r="A435" s="22"/>
      <c r="B435" s="22"/>
      <c r="C435" s="22"/>
      <c r="D435" s="22"/>
      <c r="E435" s="22"/>
      <c r="F435" s="22"/>
      <c r="G435"/>
      <c r="H435"/>
      <c r="I435"/>
      <c r="J435"/>
      <c r="K435"/>
      <c r="L435"/>
      <c r="M435"/>
      <c r="N435"/>
      <c r="O435"/>
      <c r="P435"/>
      <c r="Q435"/>
    </row>
    <row r="436" spans="1:17" ht="72" customHeight="1" x14ac:dyDescent="0.25">
      <c r="A436" s="22"/>
      <c r="B436" s="22"/>
      <c r="C436" s="22"/>
      <c r="D436" s="22"/>
      <c r="E436" s="22"/>
      <c r="F436" s="22"/>
      <c r="G436"/>
      <c r="H436"/>
      <c r="I436"/>
      <c r="J436"/>
      <c r="K436"/>
      <c r="L436"/>
      <c r="M436"/>
      <c r="N436"/>
      <c r="O436"/>
      <c r="P436"/>
      <c r="Q436"/>
    </row>
    <row r="437" spans="1:17" ht="72" customHeight="1" x14ac:dyDescent="0.25">
      <c r="A437" s="22"/>
      <c r="B437" s="22"/>
      <c r="C437" s="22"/>
      <c r="D437" s="22"/>
      <c r="E437" s="22"/>
      <c r="F437" s="22"/>
      <c r="G437"/>
      <c r="H437"/>
      <c r="I437"/>
      <c r="J437"/>
      <c r="K437"/>
      <c r="L437"/>
      <c r="M437"/>
      <c r="N437"/>
      <c r="O437"/>
      <c r="P437"/>
      <c r="Q437"/>
    </row>
    <row r="438" spans="1:17" ht="72" customHeight="1" x14ac:dyDescent="0.25">
      <c r="A438" s="22"/>
      <c r="B438" s="22"/>
      <c r="C438" s="22"/>
      <c r="D438" s="22"/>
      <c r="E438" s="22"/>
      <c r="F438" s="22"/>
      <c r="G438"/>
      <c r="H438"/>
      <c r="I438"/>
      <c r="J438"/>
      <c r="K438"/>
      <c r="L438"/>
      <c r="M438"/>
      <c r="N438"/>
      <c r="O438"/>
      <c r="P438"/>
      <c r="Q438"/>
    </row>
    <row r="439" spans="1:17" ht="72" customHeight="1" x14ac:dyDescent="0.25">
      <c r="A439" s="22"/>
      <c r="B439" s="22"/>
      <c r="C439" s="22"/>
      <c r="D439" s="22"/>
      <c r="E439" s="22"/>
      <c r="F439" s="22"/>
      <c r="G439"/>
      <c r="H439"/>
      <c r="I439"/>
      <c r="J439"/>
      <c r="K439"/>
      <c r="L439"/>
      <c r="M439"/>
      <c r="N439"/>
      <c r="O439"/>
      <c r="P439"/>
      <c r="Q439"/>
    </row>
    <row r="440" spans="1:17" ht="72" customHeight="1" x14ac:dyDescent="0.25">
      <c r="A440" s="22"/>
      <c r="B440" s="22"/>
      <c r="C440" s="22"/>
      <c r="D440" s="22"/>
      <c r="E440" s="22"/>
      <c r="F440" s="22"/>
      <c r="G440"/>
      <c r="H440"/>
      <c r="I440"/>
      <c r="J440"/>
      <c r="K440"/>
      <c r="L440"/>
      <c r="M440"/>
      <c r="N440"/>
      <c r="O440"/>
      <c r="P440"/>
      <c r="Q440"/>
    </row>
    <row r="441" spans="1:17" ht="72" customHeight="1" x14ac:dyDescent="0.25">
      <c r="A441" s="22"/>
      <c r="B441" s="22"/>
      <c r="C441" s="22"/>
      <c r="D441" s="22"/>
      <c r="E441" s="22"/>
      <c r="F441" s="22"/>
      <c r="G441"/>
      <c r="H441"/>
      <c r="I441"/>
      <c r="J441"/>
      <c r="K441"/>
      <c r="L441"/>
      <c r="M441"/>
      <c r="N441"/>
      <c r="O441"/>
      <c r="P441"/>
      <c r="Q441"/>
    </row>
    <row r="442" spans="1:17" ht="72" customHeight="1" x14ac:dyDescent="0.25">
      <c r="A442" s="22"/>
      <c r="B442" s="22"/>
      <c r="C442" s="22"/>
      <c r="D442" s="22"/>
      <c r="E442" s="22"/>
      <c r="F442" s="22"/>
      <c r="G442"/>
      <c r="H442"/>
      <c r="I442"/>
      <c r="J442"/>
      <c r="K442"/>
      <c r="L442"/>
      <c r="M442"/>
      <c r="N442"/>
      <c r="O442"/>
      <c r="P442"/>
      <c r="Q442"/>
    </row>
    <row r="443" spans="1:17" ht="72" customHeight="1" x14ac:dyDescent="0.25">
      <c r="A443" s="22"/>
      <c r="B443" s="22"/>
      <c r="C443" s="22"/>
      <c r="D443" s="22"/>
      <c r="E443" s="22"/>
      <c r="F443" s="22"/>
      <c r="G443"/>
      <c r="H443"/>
      <c r="I443"/>
      <c r="J443"/>
      <c r="K443"/>
      <c r="L443"/>
      <c r="M443"/>
      <c r="N443"/>
      <c r="O443"/>
      <c r="P443"/>
      <c r="Q443"/>
    </row>
    <row r="444" spans="1:17" ht="72" customHeight="1" x14ac:dyDescent="0.25">
      <c r="A444" s="22"/>
      <c r="B444" s="22"/>
      <c r="C444" s="22"/>
      <c r="D444" s="22"/>
      <c r="E444" s="22"/>
      <c r="F444" s="22"/>
      <c r="G444"/>
      <c r="H444"/>
      <c r="I444"/>
      <c r="J444"/>
      <c r="K444"/>
      <c r="L444"/>
      <c r="M444"/>
      <c r="N444"/>
      <c r="O444"/>
      <c r="P444"/>
      <c r="Q444"/>
    </row>
    <row r="445" spans="1:17" ht="72" customHeight="1" x14ac:dyDescent="0.25">
      <c r="A445" s="22"/>
      <c r="B445" s="22"/>
      <c r="C445" s="22"/>
      <c r="D445" s="22"/>
      <c r="E445" s="22"/>
      <c r="F445" s="22"/>
      <c r="G445"/>
      <c r="H445"/>
      <c r="I445"/>
      <c r="J445"/>
      <c r="K445"/>
      <c r="L445"/>
      <c r="M445"/>
      <c r="N445"/>
      <c r="O445"/>
      <c r="P445"/>
      <c r="Q445"/>
    </row>
    <row r="446" spans="1:17" ht="72" customHeight="1" x14ac:dyDescent="0.25">
      <c r="A446" s="22"/>
      <c r="B446" s="22"/>
      <c r="C446" s="22"/>
      <c r="D446" s="22"/>
      <c r="E446" s="22"/>
      <c r="F446" s="22"/>
      <c r="G446"/>
      <c r="H446"/>
      <c r="I446"/>
      <c r="J446"/>
      <c r="K446"/>
      <c r="L446"/>
      <c r="M446"/>
      <c r="N446"/>
      <c r="O446"/>
      <c r="P446"/>
      <c r="Q446"/>
    </row>
    <row r="447" spans="1:17" ht="72" customHeight="1" x14ac:dyDescent="0.25">
      <c r="A447" s="22"/>
      <c r="B447" s="22"/>
      <c r="C447" s="22"/>
      <c r="D447" s="22"/>
      <c r="E447" s="22"/>
      <c r="F447" s="22"/>
      <c r="G447"/>
      <c r="H447"/>
      <c r="I447"/>
      <c r="J447"/>
      <c r="K447"/>
      <c r="L447"/>
      <c r="M447"/>
      <c r="N447"/>
      <c r="O447"/>
      <c r="P447"/>
      <c r="Q447"/>
    </row>
    <row r="448" spans="1:17" ht="72" customHeight="1" x14ac:dyDescent="0.25">
      <c r="A448" s="22"/>
      <c r="B448" s="22"/>
      <c r="C448" s="22"/>
      <c r="D448" s="22"/>
      <c r="E448" s="22"/>
      <c r="F448" s="22"/>
      <c r="G448"/>
      <c r="H448"/>
      <c r="I448"/>
      <c r="J448"/>
      <c r="K448"/>
      <c r="L448"/>
      <c r="M448"/>
      <c r="N448"/>
      <c r="O448"/>
      <c r="P448"/>
      <c r="Q448"/>
    </row>
    <row r="449" spans="1:17" ht="72" customHeight="1" x14ac:dyDescent="0.25">
      <c r="A449" s="22"/>
      <c r="B449" s="22"/>
      <c r="C449" s="22"/>
      <c r="D449" s="22"/>
      <c r="E449" s="22"/>
      <c r="F449" s="22"/>
      <c r="G449"/>
      <c r="H449"/>
      <c r="I449"/>
      <c r="J449"/>
      <c r="K449"/>
      <c r="L449"/>
      <c r="M449"/>
      <c r="N449"/>
      <c r="O449"/>
      <c r="P449"/>
      <c r="Q449"/>
    </row>
    <row r="450" spans="1:17" ht="72" customHeight="1" x14ac:dyDescent="0.25">
      <c r="A450" s="22"/>
      <c r="B450" s="22"/>
      <c r="C450" s="22"/>
      <c r="D450" s="22"/>
      <c r="E450" s="22"/>
      <c r="F450" s="22"/>
      <c r="G450"/>
      <c r="H450"/>
      <c r="I450"/>
      <c r="J450"/>
      <c r="K450"/>
      <c r="L450"/>
      <c r="M450"/>
      <c r="N450"/>
      <c r="O450"/>
      <c r="P450"/>
      <c r="Q450"/>
    </row>
    <row r="451" spans="1:17" ht="72" customHeight="1" x14ac:dyDescent="0.25">
      <c r="A451" s="22"/>
      <c r="B451" s="22"/>
      <c r="C451" s="22"/>
      <c r="D451" s="22"/>
      <c r="E451" s="22"/>
      <c r="F451" s="22"/>
      <c r="G451"/>
      <c r="H451"/>
      <c r="I451"/>
      <c r="J451"/>
      <c r="K451"/>
      <c r="L451"/>
      <c r="M451"/>
      <c r="N451"/>
      <c r="O451"/>
      <c r="P451"/>
      <c r="Q451"/>
    </row>
    <row r="452" spans="1:17" ht="72" customHeight="1" x14ac:dyDescent="0.25">
      <c r="A452" s="22"/>
      <c r="B452" s="22"/>
      <c r="C452" s="22"/>
      <c r="D452" s="22"/>
      <c r="E452" s="22"/>
      <c r="F452" s="22"/>
      <c r="G452"/>
      <c r="H452"/>
      <c r="I452"/>
      <c r="J452"/>
      <c r="K452"/>
      <c r="L452"/>
      <c r="M452"/>
      <c r="N452"/>
      <c r="O452"/>
      <c r="P452"/>
      <c r="Q452"/>
    </row>
    <row r="453" spans="1:17" ht="72" customHeight="1" x14ac:dyDescent="0.25">
      <c r="A453" s="22"/>
      <c r="B453" s="22"/>
      <c r="C453" s="22"/>
      <c r="D453" s="22"/>
      <c r="E453" s="22"/>
      <c r="F453" s="22"/>
      <c r="G453"/>
      <c r="H453"/>
      <c r="I453"/>
      <c r="J453"/>
      <c r="K453"/>
      <c r="L453"/>
      <c r="M453"/>
      <c r="N453"/>
      <c r="O453"/>
      <c r="P453"/>
      <c r="Q453"/>
    </row>
    <row r="454" spans="1:17" ht="72" customHeight="1" x14ac:dyDescent="0.25">
      <c r="A454" s="22"/>
      <c r="B454" s="22"/>
      <c r="C454" s="22"/>
      <c r="D454" s="22"/>
      <c r="E454" s="22"/>
      <c r="F454" s="22"/>
      <c r="G454"/>
      <c r="H454"/>
      <c r="I454"/>
      <c r="J454"/>
      <c r="K454"/>
      <c r="L454"/>
      <c r="M454"/>
      <c r="N454"/>
      <c r="O454"/>
      <c r="P454"/>
      <c r="Q454"/>
    </row>
    <row r="455" spans="1:17" ht="72" customHeight="1" x14ac:dyDescent="0.25">
      <c r="A455" s="22"/>
      <c r="B455" s="22"/>
      <c r="C455" s="22"/>
      <c r="D455" s="22"/>
      <c r="E455" s="22"/>
      <c r="F455" s="22"/>
      <c r="G455"/>
      <c r="H455"/>
      <c r="I455"/>
      <c r="J455"/>
      <c r="K455"/>
      <c r="L455"/>
      <c r="M455"/>
      <c r="N455"/>
      <c r="O455"/>
      <c r="P455"/>
      <c r="Q455"/>
    </row>
    <row r="456" spans="1:17" ht="72" customHeight="1" x14ac:dyDescent="0.25">
      <c r="A456" s="22"/>
      <c r="B456" s="22"/>
      <c r="C456" s="22"/>
      <c r="D456" s="22"/>
      <c r="E456" s="22"/>
      <c r="F456" s="22"/>
      <c r="G456"/>
      <c r="H456"/>
      <c r="I456"/>
      <c r="J456"/>
      <c r="K456"/>
      <c r="L456"/>
      <c r="M456"/>
      <c r="N456"/>
      <c r="O456"/>
      <c r="P456"/>
      <c r="Q456"/>
    </row>
    <row r="457" spans="1:17" ht="72" customHeight="1" x14ac:dyDescent="0.25">
      <c r="A457" s="22"/>
      <c r="B457" s="22"/>
      <c r="C457" s="22"/>
      <c r="D457" s="22"/>
      <c r="E457" s="22"/>
      <c r="F457" s="22"/>
      <c r="G457"/>
      <c r="H457"/>
      <c r="I457"/>
      <c r="J457"/>
      <c r="K457"/>
      <c r="L457"/>
      <c r="M457"/>
      <c r="N457"/>
      <c r="O457"/>
      <c r="P457"/>
      <c r="Q457"/>
    </row>
    <row r="458" spans="1:17" ht="72" customHeight="1" x14ac:dyDescent="0.25">
      <c r="A458" s="22"/>
      <c r="B458" s="22"/>
      <c r="C458" s="22"/>
      <c r="D458" s="22"/>
      <c r="E458" s="22"/>
      <c r="F458" s="22"/>
      <c r="G458"/>
      <c r="H458"/>
      <c r="I458"/>
      <c r="J458"/>
      <c r="K458"/>
      <c r="L458"/>
      <c r="M458"/>
      <c r="N458"/>
      <c r="O458"/>
      <c r="P458"/>
      <c r="Q458"/>
    </row>
    <row r="459" spans="1:17" ht="72" customHeight="1" x14ac:dyDescent="0.25">
      <c r="A459" s="22"/>
      <c r="B459" s="22"/>
      <c r="C459" s="22"/>
      <c r="D459" s="22"/>
      <c r="E459" s="22"/>
      <c r="F459" s="22"/>
      <c r="G459"/>
      <c r="H459"/>
      <c r="I459"/>
      <c r="J459"/>
      <c r="K459"/>
      <c r="L459"/>
      <c r="M459"/>
      <c r="N459"/>
      <c r="O459"/>
      <c r="P459"/>
      <c r="Q459"/>
    </row>
    <row r="460" spans="1:17" ht="72" customHeight="1" x14ac:dyDescent="0.25">
      <c r="A460" s="22"/>
      <c r="B460" s="22"/>
      <c r="C460" s="22"/>
      <c r="D460" s="22"/>
      <c r="E460" s="22"/>
      <c r="F460" s="22"/>
      <c r="G460"/>
      <c r="H460"/>
      <c r="I460"/>
      <c r="J460"/>
      <c r="K460"/>
      <c r="L460"/>
      <c r="M460"/>
      <c r="N460"/>
      <c r="O460"/>
      <c r="P460"/>
      <c r="Q460"/>
    </row>
    <row r="461" spans="1:17" ht="72" customHeight="1" x14ac:dyDescent="0.25">
      <c r="A461" s="22"/>
      <c r="B461" s="22"/>
      <c r="C461" s="22"/>
      <c r="D461" s="22"/>
      <c r="E461" s="22"/>
      <c r="F461" s="22"/>
      <c r="G461"/>
      <c r="H461"/>
      <c r="I461"/>
      <c r="J461"/>
      <c r="K461"/>
      <c r="L461"/>
      <c r="M461"/>
      <c r="N461"/>
      <c r="O461"/>
      <c r="P461"/>
      <c r="Q461"/>
    </row>
    <row r="462" spans="1:17" ht="72" customHeight="1" x14ac:dyDescent="0.25">
      <c r="A462" s="22"/>
      <c r="B462" s="22"/>
      <c r="C462" s="22"/>
      <c r="D462" s="22"/>
      <c r="E462" s="22"/>
      <c r="F462" s="22"/>
      <c r="G462"/>
      <c r="H462"/>
      <c r="I462"/>
      <c r="J462"/>
      <c r="K462"/>
      <c r="L462"/>
      <c r="M462"/>
      <c r="N462"/>
      <c r="O462"/>
      <c r="P462"/>
      <c r="Q462"/>
    </row>
    <row r="463" spans="1:17" ht="72" customHeight="1" x14ac:dyDescent="0.25">
      <c r="A463" s="22"/>
      <c r="B463" s="22"/>
      <c r="C463" s="22"/>
      <c r="D463" s="22"/>
      <c r="E463" s="22"/>
      <c r="F463" s="22"/>
      <c r="G463"/>
      <c r="H463"/>
      <c r="I463"/>
      <c r="J463"/>
      <c r="K463"/>
      <c r="L463"/>
      <c r="M463"/>
      <c r="N463"/>
      <c r="O463"/>
      <c r="P463"/>
      <c r="Q463"/>
    </row>
    <row r="464" spans="1:17" ht="72" customHeight="1" x14ac:dyDescent="0.25">
      <c r="A464" s="22"/>
      <c r="B464" s="22"/>
      <c r="C464" s="22"/>
      <c r="D464" s="22"/>
      <c r="E464" s="22"/>
      <c r="F464" s="22"/>
      <c r="G464"/>
      <c r="H464"/>
      <c r="I464"/>
      <c r="J464"/>
      <c r="K464"/>
      <c r="L464"/>
      <c r="M464"/>
      <c r="N464"/>
      <c r="O464"/>
      <c r="P464"/>
      <c r="Q464"/>
    </row>
    <row r="465" spans="1:17" ht="72" customHeight="1" x14ac:dyDescent="0.25">
      <c r="A465" s="22"/>
      <c r="B465" s="22"/>
      <c r="C465" s="22"/>
      <c r="D465" s="22"/>
      <c r="E465" s="22"/>
      <c r="F465" s="22"/>
      <c r="G465"/>
      <c r="H465"/>
      <c r="I465"/>
      <c r="J465"/>
      <c r="K465"/>
      <c r="L465"/>
      <c r="M465"/>
      <c r="N465"/>
      <c r="O465"/>
      <c r="P465"/>
      <c r="Q465"/>
    </row>
    <row r="466" spans="1:17" ht="72" customHeight="1" x14ac:dyDescent="0.25">
      <c r="A466" s="22"/>
      <c r="B466" s="22"/>
      <c r="C466" s="22"/>
      <c r="D466" s="22"/>
      <c r="E466" s="22"/>
      <c r="F466" s="22"/>
      <c r="G466"/>
      <c r="H466"/>
      <c r="I466"/>
      <c r="J466"/>
      <c r="K466"/>
      <c r="L466"/>
      <c r="M466"/>
      <c r="N466"/>
      <c r="O466"/>
      <c r="P466"/>
      <c r="Q466"/>
    </row>
    <row r="467" spans="1:17" ht="72" customHeight="1" x14ac:dyDescent="0.25">
      <c r="A467" s="22"/>
      <c r="B467" s="22"/>
      <c r="C467" s="22"/>
      <c r="D467" s="22"/>
      <c r="E467" s="22"/>
      <c r="F467" s="22"/>
      <c r="G467"/>
      <c r="H467"/>
      <c r="I467"/>
      <c r="J467"/>
      <c r="K467"/>
      <c r="L467"/>
      <c r="M467"/>
      <c r="N467"/>
      <c r="O467"/>
      <c r="P467"/>
      <c r="Q467"/>
    </row>
    <row r="468" spans="1:17" ht="72" customHeight="1" x14ac:dyDescent="0.25">
      <c r="A468" s="22"/>
      <c r="B468" s="22"/>
      <c r="C468" s="22"/>
      <c r="D468" s="22"/>
      <c r="E468" s="22"/>
      <c r="F468" s="22"/>
      <c r="G468"/>
      <c r="H468"/>
      <c r="I468"/>
      <c r="J468"/>
      <c r="K468"/>
      <c r="L468"/>
      <c r="M468"/>
      <c r="N468"/>
      <c r="O468"/>
      <c r="P468"/>
      <c r="Q468"/>
    </row>
    <row r="469" spans="1:17" ht="72" customHeight="1" x14ac:dyDescent="0.25">
      <c r="A469" s="22"/>
      <c r="B469" s="22"/>
      <c r="C469" s="22"/>
      <c r="D469" s="22"/>
      <c r="E469" s="22"/>
      <c r="F469" s="22"/>
      <c r="G469"/>
      <c r="H469"/>
      <c r="I469"/>
      <c r="J469"/>
      <c r="K469"/>
      <c r="L469"/>
      <c r="M469"/>
      <c r="N469"/>
      <c r="O469"/>
      <c r="P469"/>
      <c r="Q469"/>
    </row>
    <row r="470" spans="1:17" ht="72" customHeight="1" x14ac:dyDescent="0.25">
      <c r="A470" s="22"/>
      <c r="B470" s="22"/>
      <c r="C470" s="22"/>
      <c r="D470" s="22"/>
      <c r="E470" s="22"/>
      <c r="F470" s="22"/>
      <c r="G470"/>
      <c r="H470"/>
      <c r="I470"/>
      <c r="J470"/>
      <c r="K470"/>
      <c r="L470"/>
      <c r="M470"/>
      <c r="N470"/>
      <c r="O470"/>
      <c r="P470"/>
      <c r="Q470"/>
    </row>
    <row r="471" spans="1:17" ht="72" customHeight="1" x14ac:dyDescent="0.25">
      <c r="A471" s="22"/>
      <c r="B471" s="22"/>
      <c r="C471" s="22"/>
      <c r="D471" s="22"/>
      <c r="E471" s="22"/>
      <c r="F471" s="22"/>
      <c r="G471"/>
      <c r="H471"/>
      <c r="I471"/>
      <c r="J471"/>
      <c r="K471"/>
      <c r="L471"/>
      <c r="M471"/>
      <c r="N471"/>
      <c r="O471"/>
      <c r="P471"/>
      <c r="Q471"/>
    </row>
    <row r="472" spans="1:17" ht="72" customHeight="1" x14ac:dyDescent="0.25">
      <c r="A472" s="22"/>
      <c r="B472" s="22"/>
      <c r="C472" s="22"/>
      <c r="D472" s="22"/>
      <c r="E472" s="22"/>
      <c r="F472" s="22"/>
      <c r="G472"/>
      <c r="H472"/>
      <c r="I472"/>
      <c r="J472"/>
      <c r="K472"/>
      <c r="L472"/>
      <c r="M472"/>
      <c r="N472"/>
      <c r="O472"/>
      <c r="P472"/>
      <c r="Q472"/>
    </row>
    <row r="473" spans="1:17" ht="72" customHeight="1" x14ac:dyDescent="0.25">
      <c r="A473" s="22"/>
      <c r="B473" s="22"/>
      <c r="C473" s="22"/>
      <c r="D473" s="22"/>
      <c r="E473" s="22"/>
      <c r="F473" s="22"/>
      <c r="G473"/>
      <c r="H473"/>
      <c r="I473"/>
      <c r="J473"/>
      <c r="K473"/>
      <c r="L473"/>
      <c r="M473"/>
      <c r="N473"/>
      <c r="O473"/>
      <c r="P473"/>
      <c r="Q473"/>
    </row>
    <row r="474" spans="1:17" ht="72" customHeight="1" x14ac:dyDescent="0.25">
      <c r="A474" s="22"/>
      <c r="B474" s="22"/>
      <c r="C474" s="22"/>
      <c r="D474" s="22"/>
      <c r="E474" s="22"/>
      <c r="F474" s="22"/>
      <c r="G474"/>
      <c r="H474"/>
      <c r="I474"/>
      <c r="J474"/>
      <c r="K474"/>
      <c r="L474"/>
      <c r="M474"/>
      <c r="N474"/>
      <c r="O474"/>
      <c r="P474"/>
      <c r="Q474"/>
    </row>
    <row r="475" spans="1:17" ht="72" customHeight="1" x14ac:dyDescent="0.25">
      <c r="A475" s="22"/>
      <c r="B475" s="22"/>
      <c r="C475" s="22"/>
      <c r="D475" s="22"/>
      <c r="E475" s="22"/>
      <c r="F475" s="22"/>
      <c r="G475"/>
      <c r="H475"/>
      <c r="I475"/>
      <c r="J475"/>
      <c r="K475"/>
      <c r="L475"/>
      <c r="M475"/>
      <c r="N475"/>
      <c r="O475"/>
      <c r="P475"/>
      <c r="Q475"/>
    </row>
    <row r="476" spans="1:17" ht="72" customHeight="1" x14ac:dyDescent="0.25">
      <c r="A476" s="22"/>
      <c r="B476" s="22"/>
      <c r="C476" s="22"/>
      <c r="D476" s="22"/>
      <c r="E476" s="22"/>
      <c r="F476" s="22"/>
      <c r="G476"/>
      <c r="H476"/>
      <c r="I476"/>
      <c r="J476"/>
      <c r="K476"/>
      <c r="L476"/>
      <c r="M476"/>
      <c r="N476"/>
      <c r="O476"/>
      <c r="P476"/>
      <c r="Q476"/>
    </row>
    <row r="477" spans="1:17" ht="72" customHeight="1" x14ac:dyDescent="0.25">
      <c r="A477" s="22"/>
      <c r="B477" s="22"/>
      <c r="C477" s="22"/>
      <c r="D477" s="22"/>
      <c r="E477" s="22"/>
      <c r="F477" s="22"/>
      <c r="G477"/>
      <c r="H477"/>
      <c r="I477"/>
      <c r="J477"/>
      <c r="K477"/>
      <c r="L477"/>
      <c r="M477"/>
      <c r="N477"/>
      <c r="O477"/>
      <c r="P477"/>
      <c r="Q477"/>
    </row>
    <row r="478" spans="1:17" ht="72" customHeight="1" x14ac:dyDescent="0.25">
      <c r="A478" s="22"/>
      <c r="B478" s="22"/>
      <c r="C478" s="22"/>
      <c r="D478" s="22"/>
      <c r="E478" s="22"/>
      <c r="F478" s="22"/>
      <c r="G478"/>
      <c r="H478"/>
      <c r="I478"/>
      <c r="J478"/>
      <c r="K478"/>
      <c r="L478"/>
      <c r="M478"/>
      <c r="N478"/>
      <c r="O478"/>
      <c r="P478"/>
      <c r="Q478"/>
    </row>
    <row r="479" spans="1:17" ht="72" customHeight="1" x14ac:dyDescent="0.25">
      <c r="A479" s="22"/>
      <c r="B479" s="22"/>
      <c r="C479" s="22"/>
      <c r="D479" s="22"/>
      <c r="E479" s="22"/>
      <c r="F479" s="22"/>
      <c r="G479"/>
      <c r="H479"/>
      <c r="I479"/>
      <c r="J479"/>
      <c r="K479"/>
      <c r="L479"/>
      <c r="M479"/>
      <c r="N479"/>
      <c r="O479"/>
      <c r="P479"/>
      <c r="Q479"/>
    </row>
    <row r="480" spans="1:17" ht="72" customHeight="1" x14ac:dyDescent="0.25">
      <c r="A480" s="22"/>
      <c r="B480" s="22"/>
      <c r="C480" s="22"/>
      <c r="D480" s="22"/>
      <c r="E480" s="22"/>
      <c r="F480" s="22"/>
      <c r="G480"/>
      <c r="H480"/>
      <c r="I480"/>
      <c r="J480"/>
      <c r="K480"/>
      <c r="L480"/>
      <c r="M480"/>
      <c r="N480"/>
      <c r="O480"/>
      <c r="P480"/>
      <c r="Q480"/>
    </row>
    <row r="481" spans="1:17" ht="72" customHeight="1" x14ac:dyDescent="0.25">
      <c r="A481" s="22"/>
      <c r="B481" s="22"/>
      <c r="C481" s="22"/>
      <c r="D481" s="22"/>
      <c r="E481" s="22"/>
      <c r="F481" s="22"/>
      <c r="G481"/>
      <c r="H481"/>
      <c r="I481"/>
      <c r="J481"/>
      <c r="K481"/>
      <c r="L481"/>
      <c r="M481"/>
      <c r="N481"/>
      <c r="O481"/>
      <c r="P481"/>
      <c r="Q481"/>
    </row>
    <row r="482" spans="1:17" ht="72" customHeight="1" x14ac:dyDescent="0.25">
      <c r="A482" s="22"/>
      <c r="B482" s="22"/>
      <c r="C482" s="22"/>
      <c r="D482" s="22"/>
      <c r="E482" s="22"/>
      <c r="F482" s="22"/>
      <c r="G482"/>
      <c r="H482"/>
      <c r="I482"/>
      <c r="J482"/>
      <c r="K482"/>
      <c r="L482"/>
      <c r="M482"/>
      <c r="N482"/>
      <c r="O482"/>
      <c r="P482"/>
      <c r="Q482"/>
    </row>
    <row r="483" spans="1:17" ht="72" customHeight="1" x14ac:dyDescent="0.25">
      <c r="A483" s="22"/>
      <c r="B483" s="22"/>
      <c r="C483" s="22"/>
      <c r="D483" s="22"/>
      <c r="E483" s="22"/>
      <c r="F483" s="22"/>
      <c r="G483"/>
      <c r="H483"/>
      <c r="I483"/>
      <c r="J483"/>
      <c r="K483"/>
      <c r="L483"/>
      <c r="M483"/>
      <c r="N483"/>
      <c r="O483"/>
      <c r="P483"/>
      <c r="Q483"/>
    </row>
    <row r="484" spans="1:17" ht="72" customHeight="1" x14ac:dyDescent="0.25">
      <c r="A484" s="22"/>
      <c r="B484" s="22"/>
      <c r="C484" s="22"/>
      <c r="D484" s="22"/>
      <c r="E484" s="22"/>
      <c r="F484" s="22"/>
      <c r="G484"/>
      <c r="H484"/>
      <c r="I484"/>
      <c r="J484"/>
      <c r="K484"/>
      <c r="L484"/>
      <c r="M484"/>
      <c r="N484"/>
      <c r="O484"/>
      <c r="P484"/>
      <c r="Q484"/>
    </row>
    <row r="485" spans="1:17" ht="72" customHeight="1" x14ac:dyDescent="0.25">
      <c r="A485" s="22"/>
      <c r="B485" s="22"/>
      <c r="C485" s="22"/>
      <c r="D485" s="22"/>
      <c r="E485" s="22"/>
      <c r="F485" s="22"/>
      <c r="G485"/>
      <c r="H485"/>
      <c r="I485"/>
      <c r="J485"/>
      <c r="K485"/>
      <c r="L485"/>
      <c r="M485"/>
      <c r="N485"/>
      <c r="O485"/>
      <c r="P485"/>
      <c r="Q485"/>
    </row>
    <row r="486" spans="1:17" ht="72" customHeight="1" x14ac:dyDescent="0.25">
      <c r="A486" s="22"/>
      <c r="B486" s="22"/>
      <c r="C486" s="22"/>
      <c r="D486" s="22"/>
      <c r="E486" s="22"/>
      <c r="F486" s="22"/>
      <c r="G486"/>
      <c r="H486"/>
      <c r="I486"/>
      <c r="J486"/>
      <c r="K486"/>
      <c r="L486"/>
      <c r="M486"/>
      <c r="N486"/>
      <c r="O486"/>
      <c r="P486"/>
      <c r="Q486"/>
    </row>
    <row r="487" spans="1:17" ht="72" customHeight="1" x14ac:dyDescent="0.25">
      <c r="A487" s="22"/>
      <c r="B487" s="22"/>
      <c r="C487" s="22"/>
      <c r="D487" s="22"/>
      <c r="E487" s="22"/>
      <c r="F487" s="22"/>
      <c r="G487"/>
      <c r="H487"/>
      <c r="I487"/>
      <c r="J487"/>
      <c r="K487"/>
      <c r="L487"/>
      <c r="M487"/>
      <c r="N487"/>
      <c r="O487"/>
      <c r="P487"/>
      <c r="Q487"/>
    </row>
    <row r="488" spans="1:17" ht="72" customHeight="1" x14ac:dyDescent="0.25">
      <c r="A488" s="22"/>
      <c r="B488" s="22"/>
      <c r="C488" s="22"/>
      <c r="D488" s="22"/>
      <c r="E488" s="22"/>
      <c r="F488" s="22"/>
      <c r="G488"/>
      <c r="H488"/>
      <c r="I488"/>
      <c r="J488"/>
      <c r="K488"/>
      <c r="L488"/>
      <c r="M488"/>
      <c r="N488"/>
      <c r="O488"/>
      <c r="P488"/>
      <c r="Q488"/>
    </row>
    <row r="489" spans="1:17" ht="72" customHeight="1" x14ac:dyDescent="0.25">
      <c r="A489" s="22"/>
      <c r="B489" s="22"/>
      <c r="C489" s="22"/>
      <c r="D489" s="22"/>
      <c r="E489" s="22"/>
      <c r="F489" s="22"/>
      <c r="G489"/>
      <c r="H489"/>
      <c r="I489"/>
      <c r="J489"/>
      <c r="K489"/>
      <c r="L489"/>
      <c r="M489"/>
      <c r="N489"/>
      <c r="O489"/>
      <c r="P489"/>
      <c r="Q489"/>
    </row>
    <row r="490" spans="1:17" ht="72" customHeight="1" x14ac:dyDescent="0.25">
      <c r="A490" s="22"/>
      <c r="B490" s="22"/>
      <c r="C490" s="22"/>
      <c r="D490" s="22"/>
      <c r="E490" s="22"/>
      <c r="F490" s="22"/>
      <c r="G490"/>
      <c r="H490"/>
      <c r="I490"/>
      <c r="J490"/>
      <c r="K490"/>
      <c r="L490"/>
      <c r="M490"/>
      <c r="N490"/>
      <c r="O490"/>
      <c r="P490"/>
      <c r="Q490"/>
    </row>
    <row r="491" spans="1:17" ht="72" customHeight="1" x14ac:dyDescent="0.25">
      <c r="A491" s="22"/>
      <c r="B491" s="22"/>
      <c r="C491" s="22"/>
      <c r="D491" s="22"/>
      <c r="E491" s="22"/>
      <c r="F491" s="22"/>
      <c r="G491"/>
      <c r="H491"/>
      <c r="I491"/>
      <c r="J491"/>
      <c r="K491"/>
      <c r="L491"/>
      <c r="M491"/>
      <c r="N491"/>
      <c r="O491"/>
      <c r="P491"/>
      <c r="Q491"/>
    </row>
    <row r="492" spans="1:17" ht="72" customHeight="1" x14ac:dyDescent="0.25">
      <c r="A492" s="22"/>
      <c r="B492" s="22"/>
      <c r="C492" s="22"/>
      <c r="D492" s="22"/>
      <c r="E492" s="22"/>
      <c r="F492" s="22"/>
      <c r="G492"/>
      <c r="H492"/>
      <c r="I492"/>
      <c r="J492"/>
      <c r="K492"/>
      <c r="L492"/>
      <c r="M492"/>
      <c r="N492"/>
      <c r="O492"/>
      <c r="P492"/>
      <c r="Q492"/>
    </row>
    <row r="493" spans="1:17" ht="72" customHeight="1" x14ac:dyDescent="0.25">
      <c r="A493" s="22"/>
      <c r="B493" s="22"/>
      <c r="C493" s="22"/>
      <c r="D493" s="22"/>
      <c r="E493" s="22"/>
      <c r="F493" s="22"/>
      <c r="G493"/>
      <c r="H493"/>
      <c r="I493"/>
      <c r="J493"/>
      <c r="K493"/>
      <c r="L493"/>
      <c r="M493"/>
      <c r="N493"/>
      <c r="O493"/>
      <c r="P493"/>
      <c r="Q493"/>
    </row>
    <row r="494" spans="1:17" ht="72" customHeight="1" x14ac:dyDescent="0.25">
      <c r="A494" s="22"/>
      <c r="B494" s="22"/>
      <c r="C494" s="22"/>
      <c r="D494" s="22"/>
      <c r="E494" s="22"/>
      <c r="F494" s="22"/>
      <c r="G494"/>
      <c r="H494"/>
      <c r="I494"/>
      <c r="J494"/>
      <c r="K494"/>
      <c r="L494"/>
      <c r="M494"/>
      <c r="N494"/>
      <c r="O494"/>
      <c r="P494"/>
      <c r="Q494"/>
    </row>
    <row r="495" spans="1:17" ht="72" customHeight="1" x14ac:dyDescent="0.25">
      <c r="A495" s="22"/>
      <c r="B495" s="22"/>
      <c r="C495" s="22"/>
      <c r="D495" s="22"/>
      <c r="E495" s="22"/>
      <c r="F495" s="22"/>
      <c r="G495"/>
      <c r="H495"/>
      <c r="I495"/>
      <c r="J495"/>
      <c r="K495"/>
      <c r="L495"/>
      <c r="M495"/>
      <c r="N495"/>
      <c r="O495"/>
      <c r="P495"/>
      <c r="Q495"/>
    </row>
    <row r="496" spans="1:17" ht="72" customHeight="1" x14ac:dyDescent="0.25">
      <c r="A496" s="22"/>
      <c r="B496" s="22"/>
      <c r="C496" s="22"/>
      <c r="D496" s="22"/>
      <c r="E496" s="22"/>
      <c r="F496" s="22"/>
      <c r="G496"/>
      <c r="H496"/>
      <c r="I496"/>
      <c r="J496"/>
      <c r="K496"/>
      <c r="L496"/>
      <c r="M496"/>
      <c r="N496"/>
      <c r="O496"/>
      <c r="P496"/>
      <c r="Q496"/>
    </row>
    <row r="497" spans="1:17" ht="72" customHeight="1" x14ac:dyDescent="0.25">
      <c r="A497" s="22"/>
      <c r="B497" s="22"/>
      <c r="C497" s="22"/>
      <c r="D497" s="22"/>
      <c r="E497" s="22"/>
      <c r="F497" s="22"/>
      <c r="G497"/>
      <c r="H497"/>
      <c r="I497"/>
      <c r="J497"/>
      <c r="K497"/>
      <c r="L497"/>
      <c r="M497"/>
      <c r="N497"/>
      <c r="O497"/>
      <c r="P497"/>
      <c r="Q497"/>
    </row>
    <row r="498" spans="1:17" ht="72" customHeight="1" x14ac:dyDescent="0.25">
      <c r="A498" s="22"/>
      <c r="B498" s="22"/>
      <c r="C498" s="22"/>
      <c r="D498" s="22"/>
      <c r="E498" s="22"/>
      <c r="F498" s="22"/>
      <c r="G498"/>
      <c r="H498"/>
      <c r="I498"/>
      <c r="J498"/>
      <c r="K498"/>
      <c r="L498"/>
      <c r="M498"/>
      <c r="N498"/>
      <c r="O498"/>
      <c r="P498"/>
      <c r="Q498"/>
    </row>
    <row r="499" spans="1:17" ht="72" customHeight="1" x14ac:dyDescent="0.25">
      <c r="A499" s="22"/>
      <c r="B499" s="22"/>
      <c r="C499" s="22"/>
      <c r="D499" s="22"/>
      <c r="E499" s="22"/>
      <c r="F499" s="22"/>
      <c r="G499"/>
      <c r="H499"/>
      <c r="I499"/>
      <c r="J499"/>
      <c r="K499"/>
      <c r="L499"/>
      <c r="M499"/>
      <c r="N499"/>
      <c r="O499"/>
      <c r="P499"/>
      <c r="Q499"/>
    </row>
    <row r="500" spans="1:17" ht="72" customHeight="1" x14ac:dyDescent="0.25">
      <c r="A500" s="22"/>
      <c r="B500" s="22"/>
      <c r="C500" s="22"/>
      <c r="D500" s="22"/>
      <c r="E500" s="22"/>
      <c r="F500" s="22"/>
      <c r="G500"/>
      <c r="H500"/>
      <c r="I500"/>
      <c r="J500"/>
      <c r="K500"/>
      <c r="L500"/>
      <c r="M500"/>
      <c r="N500"/>
      <c r="O500"/>
      <c r="P500"/>
      <c r="Q500"/>
    </row>
    <row r="501" spans="1:17" ht="72" customHeight="1" x14ac:dyDescent="0.25">
      <c r="A501" s="22"/>
      <c r="B501" s="22"/>
      <c r="C501" s="22"/>
      <c r="D501" s="22"/>
      <c r="E501" s="22"/>
      <c r="F501" s="22"/>
      <c r="G501"/>
      <c r="H501"/>
      <c r="I501"/>
      <c r="J501"/>
      <c r="K501"/>
      <c r="L501"/>
      <c r="M501"/>
      <c r="N501"/>
      <c r="O501"/>
      <c r="P501"/>
      <c r="Q501"/>
    </row>
    <row r="502" spans="1:17" ht="72" customHeight="1" x14ac:dyDescent="0.25">
      <c r="A502" s="22"/>
      <c r="B502" s="22"/>
      <c r="C502" s="22"/>
      <c r="D502" s="22"/>
      <c r="E502" s="22"/>
      <c r="F502" s="22"/>
      <c r="G502"/>
      <c r="H502"/>
      <c r="I502"/>
      <c r="J502"/>
      <c r="K502"/>
      <c r="L502"/>
      <c r="M502"/>
      <c r="N502"/>
      <c r="O502"/>
      <c r="P502"/>
      <c r="Q502"/>
    </row>
    <row r="503" spans="1:17" ht="72" customHeight="1" x14ac:dyDescent="0.25">
      <c r="A503" s="22"/>
      <c r="B503" s="22"/>
      <c r="C503" s="22"/>
      <c r="D503" s="22"/>
      <c r="E503" s="22"/>
      <c r="F503" s="22"/>
      <c r="G503"/>
      <c r="H503"/>
      <c r="I503"/>
      <c r="J503"/>
      <c r="K503"/>
      <c r="L503"/>
      <c r="M503"/>
      <c r="N503"/>
      <c r="O503"/>
      <c r="P503"/>
      <c r="Q503"/>
    </row>
    <row r="504" spans="1:17" ht="72" customHeight="1" x14ac:dyDescent="0.25">
      <c r="A504" s="22"/>
      <c r="B504" s="22"/>
      <c r="C504" s="22"/>
      <c r="D504" s="22"/>
      <c r="E504" s="22"/>
      <c r="F504" s="22"/>
      <c r="G504"/>
      <c r="H504"/>
      <c r="I504"/>
      <c r="J504"/>
      <c r="K504"/>
      <c r="L504"/>
      <c r="M504"/>
      <c r="N504"/>
      <c r="O504"/>
      <c r="P504"/>
      <c r="Q504"/>
    </row>
    <row r="505" spans="1:17" ht="72" customHeight="1" x14ac:dyDescent="0.25">
      <c r="A505" s="22"/>
      <c r="B505" s="22"/>
      <c r="C505" s="22"/>
      <c r="D505" s="22"/>
      <c r="E505" s="22"/>
      <c r="F505" s="22"/>
      <c r="G505"/>
      <c r="H505"/>
      <c r="I505"/>
      <c r="J505"/>
      <c r="K505"/>
      <c r="L505"/>
      <c r="M505"/>
      <c r="N505"/>
      <c r="O505"/>
      <c r="P505"/>
      <c r="Q505"/>
    </row>
    <row r="506" spans="1:17" ht="72" customHeight="1" x14ac:dyDescent="0.25">
      <c r="A506" s="22"/>
      <c r="B506" s="22"/>
      <c r="C506" s="22"/>
      <c r="D506" s="22"/>
      <c r="E506" s="22"/>
      <c r="F506" s="22"/>
      <c r="G506"/>
      <c r="H506"/>
      <c r="I506"/>
      <c r="J506"/>
      <c r="K506"/>
      <c r="L506"/>
      <c r="M506"/>
      <c r="N506"/>
      <c r="O506"/>
      <c r="P506"/>
      <c r="Q506"/>
    </row>
    <row r="507" spans="1:17" ht="72" customHeight="1" x14ac:dyDescent="0.25">
      <c r="A507" s="22"/>
      <c r="B507" s="22"/>
      <c r="C507" s="22"/>
      <c r="D507" s="22"/>
      <c r="E507" s="22"/>
      <c r="F507" s="22"/>
      <c r="G507"/>
      <c r="H507"/>
      <c r="I507"/>
      <c r="J507"/>
      <c r="K507"/>
      <c r="L507"/>
      <c r="M507"/>
      <c r="N507"/>
      <c r="O507"/>
      <c r="P507"/>
      <c r="Q507"/>
    </row>
    <row r="508" spans="1:17" ht="72" customHeight="1" x14ac:dyDescent="0.25">
      <c r="A508" s="22"/>
      <c r="B508" s="22"/>
      <c r="C508" s="22"/>
      <c r="D508" s="22"/>
      <c r="E508" s="22"/>
      <c r="F508" s="22"/>
      <c r="G508"/>
      <c r="H508"/>
      <c r="I508"/>
      <c r="J508"/>
      <c r="K508"/>
      <c r="L508"/>
      <c r="M508"/>
      <c r="N508"/>
      <c r="O508"/>
      <c r="P508"/>
      <c r="Q508"/>
    </row>
    <row r="509" spans="1:17" ht="72" customHeight="1" x14ac:dyDescent="0.25">
      <c r="A509" s="22"/>
      <c r="B509" s="22"/>
      <c r="C509" s="22"/>
      <c r="D509" s="22"/>
      <c r="E509" s="22"/>
      <c r="F509" s="22"/>
      <c r="G509"/>
      <c r="H509"/>
      <c r="I509"/>
      <c r="J509"/>
      <c r="K509"/>
      <c r="L509"/>
      <c r="M509"/>
      <c r="N509"/>
      <c r="O509"/>
      <c r="P509"/>
      <c r="Q509"/>
    </row>
    <row r="510" spans="1:17" ht="72" customHeight="1" x14ac:dyDescent="0.25">
      <c r="A510" s="22"/>
      <c r="B510" s="22"/>
      <c r="C510" s="22"/>
      <c r="D510" s="22"/>
      <c r="E510" s="22"/>
      <c r="F510" s="22"/>
      <c r="G510"/>
      <c r="H510"/>
      <c r="I510"/>
      <c r="J510"/>
      <c r="K510"/>
      <c r="L510"/>
      <c r="M510"/>
      <c r="N510"/>
      <c r="O510"/>
      <c r="P510"/>
      <c r="Q510"/>
    </row>
    <row r="511" spans="1:17" ht="72" customHeight="1" x14ac:dyDescent="0.25">
      <c r="A511" s="22"/>
      <c r="B511" s="22"/>
      <c r="C511" s="22"/>
      <c r="D511" s="22"/>
      <c r="E511" s="22"/>
      <c r="F511" s="22"/>
      <c r="G511"/>
      <c r="H511"/>
      <c r="I511"/>
      <c r="J511"/>
      <c r="K511"/>
      <c r="L511"/>
      <c r="M511"/>
      <c r="N511"/>
      <c r="O511"/>
      <c r="P511"/>
      <c r="Q511"/>
    </row>
    <row r="512" spans="1:17" ht="72" customHeight="1" x14ac:dyDescent="0.25">
      <c r="A512" s="22"/>
      <c r="B512" s="22"/>
      <c r="C512" s="22"/>
      <c r="D512" s="22"/>
      <c r="E512" s="22"/>
      <c r="F512" s="22"/>
      <c r="G512"/>
      <c r="H512"/>
      <c r="I512"/>
      <c r="J512"/>
      <c r="K512"/>
      <c r="L512"/>
      <c r="M512"/>
      <c r="N512"/>
      <c r="O512"/>
      <c r="P512"/>
      <c r="Q512"/>
    </row>
    <row r="513" spans="1:17" ht="72" customHeight="1" x14ac:dyDescent="0.25">
      <c r="A513" s="22"/>
      <c r="B513" s="22"/>
      <c r="C513" s="22"/>
      <c r="D513" s="22"/>
      <c r="E513" s="22"/>
      <c r="F513" s="22"/>
      <c r="G513"/>
      <c r="H513"/>
      <c r="I513"/>
      <c r="J513"/>
      <c r="K513"/>
      <c r="L513"/>
      <c r="M513"/>
      <c r="N513"/>
      <c r="O513"/>
      <c r="P513"/>
      <c r="Q513"/>
    </row>
    <row r="514" spans="1:17" ht="72" customHeight="1" x14ac:dyDescent="0.25">
      <c r="A514" s="22"/>
      <c r="B514" s="22"/>
      <c r="C514" s="22"/>
      <c r="D514" s="22"/>
      <c r="E514" s="22"/>
      <c r="F514" s="22"/>
      <c r="G514"/>
      <c r="H514"/>
      <c r="I514"/>
      <c r="J514"/>
      <c r="K514"/>
      <c r="L514"/>
      <c r="M514"/>
      <c r="N514"/>
      <c r="O514"/>
      <c r="P514"/>
      <c r="Q514"/>
    </row>
    <row r="515" spans="1:17" ht="72" customHeight="1" x14ac:dyDescent="0.25">
      <c r="A515" s="22"/>
      <c r="B515" s="22"/>
      <c r="C515" s="22"/>
      <c r="D515" s="22"/>
      <c r="E515" s="22"/>
      <c r="F515" s="22"/>
      <c r="G515"/>
      <c r="H515"/>
      <c r="I515"/>
      <c r="J515"/>
      <c r="K515"/>
      <c r="L515"/>
      <c r="M515"/>
      <c r="N515"/>
      <c r="O515"/>
      <c r="P515"/>
      <c r="Q515"/>
    </row>
    <row r="516" spans="1:17" ht="72" customHeight="1" x14ac:dyDescent="0.25">
      <c r="A516" s="22"/>
      <c r="B516" s="22"/>
      <c r="C516" s="22"/>
      <c r="D516" s="22"/>
      <c r="E516" s="22"/>
      <c r="F516" s="22"/>
      <c r="G516"/>
      <c r="H516"/>
      <c r="I516"/>
      <c r="J516"/>
      <c r="K516"/>
      <c r="L516"/>
      <c r="M516"/>
      <c r="N516"/>
      <c r="O516"/>
      <c r="P516"/>
      <c r="Q516"/>
    </row>
    <row r="517" spans="1:17" ht="72" customHeight="1" x14ac:dyDescent="0.25">
      <c r="A517" s="22"/>
      <c r="B517" s="22"/>
      <c r="C517" s="22"/>
      <c r="D517" s="22"/>
      <c r="E517" s="22"/>
      <c r="F517" s="22"/>
      <c r="G517"/>
      <c r="H517"/>
      <c r="I517"/>
      <c r="J517"/>
      <c r="K517"/>
      <c r="L517"/>
      <c r="M517"/>
      <c r="N517"/>
      <c r="O517"/>
      <c r="P517"/>
      <c r="Q517"/>
    </row>
    <row r="518" spans="1:17" ht="72" customHeight="1" x14ac:dyDescent="0.25">
      <c r="A518" s="22"/>
      <c r="B518" s="22"/>
      <c r="C518" s="22"/>
      <c r="D518" s="22"/>
      <c r="E518" s="22"/>
      <c r="F518" s="22"/>
      <c r="G518"/>
      <c r="H518"/>
      <c r="I518"/>
      <c r="J518"/>
      <c r="K518"/>
      <c r="L518"/>
      <c r="M518"/>
      <c r="N518"/>
      <c r="O518"/>
      <c r="P518"/>
      <c r="Q518"/>
    </row>
    <row r="519" spans="1:17" ht="72" customHeight="1" x14ac:dyDescent="0.25">
      <c r="A519" s="22"/>
      <c r="B519" s="22"/>
      <c r="C519" s="22"/>
      <c r="D519" s="22"/>
      <c r="E519" s="22"/>
      <c r="F519" s="22"/>
      <c r="G519"/>
      <c r="H519"/>
      <c r="I519"/>
      <c r="J519"/>
      <c r="K519"/>
      <c r="L519"/>
      <c r="M519"/>
      <c r="N519"/>
      <c r="O519"/>
      <c r="P519"/>
      <c r="Q519"/>
    </row>
    <row r="520" spans="1:17" ht="72" customHeight="1" x14ac:dyDescent="0.25">
      <c r="A520" s="22"/>
      <c r="B520" s="22"/>
      <c r="C520" s="22"/>
      <c r="D520" s="22"/>
      <c r="E520" s="22"/>
      <c r="F520" s="22"/>
      <c r="G520"/>
      <c r="H520"/>
      <c r="I520"/>
      <c r="J520"/>
      <c r="K520"/>
      <c r="L520"/>
      <c r="M520"/>
      <c r="N520"/>
      <c r="O520"/>
      <c r="P520"/>
      <c r="Q520"/>
    </row>
    <row r="521" spans="1:17" ht="72" customHeight="1" x14ac:dyDescent="0.25">
      <c r="A521" s="22"/>
      <c r="B521" s="22"/>
      <c r="C521" s="22"/>
      <c r="D521" s="22"/>
      <c r="E521" s="22"/>
      <c r="F521" s="22"/>
      <c r="G521"/>
      <c r="H521"/>
      <c r="I521"/>
      <c r="J521"/>
      <c r="K521"/>
      <c r="L521"/>
      <c r="M521"/>
      <c r="N521"/>
      <c r="O521"/>
      <c r="P521"/>
      <c r="Q521"/>
    </row>
    <row r="522" spans="1:17" ht="72" customHeight="1" x14ac:dyDescent="0.25">
      <c r="A522" s="22"/>
      <c r="B522" s="22"/>
      <c r="C522" s="22"/>
      <c r="D522" s="22"/>
      <c r="E522" s="22"/>
      <c r="F522" s="22"/>
      <c r="G522"/>
      <c r="H522"/>
      <c r="I522"/>
      <c r="J522"/>
      <c r="K522"/>
      <c r="L522"/>
      <c r="M522"/>
      <c r="N522"/>
      <c r="O522"/>
      <c r="P522"/>
      <c r="Q522"/>
    </row>
    <row r="523" spans="1:17" ht="72" customHeight="1" x14ac:dyDescent="0.25">
      <c r="A523" s="22"/>
      <c r="B523" s="22"/>
      <c r="C523" s="22"/>
      <c r="D523" s="22"/>
      <c r="E523" s="22"/>
      <c r="F523" s="22"/>
      <c r="G523"/>
      <c r="H523"/>
      <c r="I523"/>
      <c r="J523"/>
      <c r="K523"/>
      <c r="L523"/>
      <c r="M523"/>
      <c r="N523"/>
      <c r="O523"/>
      <c r="P523"/>
      <c r="Q523"/>
    </row>
    <row r="524" spans="1:17" ht="72" customHeight="1" x14ac:dyDescent="0.25">
      <c r="A524" s="22"/>
      <c r="B524" s="22"/>
      <c r="C524" s="22"/>
      <c r="D524" s="22"/>
      <c r="E524" s="22"/>
      <c r="F524" s="22"/>
      <c r="G524"/>
      <c r="H524"/>
      <c r="I524"/>
      <c r="J524"/>
      <c r="K524"/>
      <c r="L524"/>
      <c r="M524"/>
      <c r="N524"/>
      <c r="O524"/>
      <c r="P524"/>
      <c r="Q524"/>
    </row>
    <row r="525" spans="1:17" ht="72" customHeight="1" x14ac:dyDescent="0.25">
      <c r="A525" s="22"/>
      <c r="B525" s="22"/>
      <c r="C525" s="22"/>
      <c r="D525" s="22"/>
      <c r="E525" s="22"/>
      <c r="F525" s="22"/>
      <c r="G525"/>
      <c r="H525"/>
      <c r="I525"/>
      <c r="J525"/>
      <c r="K525"/>
      <c r="L525"/>
      <c r="M525"/>
      <c r="N525"/>
      <c r="O525"/>
      <c r="P525"/>
      <c r="Q525"/>
    </row>
    <row r="526" spans="1:17" ht="72" customHeight="1" x14ac:dyDescent="0.25">
      <c r="A526" s="22"/>
      <c r="B526" s="22"/>
      <c r="C526" s="22"/>
      <c r="D526" s="22"/>
      <c r="E526" s="22"/>
      <c r="F526" s="22"/>
      <c r="G526"/>
      <c r="H526"/>
      <c r="I526"/>
      <c r="J526"/>
      <c r="K526"/>
      <c r="L526"/>
      <c r="M526"/>
      <c r="N526"/>
      <c r="O526"/>
      <c r="P526"/>
      <c r="Q526"/>
    </row>
    <row r="527" spans="1:17" ht="72" customHeight="1" x14ac:dyDescent="0.25">
      <c r="A527" s="22"/>
      <c r="B527" s="22"/>
      <c r="C527" s="22"/>
      <c r="D527" s="22"/>
      <c r="E527" s="22"/>
      <c r="F527" s="22"/>
      <c r="G527"/>
      <c r="H527"/>
      <c r="I527"/>
      <c r="J527"/>
      <c r="K527"/>
      <c r="L527"/>
      <c r="M527"/>
      <c r="N527"/>
      <c r="O527"/>
      <c r="P527"/>
      <c r="Q527"/>
    </row>
    <row r="528" spans="1:17" ht="72" customHeight="1" x14ac:dyDescent="0.25">
      <c r="A528" s="22"/>
      <c r="B528" s="22"/>
      <c r="C528" s="22"/>
      <c r="D528" s="22"/>
      <c r="E528" s="22"/>
      <c r="F528" s="22"/>
      <c r="G528"/>
      <c r="H528"/>
      <c r="I528"/>
      <c r="J528"/>
      <c r="K528"/>
      <c r="L528"/>
      <c r="M528"/>
      <c r="N528"/>
      <c r="O528"/>
      <c r="P528"/>
      <c r="Q528"/>
    </row>
    <row r="529" spans="1:17" ht="72" customHeight="1" x14ac:dyDescent="0.25">
      <c r="A529" s="22"/>
      <c r="B529" s="22"/>
      <c r="C529" s="22"/>
      <c r="D529" s="22"/>
      <c r="E529" s="22"/>
      <c r="F529" s="22"/>
      <c r="G529"/>
      <c r="H529"/>
      <c r="I529"/>
      <c r="J529"/>
      <c r="K529"/>
      <c r="L529"/>
      <c r="M529"/>
      <c r="N529"/>
      <c r="O529"/>
      <c r="P529"/>
      <c r="Q529"/>
    </row>
    <row r="530" spans="1:17" ht="72" customHeight="1" x14ac:dyDescent="0.25">
      <c r="A530" s="22"/>
      <c r="B530" s="22"/>
      <c r="C530" s="22"/>
      <c r="D530" s="22"/>
      <c r="E530" s="22"/>
      <c r="F530" s="22"/>
      <c r="G530"/>
      <c r="H530"/>
      <c r="I530"/>
      <c r="J530"/>
      <c r="K530"/>
      <c r="L530"/>
      <c r="M530"/>
      <c r="N530"/>
      <c r="O530"/>
      <c r="P530"/>
      <c r="Q530"/>
    </row>
    <row r="531" spans="1:17" ht="72" customHeight="1" x14ac:dyDescent="0.25">
      <c r="A531" s="22"/>
      <c r="B531" s="22"/>
      <c r="C531" s="22"/>
      <c r="D531" s="22"/>
      <c r="E531" s="22"/>
      <c r="F531" s="22"/>
      <c r="G531"/>
      <c r="H531"/>
      <c r="I531"/>
      <c r="J531"/>
      <c r="K531"/>
      <c r="L531"/>
      <c r="M531"/>
      <c r="N531"/>
      <c r="O531"/>
      <c r="P531"/>
      <c r="Q531"/>
    </row>
    <row r="532" spans="1:17" ht="72" customHeight="1" x14ac:dyDescent="0.25">
      <c r="A532" s="22"/>
      <c r="B532" s="22"/>
      <c r="C532" s="22"/>
      <c r="D532" s="22"/>
      <c r="E532" s="22"/>
      <c r="F532" s="22"/>
      <c r="G532"/>
      <c r="H532"/>
      <c r="I532"/>
      <c r="J532"/>
      <c r="K532"/>
      <c r="L532"/>
      <c r="M532"/>
      <c r="N532"/>
      <c r="O532"/>
      <c r="P532"/>
      <c r="Q532"/>
    </row>
    <row r="533" spans="1:17" ht="72" customHeight="1" x14ac:dyDescent="0.25">
      <c r="A533" s="22"/>
      <c r="B533" s="22"/>
      <c r="C533" s="22"/>
      <c r="D533" s="22"/>
      <c r="E533" s="22"/>
      <c r="F533" s="22"/>
      <c r="G533"/>
      <c r="H533"/>
      <c r="I533"/>
      <c r="J533"/>
      <c r="K533"/>
      <c r="L533"/>
      <c r="M533"/>
      <c r="N533"/>
      <c r="O533"/>
      <c r="P533"/>
      <c r="Q533"/>
    </row>
    <row r="534" spans="1:17" ht="72" customHeight="1" x14ac:dyDescent="0.25">
      <c r="A534" s="22"/>
      <c r="B534" s="22"/>
      <c r="C534" s="22"/>
      <c r="D534" s="22"/>
      <c r="E534" s="22"/>
      <c r="F534" s="22"/>
      <c r="G534"/>
      <c r="H534"/>
      <c r="I534"/>
      <c r="J534"/>
      <c r="K534"/>
      <c r="L534"/>
      <c r="M534"/>
      <c r="N534"/>
      <c r="O534"/>
      <c r="P534"/>
      <c r="Q534"/>
    </row>
    <row r="535" spans="1:17" ht="72" customHeight="1" x14ac:dyDescent="0.25">
      <c r="A535" s="22"/>
      <c r="B535" s="22"/>
      <c r="C535" s="22"/>
      <c r="D535" s="22"/>
      <c r="E535" s="22"/>
      <c r="F535" s="22"/>
      <c r="G535"/>
      <c r="H535"/>
      <c r="I535"/>
      <c r="J535"/>
      <c r="K535"/>
      <c r="L535"/>
      <c r="M535"/>
      <c r="N535"/>
      <c r="O535"/>
      <c r="P535"/>
      <c r="Q535"/>
    </row>
    <row r="536" spans="1:17" ht="72" customHeight="1" x14ac:dyDescent="0.25">
      <c r="A536" s="22"/>
      <c r="B536" s="22"/>
      <c r="C536" s="22"/>
      <c r="D536" s="22"/>
      <c r="E536" s="22"/>
      <c r="F536" s="22"/>
      <c r="G536"/>
      <c r="H536"/>
      <c r="I536"/>
      <c r="J536"/>
      <c r="K536"/>
      <c r="L536"/>
      <c r="M536"/>
      <c r="N536"/>
      <c r="O536"/>
      <c r="P536"/>
      <c r="Q536"/>
    </row>
    <row r="537" spans="1:17" ht="72" customHeight="1" x14ac:dyDescent="0.25">
      <c r="A537" s="22"/>
      <c r="B537" s="22"/>
      <c r="C537" s="22"/>
      <c r="D537" s="22"/>
      <c r="E537" s="22"/>
      <c r="F537" s="22"/>
      <c r="G537"/>
      <c r="H537"/>
      <c r="I537"/>
      <c r="J537"/>
      <c r="K537"/>
      <c r="L537"/>
      <c r="M537"/>
      <c r="N537"/>
      <c r="O537"/>
      <c r="P537"/>
      <c r="Q537"/>
    </row>
    <row r="538" spans="1:17" ht="72" customHeight="1" x14ac:dyDescent="0.25">
      <c r="A538" s="22"/>
      <c r="B538" s="22"/>
      <c r="C538" s="22"/>
      <c r="D538" s="22"/>
      <c r="E538" s="22"/>
      <c r="F538" s="22"/>
      <c r="G538"/>
      <c r="H538"/>
      <c r="I538"/>
      <c r="J538"/>
      <c r="K538"/>
      <c r="L538"/>
      <c r="M538"/>
      <c r="N538"/>
      <c r="O538"/>
      <c r="P538"/>
      <c r="Q538"/>
    </row>
    <row r="539" spans="1:17" ht="72" customHeight="1" x14ac:dyDescent="0.25">
      <c r="A539" s="22"/>
      <c r="B539" s="22"/>
      <c r="C539" s="22"/>
      <c r="D539" s="22"/>
      <c r="E539" s="22"/>
      <c r="F539" s="22"/>
      <c r="G539"/>
      <c r="H539"/>
      <c r="I539"/>
      <c r="J539"/>
      <c r="K539"/>
      <c r="L539"/>
      <c r="M539"/>
      <c r="N539"/>
      <c r="O539"/>
      <c r="P539"/>
      <c r="Q539"/>
    </row>
    <row r="540" spans="1:17" ht="72" customHeight="1" x14ac:dyDescent="0.25">
      <c r="A540" s="22"/>
      <c r="B540" s="22"/>
      <c r="C540" s="22"/>
      <c r="D540" s="22"/>
      <c r="E540" s="22"/>
      <c r="F540" s="22"/>
      <c r="G540"/>
      <c r="H540"/>
      <c r="I540"/>
      <c r="J540"/>
      <c r="K540"/>
      <c r="L540"/>
      <c r="M540"/>
      <c r="N540"/>
      <c r="O540"/>
      <c r="P540"/>
      <c r="Q540"/>
    </row>
    <row r="541" spans="1:17" ht="72" customHeight="1" x14ac:dyDescent="0.25">
      <c r="A541" s="22"/>
      <c r="B541" s="22"/>
      <c r="C541" s="22"/>
      <c r="D541" s="22"/>
      <c r="E541" s="22"/>
      <c r="F541" s="22"/>
      <c r="G541"/>
      <c r="H541"/>
      <c r="I541"/>
      <c r="J541"/>
      <c r="K541"/>
      <c r="L541"/>
      <c r="M541"/>
      <c r="N541"/>
      <c r="O541"/>
      <c r="P541"/>
      <c r="Q541"/>
    </row>
    <row r="542" spans="1:17" ht="72" customHeight="1" x14ac:dyDescent="0.25">
      <c r="A542" s="22"/>
      <c r="B542" s="22"/>
      <c r="C542" s="22"/>
      <c r="D542" s="22"/>
      <c r="E542" s="22"/>
      <c r="F542" s="22"/>
      <c r="G542"/>
      <c r="H542"/>
      <c r="I542"/>
      <c r="J542"/>
      <c r="K542"/>
      <c r="L542"/>
      <c r="M542"/>
      <c r="N542"/>
      <c r="O542"/>
      <c r="P542"/>
      <c r="Q542"/>
    </row>
    <row r="543" spans="1:17" ht="72" customHeight="1" x14ac:dyDescent="0.25">
      <c r="A543" s="22"/>
      <c r="B543" s="22"/>
      <c r="C543" s="22"/>
      <c r="D543" s="22"/>
      <c r="E543" s="22"/>
      <c r="F543" s="22"/>
      <c r="G543"/>
      <c r="H543"/>
      <c r="I543"/>
      <c r="J543"/>
      <c r="K543"/>
      <c r="L543"/>
      <c r="M543"/>
      <c r="N543"/>
      <c r="O543"/>
      <c r="P543"/>
      <c r="Q543"/>
    </row>
    <row r="544" spans="1:17" ht="72" customHeight="1" x14ac:dyDescent="0.25">
      <c r="A544" s="22"/>
      <c r="B544" s="22"/>
      <c r="C544" s="22"/>
      <c r="D544" s="22"/>
      <c r="E544" s="22"/>
      <c r="F544" s="22"/>
      <c r="G544"/>
      <c r="H544"/>
      <c r="I544"/>
      <c r="J544"/>
      <c r="K544"/>
      <c r="L544"/>
      <c r="M544"/>
      <c r="N544"/>
      <c r="O544"/>
      <c r="P544"/>
      <c r="Q544"/>
    </row>
    <row r="545" spans="1:17" ht="72" customHeight="1" x14ac:dyDescent="0.25">
      <c r="A545" s="22"/>
      <c r="B545" s="22"/>
      <c r="C545" s="22"/>
      <c r="D545" s="22"/>
      <c r="E545" s="22"/>
      <c r="F545" s="22"/>
      <c r="G545"/>
      <c r="H545"/>
      <c r="I545"/>
      <c r="J545"/>
      <c r="K545"/>
      <c r="L545"/>
      <c r="M545"/>
      <c r="N545"/>
      <c r="O545"/>
      <c r="P545"/>
      <c r="Q545"/>
    </row>
    <row r="546" spans="1:17" ht="72" customHeight="1" x14ac:dyDescent="0.25">
      <c r="A546" s="22"/>
      <c r="B546" s="22"/>
      <c r="C546" s="22"/>
      <c r="D546" s="22"/>
      <c r="E546" s="22"/>
      <c r="F546" s="22"/>
      <c r="G546"/>
      <c r="H546"/>
      <c r="I546"/>
      <c r="J546"/>
      <c r="K546"/>
      <c r="L546"/>
      <c r="M546"/>
      <c r="N546"/>
      <c r="O546"/>
      <c r="P546"/>
      <c r="Q546"/>
    </row>
    <row r="547" spans="1:17" ht="72" customHeight="1" x14ac:dyDescent="0.25">
      <c r="A547" s="22"/>
      <c r="B547" s="22"/>
      <c r="C547" s="22"/>
      <c r="D547" s="22"/>
      <c r="E547" s="22"/>
      <c r="F547" s="22"/>
      <c r="G547"/>
      <c r="H547"/>
      <c r="I547"/>
      <c r="J547"/>
      <c r="K547"/>
      <c r="L547"/>
      <c r="M547"/>
      <c r="N547"/>
      <c r="O547"/>
      <c r="P547"/>
      <c r="Q547"/>
    </row>
    <row r="548" spans="1:17" ht="72" customHeight="1" x14ac:dyDescent="0.25">
      <c r="A548" s="22"/>
      <c r="B548" s="22"/>
      <c r="C548" s="22"/>
      <c r="D548" s="22"/>
      <c r="E548" s="22"/>
      <c r="F548" s="22"/>
      <c r="G548"/>
      <c r="H548"/>
      <c r="I548"/>
      <c r="J548"/>
      <c r="K548"/>
      <c r="L548"/>
      <c r="M548"/>
      <c r="N548"/>
      <c r="O548"/>
      <c r="P548"/>
      <c r="Q548"/>
    </row>
    <row r="549" spans="1:17" ht="72" customHeight="1" x14ac:dyDescent="0.25">
      <c r="A549" s="22"/>
      <c r="B549" s="22"/>
      <c r="C549" s="22"/>
      <c r="D549" s="22"/>
      <c r="E549" s="22"/>
      <c r="F549" s="22"/>
      <c r="G549"/>
      <c r="H549"/>
      <c r="I549"/>
      <c r="J549"/>
      <c r="K549"/>
      <c r="L549"/>
      <c r="M549"/>
      <c r="N549"/>
      <c r="O549"/>
      <c r="P549"/>
      <c r="Q549"/>
    </row>
    <row r="550" spans="1:17" ht="72" customHeight="1" x14ac:dyDescent="0.25">
      <c r="A550" s="22"/>
      <c r="B550" s="22"/>
      <c r="C550" s="22"/>
      <c r="D550" s="22"/>
      <c r="E550" s="22"/>
      <c r="F550" s="22"/>
      <c r="G550"/>
      <c r="H550"/>
      <c r="I550"/>
      <c r="J550"/>
      <c r="K550"/>
      <c r="L550"/>
      <c r="M550"/>
      <c r="N550"/>
      <c r="O550"/>
      <c r="P550"/>
      <c r="Q550"/>
    </row>
    <row r="551" spans="1:17" ht="72" customHeight="1" x14ac:dyDescent="0.25">
      <c r="A551" s="22"/>
      <c r="B551" s="22"/>
      <c r="C551" s="22"/>
      <c r="D551" s="22"/>
      <c r="E551" s="22"/>
      <c r="F551" s="22"/>
      <c r="G551"/>
      <c r="H551"/>
      <c r="I551"/>
      <c r="J551"/>
      <c r="K551"/>
      <c r="L551"/>
      <c r="M551"/>
      <c r="N551"/>
      <c r="O551"/>
      <c r="P551"/>
      <c r="Q551"/>
    </row>
    <row r="552" spans="1:17" ht="72" customHeight="1" x14ac:dyDescent="0.25">
      <c r="A552" s="22"/>
      <c r="B552" s="22"/>
      <c r="C552" s="22"/>
      <c r="D552" s="22"/>
      <c r="E552" s="22"/>
      <c r="F552" s="22"/>
      <c r="G552"/>
      <c r="H552"/>
      <c r="I552"/>
      <c r="J552"/>
      <c r="K552"/>
      <c r="L552"/>
      <c r="M552"/>
      <c r="N552"/>
      <c r="O552"/>
      <c r="P552"/>
      <c r="Q552"/>
    </row>
    <row r="553" spans="1:17" ht="72" customHeight="1" x14ac:dyDescent="0.25">
      <c r="A553" s="22"/>
      <c r="B553" s="22"/>
      <c r="C553" s="22"/>
      <c r="D553" s="22"/>
      <c r="E553" s="22"/>
      <c r="F553" s="22"/>
      <c r="G553"/>
      <c r="H553"/>
      <c r="I553"/>
      <c r="J553"/>
      <c r="K553"/>
      <c r="L553"/>
      <c r="M553"/>
      <c r="N553"/>
      <c r="O553"/>
      <c r="P553"/>
      <c r="Q553"/>
    </row>
    <row r="554" spans="1:17" ht="72" customHeight="1" x14ac:dyDescent="0.25">
      <c r="A554" s="22"/>
      <c r="B554" s="22"/>
      <c r="C554" s="22"/>
      <c r="D554" s="22"/>
      <c r="E554" s="22"/>
      <c r="F554" s="22"/>
      <c r="G554"/>
      <c r="H554"/>
      <c r="I554"/>
      <c r="J554"/>
      <c r="K554"/>
      <c r="L554"/>
      <c r="M554"/>
      <c r="N554"/>
      <c r="O554"/>
      <c r="P554"/>
      <c r="Q554"/>
    </row>
    <row r="555" spans="1:17" ht="72" customHeight="1" x14ac:dyDescent="0.25">
      <c r="A555" s="22"/>
      <c r="B555" s="22"/>
      <c r="C555" s="22"/>
      <c r="D555" s="22"/>
      <c r="E555" s="22"/>
      <c r="F555" s="22"/>
      <c r="G555"/>
      <c r="H555"/>
      <c r="I555"/>
      <c r="J555"/>
      <c r="K555"/>
      <c r="L555"/>
      <c r="M555"/>
      <c r="N555"/>
      <c r="O555"/>
      <c r="P555"/>
      <c r="Q555"/>
    </row>
    <row r="556" spans="1:17" ht="72" customHeight="1" x14ac:dyDescent="0.25">
      <c r="A556" s="22"/>
      <c r="B556" s="22"/>
      <c r="C556" s="22"/>
      <c r="D556" s="22"/>
      <c r="E556" s="22"/>
      <c r="F556" s="22"/>
      <c r="G556"/>
      <c r="H556"/>
      <c r="I556"/>
      <c r="J556"/>
      <c r="K556"/>
      <c r="L556"/>
      <c r="M556"/>
      <c r="N556"/>
      <c r="O556"/>
      <c r="P556"/>
      <c r="Q556"/>
    </row>
    <row r="557" spans="1:17" ht="72" customHeight="1" x14ac:dyDescent="0.25">
      <c r="A557" s="22"/>
      <c r="B557" s="22"/>
      <c r="C557" s="22"/>
      <c r="D557" s="22"/>
      <c r="E557" s="22"/>
      <c r="F557" s="22"/>
      <c r="G557"/>
      <c r="H557"/>
      <c r="I557"/>
      <c r="J557"/>
      <c r="K557"/>
      <c r="L557"/>
      <c r="M557"/>
      <c r="N557"/>
      <c r="O557"/>
      <c r="P557"/>
      <c r="Q557"/>
    </row>
    <row r="558" spans="1:17" ht="72" customHeight="1" x14ac:dyDescent="0.25">
      <c r="A558" s="22"/>
      <c r="B558" s="22"/>
      <c r="C558" s="22"/>
      <c r="D558" s="22"/>
      <c r="E558" s="22"/>
      <c r="F558" s="22"/>
      <c r="G558"/>
      <c r="H558"/>
      <c r="I558"/>
      <c r="J558"/>
      <c r="K558"/>
      <c r="L558"/>
      <c r="M558"/>
      <c r="N558"/>
      <c r="O558"/>
      <c r="P558"/>
      <c r="Q558"/>
    </row>
    <row r="559" spans="1:17" ht="72" customHeight="1" x14ac:dyDescent="0.25">
      <c r="A559" s="22"/>
      <c r="B559" s="22"/>
      <c r="C559" s="22"/>
      <c r="D559" s="22"/>
      <c r="E559" s="22"/>
      <c r="F559" s="22"/>
      <c r="G559"/>
      <c r="H559"/>
      <c r="I559"/>
      <c r="J559"/>
      <c r="K559"/>
      <c r="L559"/>
      <c r="M559"/>
      <c r="N559"/>
      <c r="O559"/>
      <c r="P559"/>
      <c r="Q559"/>
    </row>
    <row r="560" spans="1:17" ht="72" customHeight="1" x14ac:dyDescent="0.25">
      <c r="A560" s="22"/>
      <c r="B560" s="22"/>
      <c r="C560" s="22"/>
      <c r="D560" s="22"/>
      <c r="E560" s="22"/>
      <c r="F560" s="22"/>
      <c r="G560"/>
      <c r="H560"/>
      <c r="I560"/>
      <c r="J560"/>
      <c r="K560"/>
      <c r="L560"/>
      <c r="M560"/>
      <c r="N560"/>
      <c r="O560"/>
      <c r="P560"/>
      <c r="Q560"/>
    </row>
    <row r="561" spans="1:17" ht="72" customHeight="1" x14ac:dyDescent="0.25">
      <c r="A561" s="22"/>
      <c r="B561" s="22"/>
      <c r="C561" s="22"/>
      <c r="D561" s="22"/>
      <c r="E561" s="22"/>
      <c r="F561" s="22"/>
      <c r="G561"/>
      <c r="H561"/>
      <c r="I561"/>
      <c r="J561"/>
      <c r="K561"/>
      <c r="L561"/>
      <c r="M561"/>
      <c r="N561"/>
      <c r="O561"/>
      <c r="P561"/>
      <c r="Q561"/>
    </row>
    <row r="562" spans="1:17" ht="72" customHeight="1" x14ac:dyDescent="0.25">
      <c r="A562" s="22"/>
      <c r="B562" s="22"/>
      <c r="C562" s="22"/>
      <c r="D562" s="22"/>
      <c r="E562" s="22"/>
      <c r="F562" s="22"/>
      <c r="G562"/>
      <c r="H562"/>
      <c r="I562"/>
      <c r="J562"/>
      <c r="K562"/>
      <c r="L562"/>
      <c r="M562"/>
      <c r="N562"/>
      <c r="O562"/>
      <c r="P562"/>
      <c r="Q562"/>
    </row>
    <row r="563" spans="1:17" ht="72" customHeight="1" x14ac:dyDescent="0.25">
      <c r="A563" s="22"/>
      <c r="B563" s="22"/>
      <c r="C563" s="22"/>
      <c r="D563" s="22"/>
      <c r="E563" s="22"/>
      <c r="F563" s="22"/>
      <c r="G563"/>
      <c r="H563"/>
      <c r="I563"/>
      <c r="J563"/>
      <c r="K563"/>
      <c r="L563"/>
      <c r="M563"/>
      <c r="N563"/>
      <c r="O563"/>
      <c r="P563"/>
      <c r="Q563"/>
    </row>
    <row r="564" spans="1:17" ht="72" customHeight="1" x14ac:dyDescent="0.25">
      <c r="A564" s="22"/>
      <c r="B564" s="22"/>
      <c r="C564" s="22"/>
      <c r="D564" s="22"/>
      <c r="E564" s="22"/>
      <c r="F564" s="22"/>
      <c r="G564"/>
      <c r="H564"/>
      <c r="I564"/>
      <c r="J564"/>
      <c r="K564"/>
      <c r="L564"/>
      <c r="M564"/>
      <c r="N564"/>
      <c r="O564"/>
      <c r="P564"/>
      <c r="Q564"/>
    </row>
    <row r="565" spans="1:17" ht="72" customHeight="1" x14ac:dyDescent="0.25">
      <c r="A565" s="22"/>
      <c r="B565" s="22"/>
      <c r="C565" s="22"/>
      <c r="D565" s="22"/>
      <c r="E565" s="22"/>
      <c r="F565" s="22"/>
      <c r="G565"/>
      <c r="H565"/>
      <c r="I565"/>
      <c r="J565"/>
      <c r="K565"/>
      <c r="L565"/>
      <c r="M565"/>
      <c r="N565"/>
      <c r="O565"/>
      <c r="P565"/>
      <c r="Q565"/>
    </row>
    <row r="566" spans="1:17" ht="72" customHeight="1" x14ac:dyDescent="0.25">
      <c r="A566" s="22"/>
      <c r="B566" s="22"/>
      <c r="C566" s="22"/>
      <c r="D566" s="22"/>
      <c r="E566" s="22"/>
      <c r="F566" s="22"/>
      <c r="G566"/>
      <c r="H566"/>
      <c r="I566"/>
      <c r="J566"/>
      <c r="K566"/>
      <c r="L566"/>
      <c r="M566"/>
      <c r="N566"/>
      <c r="O566"/>
      <c r="P566"/>
      <c r="Q566"/>
    </row>
    <row r="567" spans="1:17" ht="72" customHeight="1" x14ac:dyDescent="0.25">
      <c r="A567" s="22"/>
      <c r="B567" s="22"/>
      <c r="C567" s="22"/>
      <c r="D567" s="22"/>
      <c r="E567" s="22"/>
      <c r="F567" s="22"/>
      <c r="G567"/>
      <c r="H567"/>
      <c r="I567"/>
      <c r="J567"/>
      <c r="K567"/>
      <c r="L567"/>
      <c r="M567"/>
      <c r="N567"/>
      <c r="O567"/>
      <c r="P567"/>
      <c r="Q567"/>
    </row>
    <row r="568" spans="1:17" ht="72" customHeight="1" x14ac:dyDescent="0.25">
      <c r="A568" s="22"/>
      <c r="B568" s="22"/>
      <c r="C568" s="22"/>
      <c r="D568" s="22"/>
      <c r="E568" s="22"/>
      <c r="F568" s="22"/>
      <c r="G568"/>
      <c r="H568"/>
      <c r="I568"/>
      <c r="J568"/>
      <c r="K568"/>
      <c r="L568"/>
      <c r="M568"/>
      <c r="N568"/>
      <c r="O568"/>
      <c r="P568"/>
      <c r="Q568"/>
    </row>
    <row r="569" spans="1:17" ht="72" customHeight="1" x14ac:dyDescent="0.25">
      <c r="A569" s="22"/>
      <c r="B569" s="22"/>
      <c r="C569" s="22"/>
      <c r="D569" s="22"/>
      <c r="E569" s="22"/>
      <c r="F569" s="22"/>
      <c r="G569"/>
      <c r="H569"/>
      <c r="I569"/>
      <c r="J569"/>
      <c r="K569"/>
      <c r="L569"/>
      <c r="M569"/>
      <c r="N569"/>
      <c r="O569"/>
      <c r="P569"/>
      <c r="Q569"/>
    </row>
    <row r="570" spans="1:17" ht="72" customHeight="1" x14ac:dyDescent="0.25">
      <c r="A570" s="22"/>
      <c r="B570" s="22"/>
      <c r="C570" s="22"/>
      <c r="D570" s="22"/>
      <c r="E570" s="22"/>
      <c r="F570" s="22"/>
      <c r="G570"/>
      <c r="H570"/>
      <c r="I570"/>
      <c r="J570"/>
      <c r="K570"/>
      <c r="L570"/>
      <c r="M570"/>
      <c r="N570"/>
      <c r="O570"/>
      <c r="P570"/>
      <c r="Q570"/>
    </row>
    <row r="571" spans="1:17" ht="72" customHeight="1" x14ac:dyDescent="0.25">
      <c r="A571" s="22"/>
      <c r="B571" s="22"/>
      <c r="C571" s="22"/>
      <c r="D571" s="22"/>
      <c r="E571" s="22"/>
      <c r="F571" s="22"/>
      <c r="G571"/>
      <c r="H571"/>
      <c r="I571"/>
      <c r="J571"/>
      <c r="K571"/>
      <c r="L571"/>
      <c r="M571"/>
      <c r="N571"/>
      <c r="O571"/>
      <c r="P571"/>
      <c r="Q571"/>
    </row>
    <row r="572" spans="1:17" ht="72" customHeight="1" x14ac:dyDescent="0.25">
      <c r="A572" s="22"/>
      <c r="B572" s="22"/>
      <c r="C572" s="22"/>
      <c r="D572" s="22"/>
      <c r="E572" s="22"/>
      <c r="F572" s="22"/>
      <c r="G572"/>
      <c r="H572"/>
      <c r="I572"/>
      <c r="J572"/>
      <c r="K572"/>
      <c r="L572"/>
      <c r="M572"/>
      <c r="N572"/>
      <c r="O572"/>
      <c r="P572"/>
      <c r="Q572"/>
    </row>
    <row r="573" spans="1:17" ht="72" customHeight="1" x14ac:dyDescent="0.25">
      <c r="A573" s="22"/>
      <c r="B573" s="22"/>
      <c r="C573" s="22"/>
      <c r="D573" s="22"/>
      <c r="E573" s="22"/>
      <c r="F573" s="22"/>
      <c r="G573"/>
      <c r="H573"/>
      <c r="I573"/>
      <c r="J573"/>
      <c r="K573"/>
      <c r="L573"/>
      <c r="M573"/>
      <c r="N573"/>
      <c r="O573"/>
      <c r="P573"/>
      <c r="Q573"/>
    </row>
    <row r="574" spans="1:17" ht="72" customHeight="1" x14ac:dyDescent="0.25">
      <c r="A574" s="22"/>
      <c r="B574" s="22"/>
      <c r="C574" s="22"/>
      <c r="D574" s="22"/>
      <c r="E574" s="22"/>
      <c r="F574" s="22"/>
      <c r="G574"/>
      <c r="H574"/>
      <c r="I574"/>
      <c r="J574"/>
      <c r="K574"/>
      <c r="L574"/>
      <c r="M574"/>
      <c r="N574"/>
      <c r="O574"/>
      <c r="P574"/>
      <c r="Q574"/>
    </row>
    <row r="575" spans="1:17" ht="72" customHeight="1" x14ac:dyDescent="0.25">
      <c r="A575" s="22"/>
      <c r="B575" s="22"/>
      <c r="C575" s="22"/>
      <c r="D575" s="22"/>
      <c r="E575" s="22"/>
      <c r="F575" s="22"/>
      <c r="G575"/>
      <c r="H575"/>
      <c r="I575"/>
      <c r="J575"/>
      <c r="K575"/>
      <c r="L575"/>
      <c r="M575"/>
      <c r="N575"/>
      <c r="O575"/>
      <c r="P575"/>
      <c r="Q575"/>
    </row>
    <row r="576" spans="1:17" ht="72" customHeight="1" x14ac:dyDescent="0.25">
      <c r="A576" s="22"/>
      <c r="B576" s="22"/>
      <c r="C576" s="22"/>
      <c r="D576" s="22"/>
      <c r="E576" s="22"/>
      <c r="F576" s="22"/>
      <c r="G576"/>
      <c r="H576"/>
      <c r="I576"/>
      <c r="J576"/>
      <c r="K576"/>
      <c r="L576"/>
      <c r="M576"/>
      <c r="N576"/>
      <c r="O576"/>
      <c r="P576"/>
      <c r="Q576"/>
    </row>
    <row r="577" spans="1:17" ht="72" customHeight="1" x14ac:dyDescent="0.25">
      <c r="A577" s="22"/>
      <c r="B577" s="22"/>
      <c r="C577" s="22"/>
      <c r="D577" s="22"/>
      <c r="E577" s="22"/>
      <c r="F577" s="22"/>
      <c r="G577"/>
      <c r="H577"/>
      <c r="I577"/>
      <c r="J577"/>
      <c r="K577"/>
      <c r="L577"/>
      <c r="M577"/>
      <c r="N577"/>
      <c r="O577"/>
      <c r="P577"/>
      <c r="Q577"/>
    </row>
    <row r="578" spans="1:17" ht="72" customHeight="1" x14ac:dyDescent="0.25">
      <c r="A578" s="22"/>
      <c r="B578" s="22"/>
      <c r="C578" s="22"/>
      <c r="D578" s="22"/>
      <c r="E578" s="22"/>
      <c r="F578" s="22"/>
      <c r="G578"/>
      <c r="H578"/>
      <c r="I578"/>
      <c r="J578"/>
      <c r="K578"/>
      <c r="L578"/>
      <c r="M578"/>
      <c r="N578"/>
      <c r="O578"/>
      <c r="P578"/>
      <c r="Q578"/>
    </row>
    <row r="579" spans="1:17" ht="72" customHeight="1" x14ac:dyDescent="0.25">
      <c r="A579" s="22"/>
      <c r="B579" s="22"/>
      <c r="C579" s="22"/>
      <c r="D579" s="22"/>
      <c r="E579" s="22"/>
      <c r="F579" s="22"/>
      <c r="G579"/>
      <c r="H579"/>
      <c r="I579"/>
      <c r="J579"/>
      <c r="K579"/>
      <c r="L579"/>
      <c r="M579"/>
      <c r="N579"/>
      <c r="O579"/>
      <c r="P579"/>
      <c r="Q579"/>
    </row>
    <row r="580" spans="1:17" ht="72" customHeight="1" x14ac:dyDescent="0.25">
      <c r="A580" s="22"/>
      <c r="B580" s="22"/>
      <c r="C580" s="22"/>
      <c r="D580" s="22"/>
      <c r="E580" s="22"/>
      <c r="F580" s="22"/>
      <c r="G580"/>
      <c r="H580"/>
      <c r="I580"/>
      <c r="J580"/>
      <c r="K580"/>
      <c r="L580"/>
      <c r="M580"/>
      <c r="N580"/>
      <c r="O580"/>
      <c r="P580"/>
      <c r="Q580"/>
    </row>
    <row r="581" spans="1:17" ht="72" customHeight="1" x14ac:dyDescent="0.25">
      <c r="A581" s="22"/>
      <c r="B581" s="22"/>
      <c r="C581" s="22"/>
      <c r="D581" s="22"/>
      <c r="E581" s="22"/>
      <c r="F581" s="22"/>
      <c r="G581"/>
      <c r="H581"/>
      <c r="I581"/>
      <c r="J581"/>
      <c r="K581"/>
      <c r="L581"/>
      <c r="M581"/>
      <c r="N581"/>
      <c r="O581"/>
      <c r="P581"/>
      <c r="Q581"/>
    </row>
    <row r="582" spans="1:17" ht="72" customHeight="1" x14ac:dyDescent="0.25">
      <c r="A582" s="22"/>
      <c r="B582" s="22"/>
      <c r="C582" s="22"/>
      <c r="D582" s="22"/>
      <c r="E582" s="22"/>
      <c r="F582" s="22"/>
      <c r="G582"/>
      <c r="H582"/>
      <c r="I582"/>
      <c r="J582"/>
      <c r="K582"/>
      <c r="L582"/>
      <c r="M582"/>
      <c r="N582"/>
      <c r="O582"/>
      <c r="P582"/>
      <c r="Q582"/>
    </row>
    <row r="583" spans="1:17" ht="72" customHeight="1" x14ac:dyDescent="0.25">
      <c r="A583" s="22"/>
      <c r="B583" s="22"/>
      <c r="C583" s="22"/>
      <c r="D583" s="22"/>
      <c r="E583" s="22"/>
      <c r="F583" s="22"/>
      <c r="G583"/>
      <c r="H583"/>
      <c r="I583"/>
      <c r="J583"/>
      <c r="K583"/>
      <c r="L583"/>
      <c r="M583"/>
      <c r="N583"/>
      <c r="O583"/>
      <c r="P583"/>
      <c r="Q583"/>
    </row>
    <row r="584" spans="1:17" ht="72" customHeight="1" x14ac:dyDescent="0.25">
      <c r="A584" s="22"/>
      <c r="B584" s="22"/>
      <c r="C584" s="22"/>
      <c r="D584" s="22"/>
      <c r="E584" s="22"/>
      <c r="F584" s="22"/>
      <c r="G584"/>
      <c r="H584"/>
      <c r="I584"/>
      <c r="J584"/>
      <c r="K584"/>
      <c r="L584"/>
      <c r="M584"/>
      <c r="N584"/>
      <c r="O584"/>
      <c r="P584"/>
      <c r="Q584"/>
    </row>
    <row r="585" spans="1:17" ht="72" customHeight="1" x14ac:dyDescent="0.25">
      <c r="A585" s="22"/>
      <c r="B585" s="22"/>
      <c r="C585" s="22"/>
      <c r="D585" s="22"/>
      <c r="E585" s="22"/>
      <c r="F585" s="22"/>
      <c r="G585"/>
      <c r="H585"/>
      <c r="I585"/>
      <c r="J585"/>
      <c r="K585"/>
      <c r="L585"/>
      <c r="M585"/>
      <c r="N585"/>
      <c r="O585"/>
      <c r="P585"/>
      <c r="Q585"/>
    </row>
    <row r="586" spans="1:17" ht="72" customHeight="1" x14ac:dyDescent="0.25">
      <c r="A586" s="22"/>
      <c r="B586" s="22"/>
      <c r="C586" s="22"/>
      <c r="D586" s="22"/>
      <c r="E586" s="22"/>
      <c r="F586" s="22"/>
      <c r="G586"/>
      <c r="H586"/>
      <c r="I586"/>
      <c r="J586"/>
      <c r="K586"/>
      <c r="L586"/>
      <c r="M586"/>
      <c r="N586"/>
      <c r="O586"/>
      <c r="P586"/>
      <c r="Q586"/>
    </row>
    <row r="587" spans="1:17" ht="72" customHeight="1" x14ac:dyDescent="0.25">
      <c r="A587" s="22"/>
      <c r="B587" s="22"/>
      <c r="C587" s="22"/>
      <c r="D587" s="22"/>
      <c r="E587" s="22"/>
      <c r="F587" s="22"/>
      <c r="G587"/>
      <c r="H587"/>
      <c r="I587"/>
      <c r="J587"/>
      <c r="K587"/>
      <c r="L587"/>
      <c r="M587"/>
      <c r="N587"/>
      <c r="O587"/>
      <c r="P587"/>
      <c r="Q587"/>
    </row>
    <row r="588" spans="1:17" ht="72" customHeight="1" x14ac:dyDescent="0.25">
      <c r="A588" s="22"/>
      <c r="B588" s="22"/>
      <c r="C588" s="22"/>
      <c r="D588" s="22"/>
      <c r="E588" s="22"/>
      <c r="F588" s="22"/>
      <c r="G588"/>
      <c r="H588"/>
      <c r="I588"/>
      <c r="J588"/>
      <c r="K588"/>
      <c r="L588"/>
      <c r="M588"/>
      <c r="N588"/>
      <c r="O588"/>
      <c r="P588"/>
      <c r="Q588"/>
    </row>
    <row r="589" spans="1:17" ht="72" customHeight="1" x14ac:dyDescent="0.25">
      <c r="A589" s="22"/>
      <c r="B589" s="22"/>
      <c r="C589" s="22"/>
      <c r="D589" s="22"/>
      <c r="E589" s="22"/>
      <c r="F589" s="22"/>
      <c r="G589"/>
      <c r="H589"/>
      <c r="I589"/>
      <c r="J589"/>
      <c r="K589"/>
      <c r="L589"/>
      <c r="M589"/>
      <c r="N589"/>
      <c r="O589"/>
      <c r="P589"/>
      <c r="Q589"/>
    </row>
    <row r="590" spans="1:17" ht="72" customHeight="1" x14ac:dyDescent="0.25">
      <c r="A590" s="22"/>
      <c r="B590" s="22"/>
      <c r="C590" s="22"/>
      <c r="D590" s="22"/>
      <c r="E590" s="22"/>
      <c r="F590" s="22"/>
      <c r="G590"/>
      <c r="H590"/>
      <c r="I590"/>
      <c r="J590"/>
      <c r="K590"/>
      <c r="L590"/>
      <c r="M590"/>
      <c r="N590"/>
      <c r="O590"/>
      <c r="P590"/>
      <c r="Q590"/>
    </row>
    <row r="591" spans="1:17" ht="72" customHeight="1" x14ac:dyDescent="0.25">
      <c r="A591" s="22"/>
      <c r="B591" s="22"/>
      <c r="C591" s="22"/>
      <c r="D591" s="22"/>
      <c r="E591" s="22"/>
      <c r="F591" s="22"/>
      <c r="G591"/>
      <c r="H591"/>
      <c r="I591"/>
      <c r="J591"/>
      <c r="K591"/>
      <c r="L591"/>
      <c r="M591"/>
      <c r="N591"/>
      <c r="O591"/>
      <c r="P591"/>
      <c r="Q591"/>
    </row>
    <row r="592" spans="1:17" ht="72" customHeight="1" x14ac:dyDescent="0.25">
      <c r="A592" s="22"/>
      <c r="B592" s="22"/>
      <c r="C592" s="22"/>
      <c r="D592" s="22"/>
      <c r="E592" s="22"/>
      <c r="F592" s="22"/>
      <c r="G592"/>
      <c r="H592"/>
      <c r="I592"/>
      <c r="J592"/>
      <c r="K592"/>
      <c r="L592"/>
      <c r="M592"/>
      <c r="N592"/>
      <c r="O592"/>
      <c r="P592"/>
      <c r="Q592"/>
    </row>
    <row r="593" spans="1:17" ht="72" customHeight="1" x14ac:dyDescent="0.25">
      <c r="A593" s="22"/>
      <c r="B593" s="22"/>
      <c r="C593" s="22"/>
      <c r="D593" s="22"/>
      <c r="E593" s="22"/>
      <c r="F593" s="22"/>
      <c r="G593"/>
      <c r="H593"/>
      <c r="I593"/>
      <c r="J593"/>
      <c r="K593"/>
      <c r="L593"/>
      <c r="M593"/>
      <c r="N593"/>
      <c r="O593"/>
      <c r="P593"/>
      <c r="Q593"/>
    </row>
    <row r="594" spans="1:17" ht="72" customHeight="1" x14ac:dyDescent="0.25">
      <c r="A594" s="22"/>
      <c r="B594" s="22"/>
      <c r="C594" s="22"/>
      <c r="D594" s="22"/>
      <c r="E594" s="22"/>
      <c r="F594" s="22"/>
      <c r="G594"/>
      <c r="H594"/>
      <c r="I594"/>
      <c r="J594"/>
      <c r="K594"/>
      <c r="L594"/>
      <c r="M594"/>
      <c r="N594"/>
      <c r="O594"/>
      <c r="P594"/>
      <c r="Q594"/>
    </row>
    <row r="595" spans="1:17" ht="72" customHeight="1" x14ac:dyDescent="0.25">
      <c r="A595" s="22"/>
      <c r="B595" s="22"/>
      <c r="C595" s="22"/>
      <c r="D595" s="22"/>
      <c r="E595" s="22"/>
      <c r="F595" s="22"/>
      <c r="G595"/>
      <c r="H595"/>
      <c r="I595"/>
      <c r="J595"/>
      <c r="K595"/>
      <c r="L595"/>
      <c r="M595"/>
      <c r="N595"/>
      <c r="O595"/>
      <c r="P595"/>
      <c r="Q595"/>
    </row>
    <row r="596" spans="1:17" ht="72" customHeight="1" x14ac:dyDescent="0.25">
      <c r="A596" s="22"/>
      <c r="B596" s="22"/>
      <c r="C596" s="22"/>
      <c r="D596" s="22"/>
      <c r="E596" s="22"/>
      <c r="F596" s="22"/>
      <c r="G596"/>
      <c r="H596"/>
      <c r="I596"/>
      <c r="J596"/>
      <c r="K596"/>
      <c r="L596"/>
      <c r="M596"/>
      <c r="N596"/>
      <c r="O596"/>
      <c r="P596"/>
      <c r="Q596"/>
    </row>
    <row r="597" spans="1:17" ht="72" customHeight="1" x14ac:dyDescent="0.25">
      <c r="A597" s="22"/>
      <c r="B597" s="22"/>
      <c r="C597" s="22"/>
      <c r="D597" s="22"/>
      <c r="E597" s="22"/>
      <c r="F597" s="22"/>
      <c r="G597"/>
      <c r="H597"/>
      <c r="I597"/>
      <c r="J597"/>
      <c r="K597"/>
      <c r="L597"/>
      <c r="M597"/>
      <c r="N597"/>
      <c r="O597"/>
      <c r="P597"/>
      <c r="Q597"/>
    </row>
    <row r="598" spans="1:17" ht="72" customHeight="1" x14ac:dyDescent="0.25">
      <c r="A598" s="22"/>
      <c r="B598" s="22"/>
      <c r="C598" s="22"/>
      <c r="D598" s="22"/>
      <c r="E598" s="22"/>
      <c r="F598" s="22"/>
      <c r="G598"/>
      <c r="H598"/>
      <c r="I598"/>
      <c r="J598"/>
      <c r="K598"/>
      <c r="L598"/>
      <c r="M598"/>
      <c r="N598"/>
      <c r="O598"/>
      <c r="P598"/>
      <c r="Q598"/>
    </row>
    <row r="599" spans="1:17" ht="72" customHeight="1" x14ac:dyDescent="0.25">
      <c r="A599" s="22"/>
      <c r="B599" s="22"/>
      <c r="C599" s="22"/>
      <c r="D599" s="22"/>
      <c r="E599" s="22"/>
      <c r="F599" s="22"/>
      <c r="G599"/>
      <c r="H599"/>
      <c r="I599"/>
      <c r="J599"/>
      <c r="K599"/>
      <c r="L599"/>
      <c r="M599"/>
      <c r="N599"/>
      <c r="O599"/>
      <c r="P599"/>
      <c r="Q599"/>
    </row>
    <row r="600" spans="1:17" ht="72" customHeight="1" x14ac:dyDescent="0.25">
      <c r="A600" s="22"/>
      <c r="B600" s="22"/>
      <c r="C600" s="22"/>
      <c r="D600" s="22"/>
      <c r="E600" s="22"/>
      <c r="F600" s="22"/>
      <c r="G600"/>
      <c r="H600"/>
      <c r="I600"/>
      <c r="J600"/>
      <c r="K600"/>
      <c r="L600"/>
      <c r="M600"/>
      <c r="N600"/>
      <c r="O600"/>
      <c r="P600"/>
      <c r="Q600"/>
    </row>
    <row r="601" spans="1:17" ht="72" customHeight="1" x14ac:dyDescent="0.25">
      <c r="A601" s="22"/>
      <c r="B601" s="22"/>
      <c r="C601" s="22"/>
      <c r="D601" s="22"/>
      <c r="E601" s="22"/>
      <c r="F601" s="22"/>
      <c r="G601"/>
      <c r="H601"/>
      <c r="I601"/>
      <c r="J601"/>
      <c r="K601"/>
      <c r="L601"/>
      <c r="M601"/>
      <c r="N601"/>
      <c r="O601"/>
      <c r="P601"/>
      <c r="Q601"/>
    </row>
    <row r="602" spans="1:17" ht="72" customHeight="1" x14ac:dyDescent="0.25">
      <c r="A602" s="22"/>
      <c r="B602" s="22"/>
      <c r="C602" s="22"/>
      <c r="D602" s="22"/>
      <c r="E602" s="22"/>
      <c r="F602" s="22"/>
      <c r="G602"/>
      <c r="H602"/>
      <c r="I602"/>
      <c r="J602"/>
      <c r="K602"/>
      <c r="L602"/>
      <c r="M602"/>
      <c r="N602"/>
      <c r="O602"/>
      <c r="P602"/>
      <c r="Q602"/>
    </row>
    <row r="603" spans="1:17" ht="72" customHeight="1" x14ac:dyDescent="0.25">
      <c r="A603" s="22"/>
      <c r="B603" s="22"/>
      <c r="C603" s="22"/>
      <c r="D603" s="22"/>
      <c r="E603" s="22"/>
      <c r="F603" s="22"/>
      <c r="G603"/>
      <c r="H603"/>
      <c r="I603"/>
      <c r="J603"/>
      <c r="K603"/>
      <c r="L603"/>
      <c r="M603"/>
      <c r="N603"/>
      <c r="O603"/>
      <c r="P603"/>
      <c r="Q603"/>
    </row>
    <row r="604" spans="1:17" ht="72" customHeight="1" x14ac:dyDescent="0.25">
      <c r="A604" s="22"/>
      <c r="B604" s="22"/>
      <c r="C604" s="22"/>
      <c r="D604" s="22"/>
      <c r="E604" s="22"/>
      <c r="F604" s="22"/>
      <c r="G604"/>
      <c r="H604"/>
      <c r="I604"/>
      <c r="J604"/>
      <c r="K604"/>
      <c r="L604"/>
      <c r="M604"/>
      <c r="N604"/>
      <c r="O604"/>
      <c r="P604"/>
      <c r="Q604"/>
    </row>
    <row r="605" spans="1:17" ht="72" customHeight="1" x14ac:dyDescent="0.25">
      <c r="A605" s="22"/>
      <c r="B605" s="22"/>
      <c r="C605" s="22"/>
      <c r="D605" s="22"/>
      <c r="E605" s="22"/>
      <c r="F605" s="22"/>
      <c r="G605"/>
      <c r="H605"/>
      <c r="I605"/>
      <c r="J605"/>
      <c r="K605"/>
      <c r="L605"/>
      <c r="M605"/>
      <c r="N605"/>
      <c r="O605"/>
      <c r="P605"/>
      <c r="Q605"/>
    </row>
    <row r="606" spans="1:17" ht="72" customHeight="1" x14ac:dyDescent="0.25">
      <c r="A606" s="22"/>
      <c r="B606" s="22"/>
      <c r="C606" s="22"/>
      <c r="D606" s="22"/>
      <c r="E606" s="22"/>
      <c r="F606" s="22"/>
      <c r="G606"/>
      <c r="H606"/>
      <c r="I606"/>
      <c r="J606"/>
      <c r="K606"/>
      <c r="L606"/>
      <c r="M606"/>
      <c r="N606"/>
      <c r="O606"/>
      <c r="P606"/>
      <c r="Q606"/>
    </row>
    <row r="607" spans="1:17" ht="72" customHeight="1" x14ac:dyDescent="0.25">
      <c r="A607" s="22"/>
      <c r="B607" s="22"/>
      <c r="C607" s="22"/>
      <c r="D607" s="22"/>
      <c r="E607" s="22"/>
      <c r="F607" s="22"/>
      <c r="G607"/>
      <c r="H607"/>
      <c r="I607"/>
      <c r="J607"/>
      <c r="K607"/>
      <c r="L607"/>
      <c r="M607"/>
      <c r="N607"/>
      <c r="O607"/>
      <c r="P607"/>
      <c r="Q607"/>
    </row>
    <row r="608" spans="1:17" ht="72" customHeight="1" x14ac:dyDescent="0.25">
      <c r="A608" s="22"/>
      <c r="B608" s="22"/>
      <c r="C608" s="22"/>
      <c r="D608" s="22"/>
      <c r="E608" s="22"/>
      <c r="F608" s="22"/>
      <c r="G608"/>
      <c r="H608"/>
      <c r="I608"/>
      <c r="J608"/>
      <c r="K608"/>
      <c r="L608"/>
      <c r="M608"/>
      <c r="N608"/>
      <c r="O608"/>
      <c r="P608"/>
      <c r="Q608"/>
    </row>
    <row r="609" spans="1:17" ht="72" customHeight="1" x14ac:dyDescent="0.25">
      <c r="A609" s="22"/>
      <c r="B609" s="22"/>
      <c r="C609" s="22"/>
      <c r="D609" s="22"/>
      <c r="E609" s="22"/>
      <c r="F609" s="22"/>
      <c r="G609"/>
      <c r="H609"/>
      <c r="I609"/>
      <c r="J609"/>
      <c r="K609"/>
      <c r="L609"/>
      <c r="M609"/>
      <c r="N609"/>
      <c r="O609"/>
      <c r="P609"/>
      <c r="Q609"/>
    </row>
    <row r="610" spans="1:17" ht="72" customHeight="1" x14ac:dyDescent="0.25">
      <c r="A610" s="22"/>
      <c r="B610" s="22"/>
      <c r="C610" s="22"/>
      <c r="D610" s="22"/>
      <c r="E610" s="22"/>
      <c r="F610" s="22"/>
      <c r="G610"/>
      <c r="H610"/>
      <c r="I610"/>
      <c r="J610"/>
      <c r="K610"/>
      <c r="L610"/>
      <c r="M610"/>
      <c r="N610"/>
      <c r="O610"/>
      <c r="P610"/>
      <c r="Q610"/>
    </row>
    <row r="611" spans="1:17" ht="72" customHeight="1" x14ac:dyDescent="0.25">
      <c r="A611" s="22"/>
      <c r="B611" s="22"/>
      <c r="C611" s="22"/>
      <c r="D611" s="22"/>
      <c r="E611" s="22"/>
      <c r="F611" s="22"/>
      <c r="G611"/>
      <c r="H611"/>
      <c r="I611"/>
      <c r="J611"/>
      <c r="K611"/>
      <c r="L611"/>
      <c r="M611"/>
      <c r="N611"/>
      <c r="O611"/>
      <c r="P611"/>
      <c r="Q611"/>
    </row>
    <row r="612" spans="1:17" ht="72" customHeight="1" x14ac:dyDescent="0.25">
      <c r="A612" s="22"/>
      <c r="B612" s="22"/>
      <c r="C612" s="22"/>
      <c r="D612" s="22"/>
      <c r="E612" s="22"/>
      <c r="F612" s="22"/>
      <c r="G612"/>
      <c r="H612"/>
      <c r="I612"/>
      <c r="J612"/>
      <c r="K612"/>
      <c r="L612"/>
      <c r="M612"/>
      <c r="N612"/>
      <c r="O612"/>
      <c r="P612"/>
      <c r="Q612"/>
    </row>
    <row r="613" spans="1:17" ht="72" customHeight="1" x14ac:dyDescent="0.25">
      <c r="A613" s="22"/>
      <c r="B613" s="22"/>
      <c r="C613" s="22"/>
      <c r="D613" s="22"/>
      <c r="E613" s="22"/>
      <c r="F613" s="22"/>
      <c r="G613"/>
      <c r="H613"/>
      <c r="I613"/>
      <c r="J613"/>
      <c r="K613"/>
      <c r="L613"/>
      <c r="M613"/>
      <c r="N613"/>
      <c r="O613"/>
      <c r="P613"/>
      <c r="Q613"/>
    </row>
    <row r="614" spans="1:17" ht="72" customHeight="1" x14ac:dyDescent="0.25">
      <c r="A614" s="22"/>
      <c r="B614" s="22"/>
      <c r="C614" s="22"/>
      <c r="D614" s="22"/>
      <c r="E614" s="22"/>
      <c r="F614" s="22"/>
      <c r="G614"/>
      <c r="H614"/>
      <c r="I614"/>
      <c r="J614"/>
      <c r="K614"/>
      <c r="L614"/>
      <c r="M614"/>
      <c r="N614"/>
      <c r="O614"/>
      <c r="P614"/>
      <c r="Q614"/>
    </row>
    <row r="615" spans="1:17" ht="72" customHeight="1" x14ac:dyDescent="0.25">
      <c r="A615" s="22"/>
      <c r="B615" s="22"/>
      <c r="C615" s="22"/>
      <c r="D615" s="22"/>
      <c r="E615" s="22"/>
      <c r="F615" s="22"/>
      <c r="G615"/>
      <c r="H615"/>
      <c r="I615"/>
      <c r="J615"/>
      <c r="K615"/>
      <c r="L615"/>
      <c r="M615"/>
      <c r="N615"/>
      <c r="O615"/>
      <c r="P615"/>
      <c r="Q615"/>
    </row>
    <row r="616" spans="1:17" ht="72" customHeight="1" x14ac:dyDescent="0.25">
      <c r="A616" s="22"/>
      <c r="B616" s="22"/>
      <c r="C616" s="22"/>
      <c r="D616" s="22"/>
      <c r="E616" s="22"/>
      <c r="F616" s="22"/>
      <c r="G616"/>
      <c r="H616"/>
      <c r="I616"/>
      <c r="J616"/>
      <c r="K616"/>
      <c r="L616"/>
      <c r="M616"/>
      <c r="N616"/>
      <c r="O616"/>
      <c r="P616"/>
      <c r="Q616"/>
    </row>
    <row r="617" spans="1:17" ht="72" customHeight="1" x14ac:dyDescent="0.25">
      <c r="A617" s="22"/>
      <c r="B617" s="22"/>
      <c r="C617" s="22"/>
      <c r="D617" s="22"/>
      <c r="E617" s="22"/>
      <c r="F617" s="22"/>
      <c r="G617"/>
      <c r="H617"/>
      <c r="I617"/>
      <c r="J617"/>
      <c r="K617"/>
      <c r="L617"/>
      <c r="M617"/>
      <c r="N617"/>
      <c r="O617"/>
      <c r="P617"/>
      <c r="Q617"/>
    </row>
    <row r="618" spans="1:17" ht="72" customHeight="1" x14ac:dyDescent="0.25">
      <c r="A618" s="22"/>
      <c r="B618" s="22"/>
      <c r="C618" s="22"/>
      <c r="D618" s="22"/>
      <c r="E618" s="22"/>
      <c r="F618" s="22"/>
      <c r="G618"/>
      <c r="H618"/>
      <c r="I618"/>
      <c r="J618"/>
      <c r="K618"/>
      <c r="L618"/>
      <c r="M618"/>
      <c r="N618"/>
      <c r="O618"/>
      <c r="P618"/>
      <c r="Q618"/>
    </row>
    <row r="619" spans="1:17" ht="72" customHeight="1" x14ac:dyDescent="0.25">
      <c r="A619" s="22"/>
      <c r="B619" s="22"/>
      <c r="C619" s="22"/>
      <c r="D619" s="22"/>
      <c r="E619" s="22"/>
      <c r="F619" s="22"/>
      <c r="G619"/>
      <c r="H619"/>
      <c r="I619"/>
      <c r="J619"/>
      <c r="K619"/>
      <c r="L619"/>
      <c r="M619"/>
      <c r="N619"/>
      <c r="O619"/>
      <c r="P619"/>
      <c r="Q619"/>
    </row>
    <row r="620" spans="1:17" ht="72" customHeight="1" x14ac:dyDescent="0.25">
      <c r="A620" s="22"/>
      <c r="B620" s="22"/>
      <c r="C620" s="22"/>
      <c r="D620" s="22"/>
      <c r="E620" s="22"/>
      <c r="F620" s="22"/>
      <c r="G620"/>
      <c r="H620"/>
      <c r="I620"/>
      <c r="J620"/>
      <c r="K620"/>
      <c r="L620"/>
      <c r="M620"/>
      <c r="N620"/>
      <c r="O620"/>
      <c r="P620"/>
      <c r="Q620"/>
    </row>
    <row r="621" spans="1:17" ht="72" customHeight="1" x14ac:dyDescent="0.25">
      <c r="A621" s="22"/>
      <c r="B621" s="22"/>
      <c r="C621" s="22"/>
      <c r="D621" s="22"/>
      <c r="E621" s="22"/>
      <c r="F621" s="22"/>
      <c r="G621"/>
      <c r="H621"/>
      <c r="I621"/>
      <c r="J621"/>
      <c r="K621"/>
      <c r="L621"/>
      <c r="M621"/>
      <c r="N621"/>
      <c r="O621"/>
      <c r="P621"/>
      <c r="Q621"/>
    </row>
    <row r="622" spans="1:17" ht="72" customHeight="1" x14ac:dyDescent="0.25">
      <c r="A622" s="22"/>
      <c r="B622" s="22"/>
      <c r="C622" s="22"/>
      <c r="D622" s="22"/>
      <c r="E622" s="22"/>
      <c r="F622" s="22"/>
      <c r="G622"/>
      <c r="H622"/>
      <c r="I622"/>
      <c r="J622"/>
      <c r="K622"/>
      <c r="L622"/>
      <c r="M622"/>
      <c r="N622"/>
      <c r="O622"/>
      <c r="P622"/>
      <c r="Q622"/>
    </row>
    <row r="623" spans="1:17" ht="72" customHeight="1" x14ac:dyDescent="0.25">
      <c r="A623" s="22"/>
      <c r="B623" s="22"/>
      <c r="C623" s="22"/>
      <c r="D623" s="22"/>
      <c r="E623" s="22"/>
      <c r="F623" s="22"/>
      <c r="G623"/>
      <c r="H623"/>
      <c r="I623"/>
      <c r="J623"/>
      <c r="K623"/>
      <c r="L623"/>
      <c r="M623"/>
      <c r="N623"/>
      <c r="O623"/>
      <c r="P623"/>
      <c r="Q623"/>
    </row>
    <row r="624" spans="1:17" ht="72" customHeight="1" x14ac:dyDescent="0.25">
      <c r="A624" s="22"/>
      <c r="B624" s="22"/>
      <c r="C624" s="22"/>
      <c r="D624" s="22"/>
      <c r="E624" s="22"/>
      <c r="F624" s="22"/>
      <c r="G624"/>
      <c r="H624"/>
      <c r="I624"/>
      <c r="J624"/>
      <c r="K624"/>
      <c r="L624"/>
      <c r="M624"/>
      <c r="N624"/>
      <c r="O624"/>
      <c r="P624"/>
      <c r="Q624"/>
    </row>
    <row r="625" spans="1:17" ht="72" customHeight="1" x14ac:dyDescent="0.25">
      <c r="A625" s="22"/>
      <c r="B625" s="22"/>
      <c r="C625" s="22"/>
      <c r="D625" s="22"/>
      <c r="E625" s="22"/>
      <c r="F625" s="22"/>
      <c r="G625"/>
      <c r="H625"/>
      <c r="I625"/>
      <c r="J625"/>
      <c r="K625"/>
      <c r="L625"/>
      <c r="M625"/>
      <c r="N625"/>
      <c r="O625"/>
      <c r="P625"/>
      <c r="Q625"/>
    </row>
    <row r="626" spans="1:17" ht="72" customHeight="1" x14ac:dyDescent="0.25">
      <c r="A626" s="22"/>
      <c r="B626" s="22"/>
      <c r="C626" s="22"/>
      <c r="D626" s="22"/>
      <c r="E626" s="22"/>
      <c r="F626" s="22"/>
      <c r="G626"/>
      <c r="H626"/>
      <c r="I626"/>
      <c r="J626"/>
      <c r="K626"/>
      <c r="L626"/>
      <c r="M626"/>
      <c r="N626"/>
      <c r="O626"/>
      <c r="P626"/>
      <c r="Q626"/>
    </row>
    <row r="627" spans="1:17" ht="72" customHeight="1" x14ac:dyDescent="0.25">
      <c r="A627" s="22"/>
      <c r="B627" s="22"/>
      <c r="C627" s="22"/>
      <c r="D627" s="22"/>
      <c r="E627" s="22"/>
      <c r="F627" s="22"/>
      <c r="G627"/>
      <c r="H627"/>
      <c r="I627"/>
      <c r="J627"/>
      <c r="K627"/>
      <c r="L627"/>
      <c r="M627"/>
      <c r="N627"/>
      <c r="O627"/>
      <c r="P627"/>
      <c r="Q627"/>
    </row>
    <row r="628" spans="1:17" ht="72" customHeight="1" x14ac:dyDescent="0.25">
      <c r="A628" s="22"/>
      <c r="B628" s="22"/>
      <c r="C628" s="22"/>
      <c r="D628" s="22"/>
      <c r="E628" s="22"/>
      <c r="F628" s="22"/>
      <c r="G628"/>
      <c r="H628"/>
      <c r="I628"/>
      <c r="J628"/>
      <c r="K628"/>
      <c r="L628"/>
      <c r="M628"/>
      <c r="N628"/>
      <c r="O628"/>
      <c r="P628"/>
      <c r="Q628"/>
    </row>
    <row r="629" spans="1:17" ht="72" customHeight="1" x14ac:dyDescent="0.25">
      <c r="A629" s="22"/>
      <c r="B629" s="22"/>
      <c r="C629" s="22"/>
      <c r="D629" s="22"/>
      <c r="E629" s="22"/>
      <c r="F629" s="22"/>
      <c r="G629"/>
      <c r="H629"/>
      <c r="I629"/>
      <c r="J629"/>
      <c r="K629"/>
      <c r="L629"/>
      <c r="M629"/>
      <c r="N629"/>
      <c r="O629"/>
      <c r="P629"/>
      <c r="Q629"/>
    </row>
    <row r="630" spans="1:17" ht="72" customHeight="1" x14ac:dyDescent="0.25">
      <c r="A630" s="22"/>
      <c r="B630" s="22"/>
      <c r="C630" s="22"/>
      <c r="D630" s="22"/>
      <c r="E630" s="22"/>
      <c r="F630" s="22"/>
      <c r="G630"/>
      <c r="H630"/>
      <c r="I630"/>
      <c r="J630"/>
      <c r="K630"/>
      <c r="L630"/>
      <c r="M630"/>
      <c r="N630"/>
      <c r="O630"/>
      <c r="P630"/>
      <c r="Q630"/>
    </row>
    <row r="631" spans="1:17" ht="72" customHeight="1" x14ac:dyDescent="0.25">
      <c r="A631" s="22"/>
      <c r="B631" s="22"/>
      <c r="C631" s="22"/>
      <c r="D631" s="22"/>
      <c r="E631" s="22"/>
      <c r="F631" s="22"/>
      <c r="G631"/>
      <c r="H631"/>
      <c r="I631"/>
      <c r="J631"/>
      <c r="K631"/>
      <c r="L631"/>
      <c r="M631"/>
      <c r="N631"/>
      <c r="O631"/>
      <c r="P631"/>
      <c r="Q631"/>
    </row>
    <row r="632" spans="1:17" ht="72" customHeight="1" x14ac:dyDescent="0.25">
      <c r="A632" s="22"/>
      <c r="B632" s="22"/>
      <c r="C632" s="22"/>
      <c r="D632" s="22"/>
      <c r="E632" s="22"/>
      <c r="F632" s="22"/>
      <c r="G632"/>
      <c r="H632"/>
      <c r="I632"/>
      <c r="J632"/>
      <c r="K632"/>
      <c r="L632"/>
      <c r="M632"/>
      <c r="N632"/>
      <c r="O632"/>
      <c r="P632"/>
      <c r="Q632"/>
    </row>
    <row r="633" spans="1:17" ht="72" customHeight="1" x14ac:dyDescent="0.25">
      <c r="A633" s="22"/>
      <c r="B633" s="22"/>
      <c r="C633" s="22"/>
      <c r="D633" s="22"/>
      <c r="E633" s="22"/>
      <c r="F633" s="22"/>
      <c r="G633"/>
      <c r="H633"/>
      <c r="I633"/>
      <c r="J633"/>
      <c r="K633"/>
      <c r="L633"/>
      <c r="M633"/>
      <c r="N633"/>
      <c r="O633"/>
      <c r="P633"/>
      <c r="Q633"/>
    </row>
    <row r="634" spans="1:17" ht="72" customHeight="1" x14ac:dyDescent="0.25">
      <c r="A634" s="22"/>
      <c r="B634" s="22"/>
      <c r="C634" s="22"/>
      <c r="D634" s="22"/>
      <c r="E634" s="22"/>
      <c r="F634" s="22"/>
      <c r="G634"/>
      <c r="H634"/>
      <c r="I634"/>
      <c r="J634"/>
      <c r="K634"/>
      <c r="L634"/>
      <c r="M634"/>
      <c r="N634"/>
      <c r="O634"/>
      <c r="P634"/>
      <c r="Q634"/>
    </row>
    <row r="635" spans="1:17" ht="72" customHeight="1" x14ac:dyDescent="0.25">
      <c r="A635" s="22"/>
      <c r="B635" s="22"/>
      <c r="C635" s="22"/>
      <c r="D635" s="22"/>
      <c r="E635" s="22"/>
      <c r="F635" s="22"/>
      <c r="G635"/>
      <c r="H635"/>
      <c r="I635"/>
      <c r="J635"/>
      <c r="K635"/>
      <c r="L635"/>
      <c r="M635"/>
      <c r="N635"/>
      <c r="O635"/>
      <c r="P635"/>
      <c r="Q635"/>
    </row>
    <row r="636" spans="1:17" ht="72" customHeight="1" x14ac:dyDescent="0.25">
      <c r="A636" s="22"/>
      <c r="B636" s="22"/>
      <c r="C636" s="22"/>
      <c r="D636" s="22"/>
      <c r="E636" s="22"/>
      <c r="F636" s="22"/>
      <c r="G636"/>
      <c r="H636"/>
      <c r="I636"/>
      <c r="J636"/>
      <c r="K636"/>
      <c r="L636"/>
      <c r="M636"/>
      <c r="N636"/>
      <c r="O636"/>
      <c r="P636"/>
      <c r="Q636"/>
    </row>
    <row r="637" spans="1:17" ht="72" customHeight="1" x14ac:dyDescent="0.25">
      <c r="A637" s="22"/>
      <c r="B637" s="22"/>
      <c r="C637" s="22"/>
      <c r="D637" s="22"/>
      <c r="E637" s="22"/>
      <c r="F637" s="22"/>
      <c r="G637"/>
      <c r="H637"/>
      <c r="I637"/>
      <c r="J637"/>
      <c r="K637"/>
      <c r="L637"/>
      <c r="M637"/>
      <c r="N637"/>
      <c r="O637"/>
      <c r="P637"/>
      <c r="Q637"/>
    </row>
    <row r="638" spans="1:17" ht="72" customHeight="1" x14ac:dyDescent="0.25">
      <c r="A638" s="22"/>
      <c r="B638" s="22"/>
      <c r="C638" s="22"/>
      <c r="D638" s="22"/>
      <c r="E638" s="22"/>
      <c r="F638" s="22"/>
      <c r="G638"/>
      <c r="H638"/>
      <c r="I638"/>
      <c r="J638"/>
      <c r="K638"/>
      <c r="L638"/>
      <c r="M638"/>
      <c r="N638"/>
      <c r="O638"/>
      <c r="P638"/>
      <c r="Q638"/>
    </row>
    <row r="639" spans="1:17" ht="72" customHeight="1" x14ac:dyDescent="0.25">
      <c r="A639" s="22"/>
      <c r="B639" s="22"/>
      <c r="C639" s="22"/>
      <c r="D639" s="22"/>
      <c r="E639" s="22"/>
      <c r="F639" s="22"/>
      <c r="G639"/>
      <c r="H639"/>
      <c r="I639"/>
      <c r="J639"/>
      <c r="K639"/>
      <c r="L639"/>
      <c r="M639"/>
      <c r="N639"/>
      <c r="O639"/>
      <c r="P639"/>
      <c r="Q639"/>
    </row>
    <row r="640" spans="1:17" ht="72" customHeight="1" x14ac:dyDescent="0.25">
      <c r="A640" s="22"/>
      <c r="B640" s="22"/>
      <c r="C640" s="22"/>
      <c r="D640" s="22"/>
      <c r="E640" s="22"/>
      <c r="F640" s="22"/>
      <c r="G640"/>
      <c r="H640"/>
      <c r="I640"/>
      <c r="J640"/>
      <c r="K640"/>
      <c r="L640"/>
      <c r="M640"/>
      <c r="N640"/>
      <c r="O640"/>
      <c r="P640"/>
      <c r="Q640"/>
    </row>
    <row r="641" spans="1:17" ht="72" customHeight="1" x14ac:dyDescent="0.25">
      <c r="A641" s="22"/>
      <c r="B641" s="22"/>
      <c r="C641" s="22"/>
      <c r="D641" s="22"/>
      <c r="E641" s="22"/>
      <c r="F641" s="22"/>
      <c r="G641"/>
      <c r="H641"/>
      <c r="I641"/>
      <c r="J641"/>
      <c r="K641"/>
      <c r="L641"/>
      <c r="M641"/>
      <c r="N641"/>
      <c r="O641"/>
      <c r="P641"/>
      <c r="Q641"/>
    </row>
    <row r="642" spans="1:17" ht="72" customHeight="1" x14ac:dyDescent="0.25">
      <c r="A642" s="22"/>
      <c r="B642" s="22"/>
      <c r="C642" s="22"/>
      <c r="D642" s="22"/>
      <c r="E642" s="22"/>
      <c r="F642" s="22"/>
      <c r="G642"/>
      <c r="H642"/>
      <c r="I642"/>
      <c r="J642"/>
      <c r="K642"/>
      <c r="L642"/>
      <c r="M642"/>
      <c r="N642"/>
      <c r="O642"/>
      <c r="P642"/>
      <c r="Q642"/>
    </row>
    <row r="643" spans="1:17" ht="72" customHeight="1" x14ac:dyDescent="0.25">
      <c r="A643" s="22"/>
      <c r="B643" s="22"/>
      <c r="C643" s="22"/>
      <c r="D643" s="22"/>
      <c r="E643" s="22"/>
      <c r="F643" s="22"/>
      <c r="G643"/>
      <c r="H643"/>
      <c r="I643"/>
      <c r="J643"/>
      <c r="K643"/>
      <c r="L643"/>
      <c r="M643"/>
      <c r="N643"/>
      <c r="O643"/>
      <c r="P643"/>
      <c r="Q643"/>
    </row>
    <row r="644" spans="1:17" ht="72" customHeight="1" x14ac:dyDescent="0.25">
      <c r="A644" s="22"/>
      <c r="B644" s="22"/>
      <c r="C644" s="22"/>
      <c r="D644" s="22"/>
      <c r="E644" s="22"/>
      <c r="F644" s="22"/>
      <c r="G644"/>
      <c r="H644"/>
      <c r="I644"/>
      <c r="J644"/>
      <c r="K644"/>
      <c r="L644"/>
      <c r="M644"/>
      <c r="N644"/>
      <c r="O644"/>
      <c r="P644"/>
      <c r="Q644"/>
    </row>
    <row r="645" spans="1:17" ht="72" customHeight="1" x14ac:dyDescent="0.25">
      <c r="A645" s="22"/>
      <c r="B645" s="22"/>
      <c r="C645" s="22"/>
      <c r="D645" s="22"/>
      <c r="E645" s="22"/>
      <c r="F645" s="22"/>
      <c r="G645"/>
      <c r="H645"/>
      <c r="I645"/>
      <c r="J645"/>
      <c r="K645"/>
      <c r="L645"/>
      <c r="M645"/>
      <c r="N645"/>
      <c r="O645"/>
      <c r="P645"/>
      <c r="Q645"/>
    </row>
    <row r="646" spans="1:17" ht="72" customHeight="1" x14ac:dyDescent="0.25">
      <c r="A646" s="22"/>
      <c r="B646" s="22"/>
      <c r="C646" s="22"/>
      <c r="D646" s="22"/>
      <c r="E646" s="22"/>
      <c r="F646" s="22"/>
      <c r="G646"/>
      <c r="H646"/>
      <c r="I646"/>
      <c r="J646"/>
      <c r="K646"/>
      <c r="L646"/>
      <c r="M646"/>
      <c r="N646"/>
      <c r="O646"/>
      <c r="P646"/>
      <c r="Q646"/>
    </row>
    <row r="647" spans="1:17" ht="72" customHeight="1" x14ac:dyDescent="0.25">
      <c r="A647" s="22"/>
      <c r="B647" s="22"/>
      <c r="C647" s="22"/>
      <c r="D647" s="22"/>
      <c r="E647" s="22"/>
      <c r="F647" s="22"/>
      <c r="G647"/>
      <c r="H647"/>
      <c r="I647"/>
      <c r="J647"/>
      <c r="K647"/>
      <c r="L647"/>
      <c r="M647"/>
      <c r="N647"/>
      <c r="O647"/>
      <c r="P647"/>
      <c r="Q647"/>
    </row>
    <row r="648" spans="1:17" ht="72" customHeight="1" x14ac:dyDescent="0.25">
      <c r="A648" s="22"/>
      <c r="B648" s="22"/>
      <c r="C648" s="22"/>
      <c r="D648" s="22"/>
      <c r="E648" s="22"/>
      <c r="F648" s="22"/>
      <c r="G648"/>
      <c r="H648"/>
      <c r="I648"/>
      <c r="J648"/>
      <c r="K648"/>
      <c r="L648"/>
      <c r="M648"/>
      <c r="N648"/>
      <c r="O648"/>
      <c r="P648"/>
      <c r="Q648"/>
    </row>
    <row r="649" spans="1:17" ht="72" customHeight="1" x14ac:dyDescent="0.25">
      <c r="A649" s="22"/>
      <c r="B649" s="22"/>
      <c r="C649" s="22"/>
      <c r="D649" s="22"/>
      <c r="E649" s="22"/>
      <c r="F649" s="22"/>
      <c r="G649"/>
      <c r="H649"/>
      <c r="I649"/>
      <c r="J649"/>
      <c r="K649"/>
      <c r="L649"/>
      <c r="M649"/>
      <c r="N649"/>
      <c r="O649"/>
      <c r="P649"/>
      <c r="Q649"/>
    </row>
    <row r="650" spans="1:17" ht="72" customHeight="1" x14ac:dyDescent="0.25">
      <c r="A650" s="22"/>
      <c r="B650" s="22"/>
      <c r="C650" s="22"/>
      <c r="D650" s="22"/>
      <c r="E650" s="22"/>
      <c r="F650" s="22"/>
      <c r="G650"/>
      <c r="H650"/>
      <c r="I650"/>
      <c r="J650"/>
      <c r="K650"/>
      <c r="L650"/>
      <c r="M650"/>
      <c r="N650"/>
      <c r="O650"/>
      <c r="P650"/>
      <c r="Q650"/>
    </row>
    <row r="651" spans="1:17" ht="72" customHeight="1" x14ac:dyDescent="0.25">
      <c r="A651" s="22"/>
      <c r="B651" s="22"/>
      <c r="C651" s="22"/>
      <c r="D651" s="22"/>
      <c r="E651" s="22"/>
      <c r="F651" s="22"/>
      <c r="G651"/>
      <c r="H651"/>
      <c r="I651"/>
      <c r="J651"/>
      <c r="K651"/>
      <c r="L651"/>
      <c r="M651"/>
      <c r="N651"/>
      <c r="O651"/>
      <c r="P651"/>
      <c r="Q651"/>
    </row>
    <row r="652" spans="1:17" ht="72" customHeight="1" x14ac:dyDescent="0.25">
      <c r="A652" s="22"/>
      <c r="B652" s="22"/>
      <c r="C652" s="22"/>
      <c r="D652" s="22"/>
      <c r="E652" s="22"/>
      <c r="F652" s="22"/>
      <c r="G652"/>
      <c r="H652"/>
      <c r="I652"/>
      <c r="J652"/>
      <c r="K652"/>
      <c r="L652"/>
      <c r="M652"/>
      <c r="N652"/>
      <c r="O652"/>
      <c r="P652"/>
      <c r="Q652"/>
    </row>
    <row r="653" spans="1:17" ht="72" customHeight="1" x14ac:dyDescent="0.25">
      <c r="A653" s="22"/>
      <c r="B653" s="22"/>
      <c r="C653" s="22"/>
      <c r="D653" s="22"/>
      <c r="E653" s="22"/>
      <c r="F653" s="22"/>
      <c r="G653"/>
      <c r="H653"/>
      <c r="I653"/>
      <c r="J653"/>
      <c r="K653"/>
      <c r="L653"/>
      <c r="M653"/>
      <c r="N653"/>
      <c r="O653"/>
      <c r="P653"/>
      <c r="Q653"/>
    </row>
    <row r="654" spans="1:17" ht="72" customHeight="1" x14ac:dyDescent="0.25">
      <c r="A654" s="22"/>
      <c r="B654" s="22"/>
      <c r="C654" s="22"/>
      <c r="D654" s="22"/>
      <c r="E654" s="22"/>
      <c r="F654" s="22"/>
      <c r="G654"/>
      <c r="H654"/>
      <c r="I654"/>
      <c r="J654"/>
      <c r="K654"/>
      <c r="L654"/>
      <c r="M654"/>
      <c r="N654"/>
      <c r="O654"/>
      <c r="P654"/>
      <c r="Q654"/>
    </row>
    <row r="655" spans="1:17" ht="72" customHeight="1" x14ac:dyDescent="0.25">
      <c r="A655" s="22"/>
      <c r="B655" s="22"/>
      <c r="C655" s="22"/>
      <c r="D655" s="22"/>
      <c r="E655" s="22"/>
      <c r="F655" s="22"/>
      <c r="G655"/>
      <c r="H655"/>
      <c r="I655"/>
      <c r="J655"/>
      <c r="K655"/>
      <c r="L655"/>
      <c r="M655"/>
      <c r="N655"/>
      <c r="O655"/>
      <c r="P655"/>
      <c r="Q655"/>
    </row>
    <row r="656" spans="1:17" ht="72" customHeight="1" x14ac:dyDescent="0.25">
      <c r="A656" s="22"/>
      <c r="B656" s="22"/>
      <c r="C656" s="22"/>
      <c r="D656" s="22"/>
      <c r="E656" s="22"/>
      <c r="F656" s="22"/>
      <c r="G656"/>
      <c r="H656"/>
      <c r="I656"/>
      <c r="J656"/>
      <c r="K656"/>
      <c r="L656"/>
      <c r="M656"/>
      <c r="N656"/>
      <c r="O656"/>
      <c r="P656"/>
      <c r="Q656"/>
    </row>
    <row r="657" spans="1:17" ht="72" customHeight="1" x14ac:dyDescent="0.25">
      <c r="A657" s="22"/>
      <c r="B657" s="22"/>
      <c r="C657" s="22"/>
      <c r="D657" s="22"/>
      <c r="E657" s="22"/>
      <c r="F657" s="22"/>
      <c r="G657"/>
      <c r="H657"/>
      <c r="I657"/>
      <c r="J657"/>
      <c r="K657"/>
      <c r="L657"/>
      <c r="M657"/>
      <c r="N657"/>
      <c r="O657"/>
      <c r="P657"/>
      <c r="Q657"/>
    </row>
    <row r="658" spans="1:17" ht="72" customHeight="1" x14ac:dyDescent="0.25">
      <c r="A658" s="22"/>
      <c r="B658" s="22"/>
      <c r="C658" s="22"/>
      <c r="D658" s="22"/>
      <c r="E658" s="22"/>
      <c r="F658" s="22"/>
      <c r="G658"/>
      <c r="H658"/>
      <c r="I658"/>
      <c r="J658"/>
      <c r="K658"/>
      <c r="L658"/>
      <c r="M658"/>
      <c r="N658"/>
      <c r="O658"/>
      <c r="P658"/>
      <c r="Q658"/>
    </row>
    <row r="659" spans="1:17" ht="72" customHeight="1" x14ac:dyDescent="0.25">
      <c r="A659" s="22"/>
      <c r="B659" s="22"/>
      <c r="C659" s="22"/>
      <c r="D659" s="22"/>
      <c r="E659" s="22"/>
      <c r="F659" s="22"/>
      <c r="G659"/>
      <c r="H659"/>
      <c r="I659"/>
      <c r="J659"/>
      <c r="K659"/>
      <c r="L659"/>
      <c r="M659"/>
      <c r="N659"/>
      <c r="O659"/>
      <c r="P659"/>
      <c r="Q659"/>
    </row>
    <row r="660" spans="1:17" ht="72" customHeight="1" x14ac:dyDescent="0.25">
      <c r="A660" s="22"/>
      <c r="B660" s="22"/>
      <c r="C660" s="22"/>
      <c r="D660" s="22"/>
      <c r="E660" s="22"/>
      <c r="F660" s="22"/>
      <c r="G660"/>
      <c r="H660"/>
      <c r="I660"/>
      <c r="J660"/>
      <c r="K660"/>
      <c r="L660"/>
      <c r="M660"/>
      <c r="N660"/>
      <c r="O660"/>
      <c r="P660"/>
      <c r="Q660"/>
    </row>
    <row r="661" spans="1:17" ht="72" customHeight="1" x14ac:dyDescent="0.25">
      <c r="A661" s="22"/>
      <c r="B661" s="22"/>
      <c r="C661" s="22"/>
      <c r="D661" s="22"/>
      <c r="E661" s="22"/>
      <c r="F661" s="22"/>
      <c r="G661"/>
      <c r="H661"/>
      <c r="I661"/>
      <c r="J661"/>
      <c r="K661"/>
      <c r="L661"/>
      <c r="M661"/>
      <c r="N661"/>
      <c r="O661"/>
      <c r="P661"/>
      <c r="Q661"/>
    </row>
    <row r="662" spans="1:17" ht="72" customHeight="1" x14ac:dyDescent="0.25">
      <c r="A662" s="22"/>
      <c r="B662" s="22"/>
      <c r="C662" s="22"/>
      <c r="D662" s="22"/>
      <c r="E662" s="22"/>
      <c r="F662" s="22"/>
      <c r="G662"/>
      <c r="H662"/>
      <c r="I662"/>
      <c r="J662"/>
      <c r="K662"/>
      <c r="L662"/>
      <c r="M662"/>
      <c r="N662"/>
      <c r="O662"/>
      <c r="P662"/>
      <c r="Q662"/>
    </row>
    <row r="663" spans="1:17" ht="72" customHeight="1" x14ac:dyDescent="0.25">
      <c r="A663" s="22"/>
      <c r="B663" s="22"/>
      <c r="C663" s="22"/>
      <c r="D663" s="22"/>
      <c r="E663" s="22"/>
      <c r="F663" s="22"/>
      <c r="G663"/>
      <c r="H663"/>
      <c r="I663"/>
      <c r="J663"/>
      <c r="K663"/>
      <c r="L663"/>
      <c r="M663"/>
      <c r="N663"/>
      <c r="O663"/>
      <c r="P663"/>
      <c r="Q663"/>
    </row>
    <row r="664" spans="1:17" ht="72" customHeight="1" x14ac:dyDescent="0.25">
      <c r="A664" s="22"/>
      <c r="B664" s="22"/>
      <c r="C664" s="22"/>
      <c r="D664" s="22"/>
      <c r="E664" s="22"/>
      <c r="F664" s="22"/>
      <c r="G664"/>
      <c r="H664"/>
      <c r="I664"/>
      <c r="J664"/>
      <c r="K664"/>
      <c r="L664"/>
      <c r="M664"/>
      <c r="N664"/>
      <c r="O664"/>
      <c r="P664"/>
      <c r="Q664"/>
    </row>
    <row r="665" spans="1:17" ht="72" customHeight="1" x14ac:dyDescent="0.25">
      <c r="A665" s="22"/>
      <c r="B665" s="22"/>
      <c r="C665" s="22"/>
      <c r="D665" s="22"/>
      <c r="E665" s="22"/>
      <c r="F665" s="22"/>
      <c r="G665"/>
      <c r="H665"/>
      <c r="I665"/>
      <c r="J665"/>
      <c r="K665"/>
      <c r="L665"/>
      <c r="M665"/>
      <c r="N665"/>
      <c r="O665"/>
      <c r="P665"/>
      <c r="Q665"/>
    </row>
    <row r="666" spans="1:17" ht="72" customHeight="1" x14ac:dyDescent="0.25">
      <c r="A666" s="22"/>
      <c r="B666" s="22"/>
      <c r="C666" s="22"/>
      <c r="D666" s="22"/>
      <c r="E666" s="22"/>
      <c r="F666" s="22"/>
      <c r="G666"/>
      <c r="H666"/>
      <c r="I666"/>
      <c r="J666"/>
      <c r="K666"/>
      <c r="L666"/>
      <c r="M666"/>
      <c r="N666"/>
      <c r="O666"/>
      <c r="P666"/>
      <c r="Q666"/>
    </row>
    <row r="667" spans="1:17" ht="72" customHeight="1" x14ac:dyDescent="0.25">
      <c r="A667" s="22"/>
      <c r="B667" s="22"/>
      <c r="C667" s="22"/>
      <c r="D667" s="22"/>
      <c r="E667" s="22"/>
      <c r="F667" s="22"/>
      <c r="G667"/>
      <c r="H667"/>
      <c r="I667"/>
      <c r="J667"/>
      <c r="K667"/>
      <c r="L667"/>
      <c r="M667"/>
      <c r="N667"/>
      <c r="O667"/>
      <c r="P667"/>
      <c r="Q667"/>
    </row>
    <row r="668" spans="1:17" ht="72" customHeight="1" x14ac:dyDescent="0.25">
      <c r="A668" s="22"/>
      <c r="B668" s="22"/>
      <c r="C668" s="22"/>
      <c r="D668" s="22"/>
      <c r="E668" s="22"/>
      <c r="F668" s="22"/>
      <c r="G668"/>
      <c r="H668"/>
      <c r="I668"/>
      <c r="J668"/>
      <c r="K668"/>
      <c r="L668"/>
      <c r="M668"/>
      <c r="N668"/>
      <c r="O668"/>
      <c r="P668"/>
      <c r="Q668"/>
    </row>
    <row r="669" spans="1:17" ht="72" customHeight="1" x14ac:dyDescent="0.25">
      <c r="A669" s="22"/>
      <c r="B669" s="22"/>
      <c r="C669" s="22"/>
      <c r="D669" s="22"/>
      <c r="E669" s="22"/>
      <c r="F669" s="22"/>
      <c r="G669"/>
      <c r="H669"/>
      <c r="I669"/>
      <c r="J669"/>
      <c r="K669"/>
      <c r="L669"/>
      <c r="M669"/>
      <c r="N669"/>
      <c r="O669"/>
      <c r="P669"/>
      <c r="Q669"/>
    </row>
    <row r="670" spans="1:17" ht="72" customHeight="1" x14ac:dyDescent="0.25">
      <c r="A670" s="22"/>
      <c r="B670" s="22"/>
      <c r="C670" s="22"/>
      <c r="D670" s="22"/>
      <c r="E670" s="22"/>
      <c r="F670" s="22"/>
      <c r="G670"/>
      <c r="H670"/>
      <c r="I670"/>
      <c r="J670"/>
      <c r="K670"/>
      <c r="L670"/>
      <c r="M670"/>
      <c r="N670"/>
      <c r="O670"/>
      <c r="P670"/>
      <c r="Q670"/>
    </row>
    <row r="671" spans="1:17" ht="72" customHeight="1" x14ac:dyDescent="0.25">
      <c r="A671" s="22"/>
      <c r="B671" s="22"/>
      <c r="C671" s="22"/>
      <c r="D671" s="22"/>
      <c r="E671" s="22"/>
      <c r="F671" s="22"/>
      <c r="G671"/>
      <c r="H671"/>
      <c r="I671"/>
      <c r="J671"/>
      <c r="K671"/>
      <c r="L671"/>
      <c r="M671"/>
      <c r="N671"/>
      <c r="O671"/>
      <c r="P671"/>
      <c r="Q671"/>
    </row>
    <row r="672" spans="1:17" ht="72" customHeight="1" x14ac:dyDescent="0.25">
      <c r="A672" s="22"/>
      <c r="B672" s="22"/>
      <c r="C672" s="22"/>
      <c r="D672" s="22"/>
      <c r="E672" s="22"/>
      <c r="F672" s="22"/>
      <c r="G672"/>
      <c r="H672"/>
      <c r="I672"/>
      <c r="J672"/>
      <c r="K672"/>
      <c r="L672"/>
      <c r="M672"/>
      <c r="N672"/>
      <c r="O672"/>
      <c r="P672"/>
      <c r="Q672"/>
    </row>
    <row r="673" spans="1:17" ht="72" customHeight="1" x14ac:dyDescent="0.25">
      <c r="A673" s="22"/>
      <c r="B673" s="22"/>
      <c r="C673" s="22"/>
      <c r="D673" s="22"/>
      <c r="E673" s="22"/>
      <c r="F673" s="22"/>
      <c r="G673"/>
      <c r="H673"/>
      <c r="I673"/>
      <c r="J673"/>
      <c r="K673"/>
      <c r="L673"/>
      <c r="M673"/>
      <c r="N673"/>
      <c r="O673"/>
      <c r="P673"/>
      <c r="Q673"/>
    </row>
    <row r="674" spans="1:17" ht="72" customHeight="1" x14ac:dyDescent="0.25">
      <c r="A674" s="22"/>
      <c r="B674" s="22"/>
      <c r="C674" s="22"/>
      <c r="D674" s="22"/>
      <c r="E674" s="22"/>
      <c r="F674" s="22"/>
      <c r="G674"/>
      <c r="H674"/>
      <c r="I674"/>
      <c r="J674"/>
      <c r="K674"/>
      <c r="L674"/>
      <c r="M674"/>
      <c r="N674"/>
      <c r="O674"/>
      <c r="P674"/>
      <c r="Q674"/>
    </row>
    <row r="675" spans="1:17" ht="72" customHeight="1" x14ac:dyDescent="0.25">
      <c r="A675" s="22"/>
      <c r="B675" s="22"/>
      <c r="C675" s="22"/>
      <c r="D675" s="22"/>
      <c r="E675" s="22"/>
      <c r="F675" s="22"/>
      <c r="G675"/>
      <c r="H675"/>
      <c r="I675"/>
      <c r="J675"/>
      <c r="K675"/>
      <c r="L675"/>
      <c r="M675"/>
      <c r="N675"/>
      <c r="O675"/>
      <c r="P675"/>
      <c r="Q675"/>
    </row>
    <row r="676" spans="1:17" ht="72" customHeight="1" x14ac:dyDescent="0.25">
      <c r="A676" s="22"/>
      <c r="B676" s="22"/>
      <c r="C676" s="22"/>
      <c r="D676" s="22"/>
      <c r="E676" s="22"/>
      <c r="F676" s="22"/>
      <c r="G676"/>
      <c r="H676"/>
      <c r="I676"/>
      <c r="J676"/>
      <c r="K676"/>
      <c r="L676"/>
      <c r="M676"/>
      <c r="N676"/>
      <c r="O676"/>
      <c r="P676"/>
      <c r="Q676"/>
    </row>
    <row r="677" spans="1:17" ht="72" customHeight="1" x14ac:dyDescent="0.25">
      <c r="A677" s="22"/>
      <c r="B677" s="22"/>
      <c r="C677" s="22"/>
      <c r="D677" s="22"/>
      <c r="E677" s="22"/>
      <c r="F677" s="22"/>
      <c r="G677"/>
      <c r="H677"/>
      <c r="I677"/>
      <c r="J677"/>
      <c r="K677"/>
      <c r="L677"/>
      <c r="M677"/>
      <c r="N677"/>
      <c r="O677"/>
      <c r="P677"/>
      <c r="Q677"/>
    </row>
    <row r="678" spans="1:17" ht="72" customHeight="1" x14ac:dyDescent="0.25">
      <c r="A678" s="22"/>
      <c r="B678" s="22"/>
      <c r="C678" s="22"/>
      <c r="D678" s="22"/>
      <c r="E678" s="22"/>
      <c r="F678" s="22"/>
      <c r="G678"/>
      <c r="H678"/>
      <c r="I678"/>
      <c r="J678"/>
      <c r="K678"/>
      <c r="L678"/>
      <c r="M678"/>
      <c r="N678"/>
      <c r="O678"/>
      <c r="P678"/>
      <c r="Q678"/>
    </row>
    <row r="679" spans="1:17" ht="72" customHeight="1" x14ac:dyDescent="0.25">
      <c r="A679" s="22"/>
      <c r="B679" s="22"/>
      <c r="C679" s="22"/>
      <c r="D679" s="22"/>
      <c r="E679" s="22"/>
      <c r="F679" s="22"/>
      <c r="G679"/>
      <c r="H679"/>
      <c r="I679"/>
      <c r="J679"/>
      <c r="K679"/>
      <c r="L679"/>
      <c r="M679"/>
      <c r="N679"/>
      <c r="O679"/>
      <c r="P679"/>
      <c r="Q679"/>
    </row>
    <row r="680" spans="1:17" ht="72" customHeight="1" x14ac:dyDescent="0.25">
      <c r="A680" s="22"/>
      <c r="B680" s="22"/>
      <c r="C680" s="22"/>
      <c r="D680" s="22"/>
      <c r="E680" s="22"/>
      <c r="F680" s="22"/>
      <c r="G680"/>
      <c r="H680"/>
      <c r="I680"/>
      <c r="J680"/>
      <c r="K680"/>
      <c r="L680"/>
      <c r="M680"/>
      <c r="N680"/>
      <c r="O680"/>
      <c r="P680"/>
      <c r="Q680"/>
    </row>
    <row r="681" spans="1:17" ht="72" customHeight="1" x14ac:dyDescent="0.25">
      <c r="A681" s="22"/>
      <c r="B681" s="22"/>
      <c r="C681" s="22"/>
      <c r="D681" s="22"/>
      <c r="E681" s="22"/>
      <c r="F681" s="22"/>
      <c r="G681"/>
      <c r="H681"/>
      <c r="I681"/>
      <c r="J681"/>
      <c r="K681"/>
      <c r="L681"/>
      <c r="M681"/>
      <c r="N681"/>
      <c r="O681"/>
      <c r="P681"/>
      <c r="Q681"/>
    </row>
    <row r="682" spans="1:17" ht="72" customHeight="1" x14ac:dyDescent="0.25">
      <c r="A682" s="22"/>
      <c r="B682" s="22"/>
      <c r="C682" s="22"/>
      <c r="D682" s="22"/>
      <c r="E682" s="22"/>
      <c r="F682" s="22"/>
      <c r="G682"/>
      <c r="H682"/>
      <c r="I682"/>
      <c r="J682"/>
      <c r="K682"/>
      <c r="L682"/>
      <c r="M682"/>
      <c r="N682"/>
      <c r="O682"/>
      <c r="P682"/>
      <c r="Q682"/>
    </row>
    <row r="683" spans="1:17" ht="72" customHeight="1" x14ac:dyDescent="0.25">
      <c r="A683" s="22"/>
      <c r="B683" s="22"/>
      <c r="C683" s="22"/>
      <c r="D683" s="22"/>
      <c r="E683" s="22"/>
      <c r="F683" s="22"/>
      <c r="G683"/>
      <c r="H683"/>
      <c r="I683"/>
      <c r="J683"/>
      <c r="K683"/>
      <c r="L683"/>
      <c r="M683"/>
      <c r="N683"/>
      <c r="O683"/>
      <c r="P683"/>
      <c r="Q683"/>
    </row>
    <row r="684" spans="1:17" ht="72" customHeight="1" x14ac:dyDescent="0.25">
      <c r="A684" s="22"/>
      <c r="B684" s="22"/>
      <c r="C684" s="22"/>
      <c r="D684" s="22"/>
      <c r="E684" s="22"/>
      <c r="F684" s="22"/>
      <c r="G684"/>
      <c r="H684"/>
      <c r="I684"/>
      <c r="J684"/>
      <c r="K684"/>
      <c r="L684"/>
      <c r="M684"/>
      <c r="N684"/>
      <c r="O684"/>
      <c r="P684"/>
      <c r="Q684"/>
    </row>
    <row r="685" spans="1:17" ht="72" customHeight="1" x14ac:dyDescent="0.25">
      <c r="A685" s="22"/>
      <c r="B685" s="22"/>
      <c r="C685" s="22"/>
      <c r="D685" s="22"/>
      <c r="E685" s="22"/>
      <c r="F685" s="22"/>
      <c r="G685"/>
      <c r="H685"/>
      <c r="I685"/>
      <c r="J685"/>
      <c r="K685"/>
      <c r="L685"/>
      <c r="M685"/>
      <c r="N685"/>
      <c r="O685"/>
      <c r="P685"/>
      <c r="Q685"/>
    </row>
    <row r="686" spans="1:17" ht="72" customHeight="1" x14ac:dyDescent="0.25">
      <c r="A686" s="22"/>
      <c r="B686" s="22"/>
      <c r="C686" s="22"/>
      <c r="D686" s="22"/>
      <c r="E686" s="22"/>
      <c r="F686" s="22"/>
      <c r="G686"/>
      <c r="H686"/>
      <c r="I686"/>
      <c r="J686"/>
      <c r="K686"/>
      <c r="L686"/>
      <c r="M686"/>
      <c r="N686"/>
      <c r="O686"/>
      <c r="P686"/>
      <c r="Q686"/>
    </row>
    <row r="687" spans="1:17" ht="72" customHeight="1" x14ac:dyDescent="0.25">
      <c r="A687" s="22"/>
      <c r="B687" s="22"/>
      <c r="C687" s="22"/>
      <c r="D687" s="22"/>
      <c r="E687" s="22"/>
      <c r="F687" s="22"/>
      <c r="G687"/>
      <c r="H687"/>
      <c r="I687"/>
      <c r="J687"/>
      <c r="K687"/>
      <c r="L687"/>
      <c r="M687"/>
      <c r="N687"/>
      <c r="O687"/>
      <c r="P687"/>
      <c r="Q687"/>
    </row>
    <row r="688" spans="1:17" ht="72" customHeight="1" x14ac:dyDescent="0.25">
      <c r="A688" s="22"/>
      <c r="B688" s="22"/>
      <c r="C688" s="22"/>
      <c r="D688" s="22"/>
      <c r="E688" s="22"/>
      <c r="F688" s="22"/>
      <c r="G688"/>
      <c r="H688"/>
      <c r="I688"/>
      <c r="J688"/>
      <c r="K688"/>
      <c r="L688"/>
      <c r="M688"/>
      <c r="N688"/>
      <c r="O688"/>
      <c r="P688"/>
      <c r="Q688"/>
    </row>
    <row r="689" spans="1:17" ht="72" customHeight="1" x14ac:dyDescent="0.25">
      <c r="A689" s="22"/>
      <c r="B689" s="22"/>
      <c r="C689" s="22"/>
      <c r="D689" s="22"/>
      <c r="E689" s="22"/>
      <c r="F689" s="22"/>
      <c r="G689"/>
      <c r="H689"/>
      <c r="I689"/>
      <c r="J689"/>
      <c r="K689"/>
      <c r="L689"/>
      <c r="M689"/>
      <c r="N689"/>
      <c r="O689"/>
      <c r="P689"/>
      <c r="Q689"/>
    </row>
    <row r="690" spans="1:17" ht="72" customHeight="1" x14ac:dyDescent="0.25">
      <c r="A690" s="22"/>
      <c r="B690" s="22"/>
      <c r="C690" s="22"/>
      <c r="D690" s="22"/>
      <c r="E690" s="22"/>
      <c r="F690" s="22"/>
      <c r="G690"/>
      <c r="H690"/>
      <c r="I690"/>
      <c r="J690"/>
      <c r="K690"/>
      <c r="L690"/>
      <c r="M690"/>
      <c r="N690"/>
      <c r="O690"/>
      <c r="P690"/>
      <c r="Q690"/>
    </row>
    <row r="691" spans="1:17" ht="72" customHeight="1" x14ac:dyDescent="0.25">
      <c r="A691" s="22"/>
      <c r="B691" s="22"/>
      <c r="C691" s="22"/>
      <c r="D691" s="22"/>
      <c r="E691" s="22"/>
      <c r="F691" s="22"/>
      <c r="G691"/>
      <c r="H691"/>
      <c r="I691"/>
      <c r="J691"/>
      <c r="K691"/>
      <c r="L691"/>
      <c r="M691"/>
      <c r="N691"/>
      <c r="O691"/>
      <c r="P691"/>
      <c r="Q691"/>
    </row>
    <row r="692" spans="1:17" ht="72" customHeight="1" x14ac:dyDescent="0.25">
      <c r="A692" s="22"/>
      <c r="B692" s="22"/>
      <c r="C692" s="22"/>
      <c r="D692" s="22"/>
      <c r="E692" s="22"/>
      <c r="F692" s="22"/>
      <c r="G692"/>
      <c r="H692"/>
      <c r="I692"/>
      <c r="J692"/>
      <c r="K692"/>
      <c r="L692"/>
      <c r="M692"/>
      <c r="N692"/>
      <c r="O692"/>
      <c r="P692"/>
      <c r="Q692"/>
    </row>
    <row r="693" spans="1:17" ht="72" customHeight="1" x14ac:dyDescent="0.25">
      <c r="A693" s="22"/>
      <c r="B693" s="22"/>
      <c r="C693" s="22"/>
      <c r="D693" s="22"/>
      <c r="E693" s="22"/>
      <c r="F693" s="22"/>
      <c r="G693"/>
      <c r="H693"/>
      <c r="I693"/>
      <c r="J693"/>
      <c r="K693"/>
      <c r="L693"/>
      <c r="M693"/>
      <c r="N693"/>
      <c r="O693"/>
      <c r="P693"/>
      <c r="Q693"/>
    </row>
    <row r="694" spans="1:17" ht="72" customHeight="1" x14ac:dyDescent="0.25">
      <c r="A694" s="22"/>
      <c r="B694" s="22"/>
      <c r="C694" s="22"/>
      <c r="D694" s="22"/>
      <c r="E694" s="22"/>
      <c r="F694" s="22"/>
      <c r="G694"/>
      <c r="H694"/>
      <c r="I694"/>
      <c r="J694"/>
      <c r="K694"/>
      <c r="L694"/>
      <c r="M694"/>
      <c r="N694"/>
      <c r="O694"/>
      <c r="P694"/>
      <c r="Q694"/>
    </row>
    <row r="695" spans="1:17" ht="72" customHeight="1" x14ac:dyDescent="0.25">
      <c r="A695" s="22"/>
      <c r="B695" s="22"/>
      <c r="C695" s="22"/>
      <c r="D695" s="22"/>
      <c r="E695" s="22"/>
      <c r="F695" s="22"/>
      <c r="G695"/>
      <c r="H695"/>
      <c r="I695"/>
      <c r="J695"/>
      <c r="K695"/>
      <c r="L695"/>
      <c r="M695"/>
      <c r="N695"/>
      <c r="O695"/>
      <c r="P695"/>
      <c r="Q695"/>
    </row>
    <row r="696" spans="1:17" ht="72" customHeight="1" x14ac:dyDescent="0.25">
      <c r="A696" s="22"/>
      <c r="B696" s="22"/>
      <c r="C696" s="22"/>
      <c r="D696" s="22"/>
      <c r="E696" s="22"/>
      <c r="F696" s="22"/>
      <c r="G696"/>
      <c r="H696"/>
      <c r="I696"/>
      <c r="J696"/>
      <c r="K696"/>
      <c r="L696"/>
      <c r="M696"/>
      <c r="N696"/>
      <c r="O696"/>
      <c r="P696"/>
      <c r="Q696"/>
    </row>
    <row r="697" spans="1:17" ht="72" customHeight="1" x14ac:dyDescent="0.25">
      <c r="A697" s="22"/>
      <c r="B697" s="22"/>
      <c r="C697" s="22"/>
      <c r="D697" s="22"/>
      <c r="E697" s="22"/>
      <c r="F697" s="22"/>
      <c r="G697"/>
      <c r="H697"/>
      <c r="I697"/>
      <c r="J697"/>
      <c r="K697"/>
      <c r="L697"/>
      <c r="M697"/>
      <c r="N697"/>
      <c r="O697"/>
      <c r="P697"/>
      <c r="Q697"/>
    </row>
    <row r="698" spans="1:17" ht="72" customHeight="1" x14ac:dyDescent="0.25">
      <c r="A698" s="22"/>
      <c r="B698" s="22"/>
      <c r="C698" s="22"/>
      <c r="D698" s="22"/>
      <c r="E698" s="22"/>
      <c r="F698" s="22"/>
      <c r="G698"/>
      <c r="H698"/>
      <c r="I698"/>
      <c r="J698"/>
      <c r="K698"/>
      <c r="L698"/>
      <c r="M698"/>
      <c r="N698"/>
      <c r="O698"/>
      <c r="P698"/>
      <c r="Q698"/>
    </row>
    <row r="699" spans="1:17" ht="72" customHeight="1" x14ac:dyDescent="0.25">
      <c r="A699" s="22"/>
      <c r="B699" s="22"/>
      <c r="C699" s="22"/>
      <c r="D699" s="22"/>
      <c r="E699" s="22"/>
      <c r="F699" s="22"/>
      <c r="G699"/>
      <c r="H699"/>
      <c r="I699"/>
      <c r="J699"/>
      <c r="K699"/>
      <c r="L699"/>
      <c r="M699"/>
      <c r="N699"/>
      <c r="O699"/>
      <c r="P699"/>
      <c r="Q699"/>
    </row>
    <row r="700" spans="1:17" ht="72" customHeight="1" x14ac:dyDescent="0.25">
      <c r="A700" s="22"/>
      <c r="B700" s="22"/>
      <c r="C700" s="22"/>
      <c r="D700" s="22"/>
      <c r="E700" s="22"/>
      <c r="F700" s="22"/>
      <c r="G700"/>
      <c r="H700"/>
      <c r="I700"/>
      <c r="J700"/>
      <c r="K700"/>
      <c r="L700"/>
      <c r="M700"/>
      <c r="N700"/>
      <c r="O700"/>
      <c r="P700"/>
      <c r="Q700"/>
    </row>
    <row r="701" spans="1:17" ht="72" customHeight="1" x14ac:dyDescent="0.25">
      <c r="A701" s="22"/>
      <c r="B701" s="22"/>
      <c r="C701" s="22"/>
      <c r="D701" s="22"/>
      <c r="E701" s="22"/>
      <c r="F701" s="22"/>
      <c r="G701"/>
      <c r="H701"/>
      <c r="I701"/>
      <c r="J701"/>
      <c r="K701"/>
      <c r="L701"/>
      <c r="M701"/>
      <c r="N701"/>
      <c r="O701"/>
      <c r="P701"/>
      <c r="Q701"/>
    </row>
    <row r="702" spans="1:17" ht="72" customHeight="1" x14ac:dyDescent="0.25">
      <c r="A702" s="22"/>
      <c r="B702" s="22"/>
      <c r="C702" s="22"/>
      <c r="D702" s="22"/>
      <c r="E702" s="22"/>
      <c r="F702" s="22"/>
      <c r="G702"/>
      <c r="H702"/>
      <c r="I702"/>
      <c r="J702"/>
      <c r="K702"/>
      <c r="L702"/>
      <c r="M702"/>
      <c r="N702"/>
      <c r="O702"/>
      <c r="P702"/>
      <c r="Q702"/>
    </row>
    <row r="703" spans="1:17" ht="72" customHeight="1" x14ac:dyDescent="0.25">
      <c r="A703" s="22"/>
      <c r="B703" s="22"/>
      <c r="C703" s="22"/>
      <c r="D703" s="22"/>
      <c r="E703" s="22"/>
      <c r="F703" s="22"/>
      <c r="G703"/>
      <c r="H703"/>
      <c r="I703"/>
      <c r="J703"/>
      <c r="K703"/>
      <c r="L703"/>
      <c r="M703"/>
      <c r="N703"/>
      <c r="O703"/>
      <c r="P703"/>
      <c r="Q703"/>
    </row>
    <row r="704" spans="1:17" ht="72" customHeight="1" x14ac:dyDescent="0.25">
      <c r="A704" s="22"/>
      <c r="B704" s="22"/>
      <c r="C704" s="22"/>
      <c r="D704" s="22"/>
      <c r="E704" s="22"/>
      <c r="F704" s="22"/>
      <c r="G704"/>
      <c r="H704"/>
      <c r="I704"/>
      <c r="J704"/>
      <c r="K704"/>
      <c r="L704"/>
      <c r="M704"/>
      <c r="N704"/>
      <c r="O704"/>
      <c r="P704"/>
      <c r="Q704"/>
    </row>
    <row r="705" spans="1:17" ht="72" customHeight="1" x14ac:dyDescent="0.25">
      <c r="A705" s="22"/>
      <c r="B705" s="22"/>
      <c r="C705" s="22"/>
      <c r="D705" s="22"/>
      <c r="E705" s="22"/>
      <c r="F705" s="22"/>
      <c r="G705"/>
      <c r="H705"/>
      <c r="I705"/>
      <c r="J705"/>
      <c r="K705"/>
      <c r="L705"/>
      <c r="M705"/>
      <c r="N705"/>
      <c r="O705"/>
      <c r="P705"/>
      <c r="Q705"/>
    </row>
    <row r="706" spans="1:17" ht="72" customHeight="1" x14ac:dyDescent="0.25">
      <c r="A706" s="22"/>
      <c r="B706" s="22"/>
      <c r="C706" s="22"/>
      <c r="D706" s="22"/>
      <c r="E706" s="22"/>
      <c r="F706" s="22"/>
      <c r="G706"/>
      <c r="H706"/>
      <c r="I706"/>
      <c r="J706"/>
      <c r="K706"/>
      <c r="L706"/>
      <c r="M706"/>
      <c r="N706"/>
      <c r="O706"/>
      <c r="P706"/>
      <c r="Q706"/>
    </row>
    <row r="707" spans="1:17" ht="72" customHeight="1" x14ac:dyDescent="0.25">
      <c r="A707" s="22"/>
      <c r="B707" s="22"/>
      <c r="C707" s="22"/>
      <c r="D707" s="22"/>
      <c r="E707" s="22"/>
      <c r="F707" s="22"/>
      <c r="G707"/>
      <c r="H707"/>
      <c r="I707"/>
      <c r="J707"/>
      <c r="K707"/>
      <c r="L707"/>
      <c r="M707"/>
      <c r="N707"/>
      <c r="O707"/>
      <c r="P707"/>
      <c r="Q707"/>
    </row>
    <row r="708" spans="1:17" ht="72" customHeight="1" x14ac:dyDescent="0.25">
      <c r="A708" s="22"/>
      <c r="B708" s="22"/>
      <c r="C708" s="22"/>
      <c r="D708" s="22"/>
      <c r="E708" s="22"/>
      <c r="F708" s="22"/>
      <c r="G708"/>
      <c r="H708"/>
      <c r="I708"/>
      <c r="J708"/>
      <c r="K708"/>
      <c r="L708"/>
      <c r="M708"/>
      <c r="N708"/>
      <c r="O708"/>
      <c r="P708"/>
      <c r="Q708"/>
    </row>
    <row r="709" spans="1:17" ht="72" customHeight="1" x14ac:dyDescent="0.25">
      <c r="A709" s="22"/>
      <c r="B709" s="22"/>
      <c r="C709" s="22"/>
      <c r="D709" s="22"/>
      <c r="E709" s="22"/>
      <c r="F709" s="22"/>
      <c r="G709"/>
      <c r="H709"/>
      <c r="I709"/>
      <c r="J709"/>
      <c r="K709"/>
      <c r="L709"/>
      <c r="M709"/>
      <c r="N709"/>
      <c r="O709"/>
      <c r="P709"/>
      <c r="Q709"/>
    </row>
    <row r="710" spans="1:17" ht="72" customHeight="1" x14ac:dyDescent="0.25">
      <c r="A710" s="22"/>
      <c r="B710" s="22"/>
      <c r="C710" s="22"/>
      <c r="D710" s="22"/>
      <c r="E710" s="22"/>
      <c r="F710" s="22"/>
      <c r="G710"/>
      <c r="H710"/>
      <c r="I710"/>
      <c r="J710"/>
      <c r="K710"/>
      <c r="L710"/>
      <c r="M710"/>
      <c r="N710"/>
      <c r="O710"/>
      <c r="P710"/>
      <c r="Q710"/>
    </row>
    <row r="711" spans="1:17" ht="72" customHeight="1" x14ac:dyDescent="0.25">
      <c r="A711" s="22"/>
      <c r="B711" s="22"/>
      <c r="C711" s="22"/>
      <c r="D711" s="22"/>
      <c r="E711" s="22"/>
      <c r="F711" s="22"/>
      <c r="G711"/>
      <c r="H711"/>
      <c r="I711"/>
      <c r="J711"/>
      <c r="K711"/>
      <c r="L711"/>
      <c r="M711"/>
      <c r="N711"/>
      <c r="O711"/>
      <c r="P711"/>
      <c r="Q711"/>
    </row>
    <row r="712" spans="1:17" ht="72" customHeight="1" x14ac:dyDescent="0.25">
      <c r="A712" s="22"/>
      <c r="B712" s="22"/>
      <c r="C712" s="22"/>
      <c r="D712" s="22"/>
      <c r="E712" s="22"/>
      <c r="F712" s="22"/>
      <c r="G712"/>
      <c r="H712"/>
      <c r="I712"/>
      <c r="J712"/>
      <c r="K712"/>
      <c r="L712"/>
      <c r="M712"/>
      <c r="N712"/>
      <c r="O712"/>
      <c r="P712"/>
      <c r="Q712"/>
    </row>
    <row r="713" spans="1:17" ht="72" customHeight="1" x14ac:dyDescent="0.25">
      <c r="A713" s="22"/>
      <c r="B713" s="22"/>
      <c r="C713" s="22"/>
      <c r="D713" s="22"/>
      <c r="E713" s="22"/>
      <c r="F713" s="22"/>
      <c r="G713"/>
      <c r="H713"/>
      <c r="I713"/>
      <c r="J713"/>
      <c r="K713"/>
      <c r="L713"/>
      <c r="M713"/>
      <c r="N713"/>
      <c r="O713"/>
      <c r="P713"/>
      <c r="Q713"/>
    </row>
    <row r="714" spans="1:17" ht="72" customHeight="1" x14ac:dyDescent="0.25">
      <c r="A714" s="22"/>
      <c r="B714" s="22"/>
      <c r="C714" s="22"/>
      <c r="D714" s="22"/>
      <c r="E714" s="22"/>
      <c r="F714" s="22"/>
      <c r="G714"/>
      <c r="H714"/>
      <c r="I714"/>
      <c r="J714"/>
      <c r="K714"/>
      <c r="L714"/>
      <c r="M714"/>
      <c r="N714"/>
      <c r="O714"/>
      <c r="P714"/>
      <c r="Q714"/>
    </row>
    <row r="715" spans="1:17" ht="72" customHeight="1" x14ac:dyDescent="0.25">
      <c r="A715" s="22"/>
      <c r="B715" s="22"/>
      <c r="C715" s="22"/>
      <c r="D715" s="22"/>
      <c r="E715" s="22"/>
      <c r="F715" s="22"/>
      <c r="G715"/>
      <c r="H715"/>
      <c r="I715"/>
      <c r="J715"/>
      <c r="K715"/>
      <c r="L715"/>
      <c r="M715"/>
      <c r="N715"/>
      <c r="O715"/>
      <c r="P715"/>
      <c r="Q715"/>
    </row>
    <row r="716" spans="1:17" ht="72" customHeight="1" x14ac:dyDescent="0.25">
      <c r="A716" s="22"/>
      <c r="B716" s="22"/>
      <c r="C716" s="22"/>
      <c r="D716" s="22"/>
      <c r="E716" s="22"/>
      <c r="F716" s="22"/>
      <c r="G716"/>
      <c r="H716"/>
      <c r="I716"/>
      <c r="J716"/>
      <c r="K716"/>
      <c r="L716"/>
      <c r="M716"/>
      <c r="N716"/>
      <c r="O716"/>
      <c r="P716"/>
      <c r="Q716"/>
    </row>
    <row r="717" spans="1:17" ht="72" customHeight="1" x14ac:dyDescent="0.25">
      <c r="A717" s="22"/>
      <c r="B717" s="22"/>
      <c r="C717" s="22"/>
      <c r="D717" s="22"/>
      <c r="E717" s="22"/>
      <c r="F717" s="22"/>
      <c r="G717"/>
      <c r="H717"/>
      <c r="I717"/>
      <c r="J717"/>
      <c r="K717"/>
      <c r="L717"/>
      <c r="M717"/>
      <c r="N717"/>
      <c r="O717"/>
      <c r="P717"/>
      <c r="Q717"/>
    </row>
    <row r="718" spans="1:17" ht="72" customHeight="1" x14ac:dyDescent="0.25">
      <c r="A718" s="22"/>
      <c r="B718" s="22"/>
      <c r="C718" s="22"/>
      <c r="D718" s="22"/>
      <c r="E718" s="22"/>
      <c r="F718" s="22"/>
      <c r="G718"/>
      <c r="H718"/>
      <c r="I718"/>
      <c r="J718"/>
      <c r="K718"/>
      <c r="L718"/>
      <c r="M718"/>
      <c r="N718"/>
      <c r="O718"/>
      <c r="P718"/>
      <c r="Q718"/>
    </row>
    <row r="719" spans="1:17" ht="72" customHeight="1" x14ac:dyDescent="0.25">
      <c r="A719" s="22"/>
      <c r="B719" s="22"/>
      <c r="C719" s="22"/>
      <c r="D719" s="22"/>
      <c r="E719" s="22"/>
      <c r="F719" s="22"/>
      <c r="G719"/>
      <c r="H719"/>
      <c r="I719"/>
      <c r="J719"/>
      <c r="K719"/>
      <c r="L719"/>
      <c r="M719"/>
      <c r="N719"/>
      <c r="O719"/>
      <c r="P719"/>
      <c r="Q719"/>
    </row>
    <row r="720" spans="1:17" ht="72" customHeight="1" x14ac:dyDescent="0.25">
      <c r="A720" s="22"/>
      <c r="B720" s="22"/>
      <c r="C720" s="22"/>
      <c r="D720" s="22"/>
      <c r="E720" s="22"/>
      <c r="F720" s="22"/>
      <c r="G720"/>
      <c r="H720"/>
      <c r="I720"/>
      <c r="J720"/>
      <c r="K720"/>
      <c r="L720"/>
      <c r="M720"/>
      <c r="N720"/>
      <c r="O720"/>
      <c r="P720"/>
      <c r="Q720"/>
    </row>
    <row r="721" spans="1:17" ht="72" customHeight="1" x14ac:dyDescent="0.25">
      <c r="A721" s="22"/>
      <c r="B721" s="22"/>
      <c r="C721" s="22"/>
      <c r="D721" s="22"/>
      <c r="E721" s="22"/>
      <c r="F721" s="22"/>
      <c r="G721"/>
      <c r="H721"/>
      <c r="I721"/>
      <c r="J721"/>
      <c r="K721"/>
      <c r="L721"/>
      <c r="M721"/>
      <c r="N721"/>
      <c r="O721"/>
      <c r="P721"/>
      <c r="Q721"/>
    </row>
    <row r="722" spans="1:17" ht="72" customHeight="1" x14ac:dyDescent="0.25">
      <c r="A722" s="22"/>
      <c r="B722" s="22"/>
      <c r="C722" s="22"/>
      <c r="D722" s="22"/>
      <c r="E722" s="22"/>
      <c r="F722" s="22"/>
      <c r="G722"/>
      <c r="H722"/>
      <c r="I722"/>
      <c r="J722"/>
      <c r="K722"/>
      <c r="L722"/>
      <c r="M722"/>
      <c r="N722"/>
      <c r="O722"/>
      <c r="P722"/>
      <c r="Q722"/>
    </row>
    <row r="723" spans="1:17" ht="72" customHeight="1" x14ac:dyDescent="0.25">
      <c r="A723" s="22"/>
      <c r="B723" s="22"/>
      <c r="C723" s="22"/>
      <c r="D723" s="22"/>
      <c r="E723" s="22"/>
      <c r="F723" s="22"/>
      <c r="G723"/>
      <c r="H723"/>
      <c r="I723"/>
      <c r="J723"/>
      <c r="K723"/>
      <c r="L723"/>
      <c r="M723"/>
      <c r="N723"/>
      <c r="O723"/>
      <c r="P723"/>
      <c r="Q723"/>
    </row>
    <row r="724" spans="1:17" ht="72" customHeight="1" x14ac:dyDescent="0.25">
      <c r="A724" s="22"/>
      <c r="B724" s="22"/>
      <c r="C724" s="22"/>
      <c r="D724" s="22"/>
      <c r="E724" s="22"/>
      <c r="F724" s="22"/>
      <c r="G724"/>
      <c r="H724"/>
      <c r="I724"/>
      <c r="J724"/>
      <c r="K724"/>
      <c r="L724"/>
      <c r="M724"/>
      <c r="N724"/>
      <c r="O724"/>
      <c r="P724"/>
      <c r="Q724"/>
    </row>
    <row r="725" spans="1:17" ht="72" customHeight="1" x14ac:dyDescent="0.25">
      <c r="A725" s="22"/>
      <c r="B725" s="22"/>
      <c r="C725" s="22"/>
      <c r="D725" s="22"/>
      <c r="E725" s="22"/>
      <c r="F725" s="22"/>
      <c r="G725"/>
      <c r="H725"/>
      <c r="I725"/>
      <c r="J725"/>
      <c r="K725"/>
      <c r="L725"/>
      <c r="M725"/>
      <c r="N725"/>
      <c r="O725"/>
      <c r="P725"/>
      <c r="Q725"/>
    </row>
    <row r="726" spans="1:17" ht="72" customHeight="1" x14ac:dyDescent="0.25">
      <c r="A726" s="22"/>
      <c r="B726" s="22"/>
      <c r="C726" s="22"/>
      <c r="D726" s="22"/>
      <c r="E726" s="22"/>
      <c r="F726" s="22"/>
      <c r="G726"/>
      <c r="H726"/>
      <c r="I726"/>
      <c r="J726"/>
      <c r="K726"/>
      <c r="L726"/>
      <c r="M726"/>
      <c r="N726"/>
      <c r="O726"/>
      <c r="P726"/>
      <c r="Q726"/>
    </row>
    <row r="727" spans="1:17" ht="72" customHeight="1" x14ac:dyDescent="0.25">
      <c r="A727" s="22"/>
      <c r="B727" s="22"/>
      <c r="C727" s="22"/>
      <c r="D727" s="22"/>
      <c r="E727" s="22"/>
      <c r="F727" s="22"/>
      <c r="G727"/>
      <c r="H727"/>
      <c r="I727"/>
      <c r="J727"/>
      <c r="K727"/>
      <c r="L727"/>
      <c r="M727"/>
      <c r="N727"/>
      <c r="O727"/>
      <c r="P727"/>
      <c r="Q727"/>
    </row>
    <row r="728" spans="1:17" ht="72" customHeight="1" x14ac:dyDescent="0.25">
      <c r="A728" s="22"/>
      <c r="B728" s="22"/>
      <c r="C728" s="22"/>
      <c r="D728" s="22"/>
      <c r="E728" s="22"/>
      <c r="F728" s="22"/>
      <c r="G728"/>
      <c r="H728"/>
      <c r="I728"/>
      <c r="J728"/>
      <c r="K728"/>
      <c r="L728"/>
      <c r="M728"/>
      <c r="N728"/>
      <c r="O728"/>
      <c r="P728"/>
      <c r="Q728"/>
    </row>
    <row r="729" spans="1:17" ht="72" customHeight="1" x14ac:dyDescent="0.25">
      <c r="A729" s="22"/>
      <c r="B729" s="22"/>
      <c r="C729" s="22"/>
      <c r="D729" s="22"/>
      <c r="E729" s="22"/>
      <c r="F729" s="22"/>
      <c r="G729"/>
      <c r="H729"/>
      <c r="I729"/>
      <c r="J729"/>
      <c r="K729"/>
      <c r="L729"/>
      <c r="M729"/>
      <c r="N729"/>
      <c r="O729"/>
      <c r="P729"/>
      <c r="Q729"/>
    </row>
    <row r="730" spans="1:17" ht="72" customHeight="1" x14ac:dyDescent="0.25">
      <c r="A730" s="22"/>
      <c r="B730" s="22"/>
      <c r="C730" s="22"/>
      <c r="D730" s="22"/>
      <c r="E730" s="22"/>
      <c r="F730" s="22"/>
      <c r="G730"/>
      <c r="H730"/>
      <c r="I730"/>
      <c r="J730"/>
      <c r="K730"/>
      <c r="L730"/>
      <c r="M730"/>
      <c r="N730"/>
      <c r="O730"/>
      <c r="P730"/>
      <c r="Q730"/>
    </row>
    <row r="731" spans="1:17" ht="72" customHeight="1" x14ac:dyDescent="0.25">
      <c r="A731" s="22"/>
      <c r="B731" s="22"/>
      <c r="C731" s="22"/>
      <c r="D731" s="22"/>
      <c r="E731" s="22"/>
      <c r="F731" s="22"/>
      <c r="G731"/>
      <c r="H731"/>
      <c r="I731"/>
      <c r="J731"/>
      <c r="K731"/>
      <c r="L731"/>
      <c r="M731"/>
      <c r="N731"/>
      <c r="O731"/>
      <c r="P731"/>
      <c r="Q731"/>
    </row>
    <row r="732" spans="1:17" ht="72" customHeight="1" x14ac:dyDescent="0.25">
      <c r="A732" s="22"/>
      <c r="B732" s="22"/>
      <c r="C732" s="22"/>
      <c r="D732" s="22"/>
      <c r="E732" s="22"/>
      <c r="F732" s="22"/>
      <c r="G732"/>
      <c r="H732"/>
      <c r="I732"/>
      <c r="J732"/>
      <c r="K732"/>
      <c r="L732"/>
      <c r="M732"/>
      <c r="N732"/>
      <c r="O732"/>
      <c r="P732"/>
      <c r="Q732"/>
    </row>
    <row r="733" spans="1:17" ht="72" customHeight="1" x14ac:dyDescent="0.25">
      <c r="A733" s="22"/>
      <c r="B733" s="22"/>
      <c r="C733" s="22"/>
      <c r="D733" s="22"/>
      <c r="E733" s="22"/>
      <c r="F733" s="22"/>
      <c r="G733"/>
      <c r="H733"/>
      <c r="I733"/>
      <c r="J733"/>
      <c r="K733"/>
      <c r="L733"/>
      <c r="M733"/>
      <c r="N733"/>
      <c r="O733"/>
      <c r="P733"/>
      <c r="Q733"/>
    </row>
    <row r="734" spans="1:17" ht="72" customHeight="1" x14ac:dyDescent="0.25">
      <c r="A734" s="22"/>
      <c r="B734" s="22"/>
      <c r="C734" s="22"/>
      <c r="D734" s="22"/>
      <c r="E734" s="22"/>
      <c r="F734" s="22"/>
      <c r="G734"/>
      <c r="H734"/>
      <c r="I734"/>
      <c r="J734"/>
      <c r="K734"/>
      <c r="L734"/>
      <c r="M734"/>
      <c r="N734"/>
      <c r="O734"/>
      <c r="P734"/>
      <c r="Q734"/>
    </row>
    <row r="735" spans="1:17" ht="72" customHeight="1" x14ac:dyDescent="0.25">
      <c r="A735" s="22"/>
      <c r="B735" s="22"/>
      <c r="C735" s="22"/>
      <c r="D735" s="22"/>
      <c r="E735" s="22"/>
      <c r="F735" s="22"/>
      <c r="G735"/>
      <c r="H735"/>
      <c r="I735"/>
      <c r="J735"/>
      <c r="K735"/>
      <c r="L735"/>
      <c r="M735"/>
      <c r="N735"/>
      <c r="O735"/>
      <c r="P735"/>
      <c r="Q735"/>
    </row>
    <row r="736" spans="1:17" ht="72" customHeight="1" x14ac:dyDescent="0.25">
      <c r="A736" s="22"/>
      <c r="B736" s="22"/>
      <c r="C736" s="22"/>
      <c r="D736" s="22"/>
      <c r="E736" s="22"/>
      <c r="F736" s="22"/>
      <c r="G736"/>
      <c r="H736"/>
      <c r="I736"/>
      <c r="J736"/>
      <c r="K736"/>
      <c r="L736"/>
      <c r="M736"/>
      <c r="N736"/>
      <c r="O736"/>
      <c r="P736"/>
      <c r="Q736"/>
    </row>
    <row r="737" spans="1:17" ht="72" customHeight="1" x14ac:dyDescent="0.25">
      <c r="A737" s="22"/>
      <c r="B737" s="22"/>
      <c r="C737" s="22"/>
      <c r="D737" s="22"/>
      <c r="E737" s="22"/>
      <c r="F737" s="22"/>
      <c r="G737"/>
      <c r="H737"/>
      <c r="I737"/>
      <c r="J737"/>
      <c r="K737"/>
      <c r="L737"/>
      <c r="M737"/>
      <c r="N737"/>
      <c r="O737"/>
      <c r="P737"/>
      <c r="Q737"/>
    </row>
    <row r="738" spans="1:17" ht="72" customHeight="1" x14ac:dyDescent="0.25">
      <c r="A738" s="22"/>
      <c r="B738" s="22"/>
      <c r="C738" s="22"/>
      <c r="D738" s="22"/>
      <c r="E738" s="22"/>
      <c r="F738" s="22"/>
      <c r="G738"/>
      <c r="H738"/>
      <c r="I738"/>
      <c r="J738"/>
      <c r="K738"/>
      <c r="L738"/>
      <c r="M738"/>
      <c r="N738"/>
      <c r="O738"/>
      <c r="P738"/>
      <c r="Q738"/>
    </row>
    <row r="739" spans="1:17" ht="72" customHeight="1" x14ac:dyDescent="0.25">
      <c r="A739" s="22"/>
      <c r="B739" s="22"/>
      <c r="C739" s="22"/>
      <c r="D739" s="22"/>
      <c r="E739" s="22"/>
      <c r="F739" s="22"/>
      <c r="G739"/>
      <c r="H739"/>
      <c r="I739"/>
      <c r="J739"/>
      <c r="K739"/>
      <c r="L739"/>
      <c r="M739"/>
      <c r="N739"/>
      <c r="O739"/>
      <c r="P739"/>
      <c r="Q739"/>
    </row>
    <row r="740" spans="1:17" ht="72" customHeight="1" x14ac:dyDescent="0.25">
      <c r="A740" s="22"/>
      <c r="B740" s="22"/>
      <c r="C740" s="22"/>
      <c r="D740" s="22"/>
      <c r="E740" s="22"/>
      <c r="F740" s="22"/>
      <c r="G740"/>
      <c r="H740"/>
      <c r="I740"/>
      <c r="J740"/>
      <c r="K740"/>
      <c r="L740"/>
      <c r="M740"/>
      <c r="N740"/>
      <c r="O740"/>
      <c r="P740"/>
      <c r="Q740"/>
    </row>
    <row r="741" spans="1:17" ht="72" customHeight="1" x14ac:dyDescent="0.25">
      <c r="A741" s="22"/>
      <c r="B741" s="22"/>
      <c r="C741" s="22"/>
      <c r="D741" s="22"/>
      <c r="E741" s="22"/>
      <c r="F741" s="22"/>
      <c r="G741"/>
      <c r="H741"/>
      <c r="I741"/>
      <c r="J741"/>
      <c r="K741"/>
      <c r="L741"/>
      <c r="M741"/>
      <c r="N741"/>
      <c r="O741"/>
      <c r="P741"/>
      <c r="Q741"/>
    </row>
    <row r="742" spans="1:17" ht="72" customHeight="1" x14ac:dyDescent="0.25">
      <c r="A742" s="22"/>
      <c r="B742" s="22"/>
      <c r="C742" s="22"/>
      <c r="D742" s="22"/>
      <c r="E742" s="22"/>
      <c r="F742" s="22"/>
      <c r="G742"/>
      <c r="H742"/>
      <c r="I742"/>
      <c r="J742"/>
      <c r="K742"/>
      <c r="L742"/>
      <c r="M742"/>
      <c r="N742"/>
      <c r="O742"/>
      <c r="P742"/>
      <c r="Q742"/>
    </row>
    <row r="743" spans="1:17" ht="72" customHeight="1" x14ac:dyDescent="0.25">
      <c r="A743" s="22"/>
      <c r="B743" s="22"/>
      <c r="C743" s="22"/>
      <c r="D743" s="22"/>
      <c r="E743" s="22"/>
      <c r="F743" s="22"/>
      <c r="G743"/>
      <c r="H743"/>
      <c r="I743"/>
      <c r="J743"/>
      <c r="K743"/>
      <c r="L743"/>
      <c r="M743"/>
      <c r="N743"/>
      <c r="O743"/>
      <c r="P743"/>
      <c r="Q743"/>
    </row>
    <row r="744" spans="1:17" ht="72" customHeight="1" x14ac:dyDescent="0.25">
      <c r="A744" s="22"/>
      <c r="B744" s="22"/>
      <c r="C744" s="22"/>
      <c r="D744" s="22"/>
      <c r="E744" s="22"/>
      <c r="F744" s="22"/>
      <c r="G744"/>
      <c r="H744"/>
      <c r="I744"/>
      <c r="J744"/>
      <c r="K744"/>
      <c r="L744"/>
      <c r="M744"/>
      <c r="N744"/>
      <c r="O744"/>
      <c r="P744"/>
      <c r="Q744"/>
    </row>
    <row r="745" spans="1:17" ht="72" customHeight="1" x14ac:dyDescent="0.25">
      <c r="A745" s="22"/>
      <c r="B745" s="22"/>
      <c r="C745" s="22"/>
      <c r="D745" s="22"/>
      <c r="E745" s="22"/>
      <c r="F745" s="22"/>
      <c r="G745"/>
      <c r="H745"/>
      <c r="I745"/>
      <c r="J745"/>
      <c r="K745"/>
      <c r="L745"/>
      <c r="M745"/>
      <c r="N745"/>
      <c r="O745"/>
      <c r="P745"/>
      <c r="Q745"/>
    </row>
    <row r="746" spans="1:17" ht="72" customHeight="1" x14ac:dyDescent="0.25">
      <c r="A746" s="22"/>
      <c r="B746" s="22"/>
      <c r="C746" s="22"/>
      <c r="D746" s="22"/>
      <c r="E746" s="22"/>
      <c r="F746" s="22"/>
      <c r="G746"/>
      <c r="H746"/>
      <c r="I746"/>
      <c r="J746"/>
      <c r="K746"/>
      <c r="L746"/>
      <c r="M746"/>
      <c r="N746"/>
      <c r="O746"/>
      <c r="P746"/>
      <c r="Q746"/>
    </row>
    <row r="747" spans="1:17" ht="72" customHeight="1" x14ac:dyDescent="0.25">
      <c r="A747" s="22"/>
      <c r="B747" s="22"/>
      <c r="C747" s="22"/>
      <c r="D747" s="22"/>
      <c r="E747" s="22"/>
      <c r="F747" s="22"/>
      <c r="G747"/>
      <c r="H747"/>
      <c r="I747"/>
      <c r="J747"/>
      <c r="K747"/>
      <c r="L747"/>
      <c r="M747"/>
      <c r="N747"/>
      <c r="O747"/>
      <c r="P747"/>
      <c r="Q747"/>
    </row>
    <row r="748" spans="1:17" ht="72" customHeight="1" x14ac:dyDescent="0.25">
      <c r="A748" s="22"/>
      <c r="B748" s="22"/>
      <c r="C748" s="22"/>
      <c r="D748" s="22"/>
      <c r="E748" s="22"/>
      <c r="F748" s="22"/>
      <c r="G748"/>
      <c r="H748"/>
      <c r="I748"/>
      <c r="J748"/>
      <c r="K748"/>
      <c r="L748"/>
      <c r="M748"/>
      <c r="N748"/>
      <c r="O748"/>
      <c r="P748"/>
      <c r="Q748"/>
    </row>
    <row r="749" spans="1:17" ht="72" customHeight="1" x14ac:dyDescent="0.25">
      <c r="A749" s="22"/>
      <c r="B749" s="22"/>
      <c r="C749" s="22"/>
      <c r="D749" s="22"/>
      <c r="E749" s="22"/>
      <c r="F749" s="22"/>
      <c r="G749"/>
      <c r="H749"/>
      <c r="I749"/>
      <c r="J749"/>
      <c r="K749"/>
      <c r="L749"/>
      <c r="M749"/>
      <c r="N749"/>
      <c r="O749"/>
      <c r="P749"/>
      <c r="Q749"/>
    </row>
    <row r="750" spans="1:17" ht="72" customHeight="1" x14ac:dyDescent="0.25">
      <c r="A750" s="22"/>
      <c r="B750" s="22"/>
      <c r="C750" s="22"/>
      <c r="D750" s="22"/>
      <c r="E750" s="22"/>
      <c r="F750" s="22"/>
      <c r="G750"/>
      <c r="H750"/>
      <c r="I750"/>
      <c r="J750"/>
      <c r="K750"/>
      <c r="L750"/>
      <c r="M750"/>
      <c r="N750"/>
      <c r="O750"/>
      <c r="P750"/>
      <c r="Q750"/>
    </row>
    <row r="751" spans="1:17" ht="72" customHeight="1" x14ac:dyDescent="0.25">
      <c r="A751" s="22"/>
      <c r="B751" s="22"/>
      <c r="C751" s="22"/>
      <c r="D751" s="22"/>
      <c r="E751" s="22"/>
      <c r="F751" s="22"/>
      <c r="G751"/>
      <c r="H751"/>
      <c r="I751"/>
      <c r="J751"/>
      <c r="K751"/>
      <c r="L751"/>
      <c r="M751"/>
      <c r="N751"/>
      <c r="O751"/>
      <c r="P751"/>
      <c r="Q751"/>
    </row>
    <row r="752" spans="1:17" ht="72" customHeight="1" x14ac:dyDescent="0.25">
      <c r="A752" s="22"/>
      <c r="B752" s="22"/>
      <c r="C752" s="22"/>
      <c r="D752" s="22"/>
      <c r="E752" s="22"/>
      <c r="F752" s="22"/>
      <c r="G752"/>
      <c r="H752"/>
      <c r="I752"/>
      <c r="J752"/>
      <c r="K752"/>
      <c r="L752"/>
      <c r="M752"/>
      <c r="N752"/>
      <c r="O752"/>
      <c r="P752"/>
      <c r="Q752"/>
    </row>
    <row r="753" spans="1:17" ht="72" customHeight="1" x14ac:dyDescent="0.25">
      <c r="A753" s="22"/>
      <c r="B753" s="22"/>
      <c r="C753" s="22"/>
      <c r="D753" s="22"/>
      <c r="E753" s="22"/>
      <c r="F753" s="22"/>
      <c r="G753"/>
      <c r="H753"/>
      <c r="I753"/>
      <c r="J753"/>
      <c r="K753"/>
      <c r="L753"/>
      <c r="M753"/>
      <c r="N753"/>
      <c r="O753"/>
      <c r="P753"/>
      <c r="Q753"/>
    </row>
    <row r="754" spans="1:17" ht="72" customHeight="1" x14ac:dyDescent="0.25">
      <c r="A754" s="22"/>
      <c r="B754" s="22"/>
      <c r="C754" s="22"/>
      <c r="D754" s="22"/>
      <c r="E754" s="22"/>
      <c r="F754" s="22"/>
      <c r="G754"/>
      <c r="H754"/>
      <c r="I754"/>
      <c r="J754"/>
      <c r="K754"/>
      <c r="L754"/>
      <c r="M754"/>
      <c r="N754"/>
      <c r="O754"/>
      <c r="P754"/>
      <c r="Q754"/>
    </row>
    <row r="755" spans="1:17" ht="72" customHeight="1" x14ac:dyDescent="0.25">
      <c r="A755" s="22"/>
      <c r="B755" s="22"/>
      <c r="C755" s="22"/>
      <c r="D755" s="22"/>
      <c r="E755" s="22"/>
      <c r="F755" s="22"/>
      <c r="G755"/>
      <c r="H755"/>
      <c r="I755"/>
      <c r="J755"/>
      <c r="K755"/>
      <c r="L755"/>
      <c r="M755"/>
      <c r="N755"/>
      <c r="O755"/>
      <c r="P755"/>
      <c r="Q755"/>
    </row>
    <row r="756" spans="1:17" ht="72" customHeight="1" x14ac:dyDescent="0.25">
      <c r="A756" s="22"/>
      <c r="B756" s="22"/>
      <c r="C756" s="22"/>
      <c r="D756" s="22"/>
      <c r="E756" s="22"/>
      <c r="F756" s="22"/>
      <c r="G756"/>
      <c r="H756"/>
      <c r="I756"/>
      <c r="J756"/>
      <c r="K756"/>
      <c r="L756"/>
      <c r="M756"/>
      <c r="N756"/>
      <c r="O756"/>
      <c r="P756"/>
      <c r="Q756"/>
    </row>
    <row r="757" spans="1:17" ht="72" customHeight="1" x14ac:dyDescent="0.25">
      <c r="A757" s="22"/>
      <c r="B757" s="22"/>
      <c r="C757" s="22"/>
      <c r="D757" s="22"/>
      <c r="E757" s="22"/>
      <c r="F757" s="22"/>
      <c r="G757"/>
      <c r="H757"/>
      <c r="I757"/>
      <c r="J757"/>
      <c r="K757"/>
      <c r="L757"/>
      <c r="M757"/>
      <c r="N757"/>
      <c r="O757"/>
      <c r="P757"/>
      <c r="Q757"/>
    </row>
    <row r="758" spans="1:17" ht="72" customHeight="1" x14ac:dyDescent="0.25">
      <c r="A758" s="22"/>
      <c r="B758" s="22"/>
      <c r="C758" s="22"/>
      <c r="D758" s="22"/>
      <c r="E758" s="22"/>
      <c r="F758" s="22"/>
      <c r="G758"/>
      <c r="H758"/>
      <c r="I758"/>
      <c r="J758"/>
      <c r="K758"/>
      <c r="L758"/>
      <c r="M758"/>
      <c r="N758"/>
      <c r="O758"/>
      <c r="P758"/>
      <c r="Q758"/>
    </row>
    <row r="759" spans="1:17" ht="72" customHeight="1" x14ac:dyDescent="0.25">
      <c r="A759" s="22"/>
      <c r="B759" s="22"/>
      <c r="C759" s="22"/>
      <c r="D759" s="22"/>
      <c r="E759" s="22"/>
      <c r="F759" s="22"/>
      <c r="G759"/>
      <c r="H759"/>
      <c r="I759"/>
      <c r="J759"/>
      <c r="K759"/>
      <c r="L759"/>
      <c r="M759"/>
      <c r="N759"/>
      <c r="O759"/>
      <c r="P759"/>
      <c r="Q759"/>
    </row>
    <row r="760" spans="1:17" ht="72" customHeight="1" x14ac:dyDescent="0.25">
      <c r="A760" s="22"/>
      <c r="B760" s="22"/>
      <c r="C760" s="22"/>
      <c r="D760" s="22"/>
      <c r="E760" s="22"/>
      <c r="F760" s="22"/>
      <c r="G760"/>
      <c r="H760"/>
      <c r="I760"/>
      <c r="J760"/>
      <c r="K760"/>
      <c r="L760"/>
      <c r="M760"/>
      <c r="N760"/>
      <c r="O760"/>
      <c r="P760"/>
      <c r="Q760"/>
    </row>
    <row r="761" spans="1:17" ht="72" customHeight="1" x14ac:dyDescent="0.25">
      <c r="A761" s="22"/>
      <c r="B761" s="22"/>
      <c r="C761" s="22"/>
      <c r="D761" s="22"/>
      <c r="E761" s="22"/>
      <c r="F761" s="22"/>
      <c r="G761"/>
      <c r="H761"/>
      <c r="I761"/>
      <c r="J761"/>
      <c r="K761"/>
      <c r="L761"/>
      <c r="M761"/>
      <c r="N761"/>
      <c r="O761"/>
      <c r="P761"/>
      <c r="Q761"/>
    </row>
    <row r="762" spans="1:17" ht="72" customHeight="1" x14ac:dyDescent="0.25">
      <c r="A762" s="22"/>
      <c r="B762" s="22"/>
      <c r="C762" s="22"/>
      <c r="D762" s="22"/>
      <c r="E762" s="22"/>
      <c r="F762" s="22"/>
      <c r="G762"/>
      <c r="H762"/>
      <c r="I762"/>
      <c r="J762"/>
      <c r="K762"/>
      <c r="L762"/>
      <c r="M762"/>
      <c r="N762"/>
      <c r="O762"/>
      <c r="P762"/>
      <c r="Q762"/>
    </row>
    <row r="763" spans="1:17" ht="72" customHeight="1" x14ac:dyDescent="0.25">
      <c r="A763" s="22"/>
      <c r="B763" s="22"/>
      <c r="C763" s="22"/>
      <c r="D763" s="22"/>
      <c r="E763" s="22"/>
      <c r="F763" s="22"/>
      <c r="G763"/>
      <c r="H763"/>
      <c r="I763"/>
      <c r="J763"/>
      <c r="K763"/>
      <c r="L763"/>
      <c r="M763"/>
      <c r="N763"/>
      <c r="O763"/>
      <c r="P763"/>
      <c r="Q763"/>
    </row>
    <row r="764" spans="1:17" ht="72" customHeight="1" x14ac:dyDescent="0.25">
      <c r="A764" s="22"/>
      <c r="B764" s="22"/>
      <c r="C764" s="22"/>
      <c r="D764" s="22"/>
      <c r="E764" s="22"/>
      <c r="F764" s="22"/>
      <c r="G764"/>
      <c r="H764"/>
      <c r="I764"/>
      <c r="J764"/>
      <c r="K764"/>
      <c r="L764"/>
      <c r="M764"/>
      <c r="N764"/>
      <c r="O764"/>
      <c r="P764"/>
      <c r="Q764"/>
    </row>
    <row r="765" spans="1:17" ht="72" customHeight="1" x14ac:dyDescent="0.25">
      <c r="A765" s="22"/>
      <c r="B765" s="22"/>
      <c r="C765" s="22"/>
      <c r="D765" s="22"/>
      <c r="E765" s="22"/>
      <c r="F765" s="22"/>
      <c r="G765"/>
      <c r="H765"/>
      <c r="I765"/>
      <c r="J765"/>
      <c r="K765"/>
      <c r="L765"/>
      <c r="M765"/>
      <c r="N765"/>
      <c r="O765"/>
      <c r="P765"/>
      <c r="Q765"/>
    </row>
    <row r="766" spans="1:17" ht="72" customHeight="1" x14ac:dyDescent="0.25">
      <c r="A766" s="22"/>
      <c r="B766" s="22"/>
      <c r="C766" s="22"/>
      <c r="D766" s="22"/>
      <c r="E766" s="22"/>
      <c r="F766" s="22"/>
      <c r="G766"/>
      <c r="H766"/>
      <c r="I766"/>
      <c r="J766"/>
      <c r="K766"/>
      <c r="L766"/>
      <c r="M766"/>
      <c r="N766"/>
      <c r="O766"/>
      <c r="P766"/>
      <c r="Q766"/>
    </row>
    <row r="767" spans="1:17" ht="72" customHeight="1" x14ac:dyDescent="0.25">
      <c r="A767" s="22"/>
      <c r="B767" s="22"/>
      <c r="C767" s="22"/>
      <c r="D767" s="22"/>
      <c r="E767" s="22"/>
      <c r="F767" s="22"/>
      <c r="G767"/>
      <c r="H767"/>
      <c r="I767"/>
      <c r="J767"/>
      <c r="K767"/>
      <c r="L767"/>
      <c r="M767"/>
      <c r="N767"/>
      <c r="O767"/>
      <c r="P767"/>
      <c r="Q767"/>
    </row>
    <row r="768" spans="1:17" ht="72" customHeight="1" x14ac:dyDescent="0.25">
      <c r="A768" s="22"/>
      <c r="B768" s="22"/>
      <c r="C768" s="22"/>
      <c r="D768" s="22"/>
      <c r="E768" s="22"/>
      <c r="F768" s="22"/>
      <c r="G768"/>
      <c r="H768"/>
      <c r="I768"/>
      <c r="J768"/>
      <c r="K768"/>
      <c r="L768"/>
      <c r="M768"/>
      <c r="N768"/>
      <c r="O768"/>
      <c r="P768"/>
      <c r="Q768"/>
    </row>
    <row r="769" spans="1:17" ht="72" customHeight="1" x14ac:dyDescent="0.25">
      <c r="A769" s="22"/>
      <c r="B769" s="22"/>
      <c r="C769" s="22"/>
      <c r="D769" s="22"/>
      <c r="E769" s="22"/>
      <c r="F769" s="22"/>
      <c r="G769"/>
      <c r="H769"/>
      <c r="I769"/>
      <c r="J769"/>
      <c r="K769"/>
      <c r="L769"/>
      <c r="M769"/>
      <c r="N769"/>
      <c r="O769"/>
      <c r="P769"/>
      <c r="Q769"/>
    </row>
    <row r="770" spans="1:17" ht="72" customHeight="1" x14ac:dyDescent="0.25">
      <c r="A770" s="22"/>
      <c r="B770" s="22"/>
      <c r="C770" s="22"/>
      <c r="D770" s="22"/>
      <c r="E770" s="22"/>
      <c r="F770" s="22"/>
      <c r="G770"/>
      <c r="H770"/>
      <c r="I770"/>
      <c r="J770"/>
      <c r="K770"/>
      <c r="L770"/>
      <c r="M770"/>
      <c r="N770"/>
      <c r="O770"/>
      <c r="P770"/>
      <c r="Q770"/>
    </row>
    <row r="771" spans="1:17" ht="72" customHeight="1" x14ac:dyDescent="0.25">
      <c r="A771" s="22"/>
      <c r="B771" s="22"/>
      <c r="C771" s="22"/>
      <c r="D771" s="22"/>
      <c r="E771" s="22"/>
      <c r="F771" s="22"/>
      <c r="G771"/>
      <c r="H771"/>
      <c r="I771"/>
      <c r="J771"/>
      <c r="K771"/>
      <c r="L771"/>
      <c r="M771"/>
      <c r="N771"/>
      <c r="O771"/>
      <c r="P771"/>
      <c r="Q771"/>
    </row>
    <row r="772" spans="1:17" ht="72" customHeight="1" x14ac:dyDescent="0.25">
      <c r="A772" s="22"/>
      <c r="B772" s="22"/>
      <c r="C772" s="22"/>
      <c r="D772" s="22"/>
      <c r="E772" s="22"/>
      <c r="F772" s="22"/>
      <c r="G772"/>
      <c r="H772"/>
      <c r="I772"/>
      <c r="J772"/>
      <c r="K772"/>
      <c r="L772"/>
      <c r="M772"/>
      <c r="N772"/>
      <c r="O772"/>
      <c r="P772"/>
      <c r="Q772"/>
    </row>
    <row r="773" spans="1:17" ht="72" customHeight="1" x14ac:dyDescent="0.25">
      <c r="A773" s="22"/>
      <c r="B773" s="22"/>
      <c r="C773" s="22"/>
      <c r="D773" s="22"/>
      <c r="E773" s="22"/>
      <c r="F773" s="22"/>
      <c r="G773"/>
      <c r="H773"/>
      <c r="I773"/>
      <c r="J773"/>
      <c r="K773"/>
      <c r="L773"/>
      <c r="M773"/>
      <c r="N773"/>
      <c r="O773"/>
      <c r="P773"/>
      <c r="Q773"/>
    </row>
    <row r="774" spans="1:17" ht="72" customHeight="1" x14ac:dyDescent="0.25">
      <c r="A774" s="22"/>
      <c r="B774" s="22"/>
      <c r="C774" s="22"/>
      <c r="D774" s="22"/>
      <c r="E774" s="22"/>
      <c r="F774" s="22"/>
      <c r="G774"/>
      <c r="H774"/>
      <c r="I774"/>
      <c r="J774"/>
      <c r="K774"/>
      <c r="L774"/>
      <c r="M774"/>
      <c r="N774"/>
      <c r="O774"/>
      <c r="P774"/>
      <c r="Q774"/>
    </row>
    <row r="775" spans="1:17" ht="72" customHeight="1" x14ac:dyDescent="0.25">
      <c r="A775" s="22"/>
      <c r="B775" s="22"/>
      <c r="C775" s="22"/>
      <c r="D775" s="22"/>
      <c r="E775" s="22"/>
      <c r="F775" s="22"/>
      <c r="G775"/>
      <c r="H775"/>
      <c r="I775"/>
      <c r="J775"/>
      <c r="K775"/>
      <c r="L775"/>
      <c r="M775"/>
      <c r="N775"/>
      <c r="O775"/>
      <c r="P775"/>
      <c r="Q775"/>
    </row>
    <row r="776" spans="1:17" ht="72" customHeight="1" x14ac:dyDescent="0.25">
      <c r="A776" s="22"/>
      <c r="B776" s="22"/>
      <c r="C776" s="22"/>
      <c r="D776" s="22"/>
      <c r="E776" s="22"/>
      <c r="F776" s="22"/>
      <c r="G776"/>
      <c r="H776"/>
      <c r="I776"/>
      <c r="J776"/>
      <c r="K776"/>
      <c r="L776"/>
      <c r="M776"/>
      <c r="N776"/>
      <c r="O776"/>
      <c r="P776"/>
      <c r="Q776"/>
    </row>
    <row r="777" spans="1:17" ht="72" customHeight="1" x14ac:dyDescent="0.25">
      <c r="A777" s="22"/>
      <c r="B777" s="22"/>
      <c r="C777" s="22"/>
      <c r="D777" s="22"/>
      <c r="E777" s="22"/>
      <c r="F777" s="22"/>
      <c r="G777"/>
      <c r="H777"/>
      <c r="I777"/>
      <c r="J777"/>
      <c r="K777"/>
      <c r="L777"/>
      <c r="M777"/>
      <c r="N777"/>
      <c r="O777"/>
      <c r="P777"/>
      <c r="Q777"/>
    </row>
    <row r="778" spans="1:17" ht="72" customHeight="1" x14ac:dyDescent="0.25">
      <c r="A778" s="22"/>
      <c r="B778" s="22"/>
      <c r="C778" s="22"/>
      <c r="D778" s="22"/>
      <c r="E778" s="22"/>
      <c r="F778" s="22"/>
      <c r="G778"/>
      <c r="H778"/>
      <c r="I778"/>
      <c r="J778"/>
      <c r="K778"/>
      <c r="L778"/>
      <c r="M778"/>
      <c r="N778"/>
      <c r="O778"/>
      <c r="P778"/>
      <c r="Q778"/>
    </row>
    <row r="779" spans="1:17" ht="72" customHeight="1" x14ac:dyDescent="0.25">
      <c r="A779" s="22"/>
      <c r="B779" s="22"/>
      <c r="C779" s="22"/>
      <c r="D779" s="22"/>
      <c r="E779" s="22"/>
      <c r="F779" s="22"/>
      <c r="G779"/>
      <c r="H779"/>
      <c r="I779"/>
      <c r="J779"/>
      <c r="K779"/>
      <c r="L779"/>
      <c r="M779"/>
      <c r="N779"/>
      <c r="O779"/>
      <c r="P779"/>
      <c r="Q779"/>
    </row>
    <row r="780" spans="1:17" ht="72" customHeight="1" x14ac:dyDescent="0.25">
      <c r="A780" s="22"/>
      <c r="B780" s="22"/>
      <c r="C780" s="22"/>
      <c r="D780" s="22"/>
      <c r="E780" s="22"/>
      <c r="F780" s="22"/>
      <c r="G780"/>
      <c r="H780"/>
      <c r="I780"/>
      <c r="J780"/>
      <c r="K780"/>
      <c r="L780"/>
      <c r="M780"/>
      <c r="N780"/>
      <c r="O780"/>
      <c r="P780"/>
      <c r="Q780"/>
    </row>
    <row r="781" spans="1:17" ht="72" customHeight="1" x14ac:dyDescent="0.25">
      <c r="A781" s="22"/>
      <c r="B781" s="22"/>
      <c r="C781" s="22"/>
      <c r="D781" s="22"/>
      <c r="E781" s="22"/>
      <c r="F781" s="22"/>
      <c r="G781"/>
      <c r="H781"/>
      <c r="I781"/>
      <c r="J781"/>
      <c r="K781"/>
      <c r="L781"/>
      <c r="M781"/>
      <c r="N781"/>
      <c r="O781"/>
      <c r="P781"/>
      <c r="Q781"/>
    </row>
    <row r="782" spans="1:17" ht="72" customHeight="1" x14ac:dyDescent="0.25">
      <c r="A782" s="22"/>
      <c r="B782" s="22"/>
      <c r="C782" s="22"/>
      <c r="D782" s="22"/>
      <c r="E782" s="22"/>
      <c r="F782" s="22"/>
      <c r="G782"/>
      <c r="H782"/>
      <c r="I782"/>
      <c r="J782"/>
      <c r="K782"/>
      <c r="L782"/>
      <c r="M782"/>
      <c r="N782"/>
      <c r="O782"/>
      <c r="P782"/>
      <c r="Q782"/>
    </row>
    <row r="783" spans="1:17" ht="72" customHeight="1" x14ac:dyDescent="0.25">
      <c r="A783" s="22"/>
      <c r="B783" s="22"/>
      <c r="C783" s="22"/>
      <c r="D783" s="22"/>
      <c r="E783" s="22"/>
      <c r="F783" s="22"/>
      <c r="G783"/>
      <c r="H783"/>
      <c r="I783"/>
      <c r="J783"/>
      <c r="K783"/>
      <c r="L783"/>
      <c r="M783"/>
      <c r="N783"/>
      <c r="O783"/>
      <c r="P783"/>
      <c r="Q783"/>
    </row>
    <row r="784" spans="1:17" ht="72" customHeight="1" x14ac:dyDescent="0.25">
      <c r="A784" s="22"/>
      <c r="B784" s="22"/>
      <c r="C784" s="22"/>
      <c r="D784" s="22"/>
      <c r="E784" s="22"/>
      <c r="F784" s="22"/>
      <c r="G784"/>
      <c r="H784"/>
      <c r="I784"/>
      <c r="J784"/>
      <c r="K784"/>
      <c r="L784"/>
      <c r="M784"/>
      <c r="N784"/>
      <c r="O784"/>
      <c r="P784"/>
      <c r="Q784"/>
    </row>
    <row r="785" spans="1:17" ht="72" customHeight="1" x14ac:dyDescent="0.25">
      <c r="A785" s="22"/>
      <c r="B785" s="22"/>
      <c r="C785" s="22"/>
      <c r="D785" s="22"/>
      <c r="E785" s="22"/>
      <c r="F785" s="22"/>
      <c r="G785"/>
      <c r="H785"/>
      <c r="I785"/>
      <c r="J785"/>
      <c r="K785"/>
      <c r="L785"/>
      <c r="M785"/>
      <c r="N785"/>
      <c r="O785"/>
      <c r="P785"/>
      <c r="Q785"/>
    </row>
    <row r="786" spans="1:17" ht="72" customHeight="1" x14ac:dyDescent="0.25">
      <c r="A786" s="22"/>
      <c r="B786" s="22"/>
      <c r="C786" s="22"/>
      <c r="D786" s="22"/>
      <c r="E786" s="22"/>
      <c r="F786" s="22"/>
      <c r="G786"/>
      <c r="H786"/>
      <c r="I786"/>
      <c r="J786"/>
      <c r="K786"/>
      <c r="L786"/>
      <c r="M786"/>
      <c r="N786"/>
      <c r="O786"/>
      <c r="P786"/>
      <c r="Q786"/>
    </row>
    <row r="787" spans="1:17" ht="72" customHeight="1" x14ac:dyDescent="0.25">
      <c r="A787" s="22"/>
      <c r="B787" s="22"/>
      <c r="C787" s="22"/>
      <c r="D787" s="22"/>
      <c r="E787" s="22"/>
      <c r="F787" s="22"/>
      <c r="G787"/>
      <c r="H787"/>
      <c r="I787"/>
      <c r="J787"/>
      <c r="K787"/>
      <c r="L787"/>
      <c r="M787"/>
      <c r="N787"/>
      <c r="O787"/>
      <c r="P787"/>
      <c r="Q787"/>
    </row>
    <row r="788" spans="1:17" ht="72" customHeight="1" x14ac:dyDescent="0.25">
      <c r="A788" s="22"/>
      <c r="B788" s="22"/>
      <c r="C788" s="22"/>
      <c r="D788" s="22"/>
      <c r="E788" s="22"/>
      <c r="F788" s="22"/>
      <c r="G788"/>
      <c r="H788"/>
      <c r="I788"/>
      <c r="J788"/>
      <c r="K788"/>
      <c r="L788"/>
      <c r="M788"/>
      <c r="N788"/>
      <c r="O788"/>
      <c r="P788"/>
      <c r="Q788"/>
    </row>
    <row r="789" spans="1:17" ht="72" customHeight="1" x14ac:dyDescent="0.25">
      <c r="A789" s="22"/>
      <c r="B789" s="22"/>
      <c r="C789" s="22"/>
      <c r="D789" s="22"/>
      <c r="E789" s="22"/>
      <c r="F789" s="22"/>
      <c r="G789"/>
      <c r="H789"/>
      <c r="I789"/>
      <c r="J789"/>
      <c r="K789"/>
      <c r="L789"/>
      <c r="M789"/>
      <c r="N789"/>
      <c r="O789"/>
      <c r="P789"/>
      <c r="Q789"/>
    </row>
    <row r="790" spans="1:17" ht="72" customHeight="1" x14ac:dyDescent="0.25">
      <c r="A790" s="22"/>
      <c r="B790" s="22"/>
      <c r="C790" s="22"/>
      <c r="D790" s="22"/>
      <c r="E790" s="22"/>
      <c r="F790" s="22"/>
      <c r="G790"/>
      <c r="H790"/>
      <c r="I790"/>
      <c r="J790"/>
      <c r="K790"/>
      <c r="L790"/>
      <c r="M790"/>
      <c r="N790"/>
      <c r="O790"/>
      <c r="P790"/>
      <c r="Q790"/>
    </row>
    <row r="791" spans="1:17" ht="72" customHeight="1" x14ac:dyDescent="0.25">
      <c r="A791" s="22"/>
      <c r="B791" s="22"/>
      <c r="C791" s="22"/>
      <c r="D791" s="22"/>
      <c r="E791" s="22"/>
      <c r="F791" s="22"/>
      <c r="G791"/>
      <c r="H791"/>
      <c r="I791"/>
      <c r="J791"/>
      <c r="K791"/>
      <c r="L791"/>
      <c r="M791"/>
      <c r="N791"/>
      <c r="O791"/>
      <c r="P791"/>
      <c r="Q791"/>
    </row>
    <row r="792" spans="1:17" ht="72" customHeight="1" x14ac:dyDescent="0.25">
      <c r="A792" s="22"/>
      <c r="B792" s="22"/>
      <c r="C792" s="22"/>
      <c r="D792" s="22"/>
      <c r="E792" s="22"/>
      <c r="F792" s="22"/>
      <c r="G792"/>
      <c r="H792"/>
      <c r="I792"/>
      <c r="J792"/>
      <c r="K792"/>
      <c r="L792"/>
      <c r="M792"/>
      <c r="N792"/>
      <c r="O792"/>
      <c r="P792"/>
      <c r="Q792"/>
    </row>
    <row r="793" spans="1:17" ht="72" customHeight="1" x14ac:dyDescent="0.25">
      <c r="A793" s="22"/>
      <c r="B793" s="22"/>
      <c r="C793" s="22"/>
      <c r="D793" s="22"/>
      <c r="E793" s="22"/>
      <c r="F793" s="22"/>
      <c r="G793"/>
      <c r="H793"/>
      <c r="I793"/>
      <c r="J793"/>
      <c r="K793"/>
      <c r="L793"/>
      <c r="M793"/>
      <c r="N793"/>
      <c r="O793"/>
      <c r="P793"/>
      <c r="Q793"/>
    </row>
    <row r="794" spans="1:17" ht="72" customHeight="1" x14ac:dyDescent="0.25">
      <c r="A794" s="22"/>
      <c r="B794" s="22"/>
      <c r="C794" s="22"/>
      <c r="D794" s="22"/>
      <c r="E794" s="22"/>
      <c r="F794" s="22"/>
      <c r="G794"/>
      <c r="H794"/>
      <c r="I794"/>
      <c r="J794"/>
      <c r="K794"/>
      <c r="L794"/>
      <c r="M794"/>
      <c r="N794"/>
      <c r="O794"/>
      <c r="P794"/>
      <c r="Q794"/>
    </row>
    <row r="795" spans="1:17" ht="72" customHeight="1" x14ac:dyDescent="0.25">
      <c r="A795" s="22"/>
      <c r="B795" s="22"/>
      <c r="C795" s="22"/>
      <c r="D795" s="22"/>
      <c r="E795" s="22"/>
      <c r="F795" s="22"/>
      <c r="G795"/>
      <c r="H795"/>
      <c r="I795"/>
      <c r="J795"/>
      <c r="K795"/>
      <c r="L795"/>
      <c r="M795"/>
      <c r="N795"/>
      <c r="O795"/>
      <c r="P795"/>
      <c r="Q795"/>
    </row>
    <row r="796" spans="1:17" ht="72" customHeight="1" x14ac:dyDescent="0.25">
      <c r="A796" s="22"/>
      <c r="B796" s="22"/>
      <c r="C796" s="22"/>
      <c r="D796" s="22"/>
      <c r="E796" s="22"/>
      <c r="F796" s="22"/>
      <c r="G796"/>
      <c r="H796"/>
      <c r="I796"/>
      <c r="J796"/>
      <c r="K796"/>
      <c r="L796"/>
      <c r="M796"/>
      <c r="N796"/>
      <c r="O796"/>
      <c r="P796"/>
      <c r="Q796"/>
    </row>
    <row r="797" spans="1:17" ht="72" customHeight="1" x14ac:dyDescent="0.25">
      <c r="A797" s="22"/>
      <c r="B797" s="22"/>
      <c r="C797" s="22"/>
      <c r="D797" s="22"/>
      <c r="E797" s="22"/>
      <c r="F797" s="22"/>
      <c r="G797"/>
      <c r="H797"/>
      <c r="I797"/>
      <c r="J797"/>
      <c r="K797"/>
      <c r="L797"/>
      <c r="M797"/>
      <c r="N797"/>
      <c r="O797"/>
      <c r="P797"/>
      <c r="Q797"/>
    </row>
    <row r="798" spans="1:17" ht="72" customHeight="1" x14ac:dyDescent="0.25">
      <c r="A798" s="22"/>
      <c r="B798" s="22"/>
      <c r="C798" s="22"/>
      <c r="D798" s="22"/>
      <c r="E798" s="22"/>
      <c r="F798" s="22"/>
      <c r="G798"/>
      <c r="H798"/>
      <c r="I798"/>
      <c r="J798"/>
      <c r="K798"/>
      <c r="L798"/>
      <c r="M798"/>
      <c r="N798"/>
      <c r="O798"/>
      <c r="P798"/>
      <c r="Q798"/>
    </row>
    <row r="799" spans="1:17" ht="72" customHeight="1" x14ac:dyDescent="0.25">
      <c r="A799" s="22"/>
      <c r="B799" s="22"/>
      <c r="C799" s="22"/>
      <c r="D799" s="22"/>
      <c r="E799" s="22"/>
      <c r="F799" s="22"/>
      <c r="G799"/>
      <c r="H799"/>
      <c r="I799"/>
      <c r="J799"/>
      <c r="K799"/>
      <c r="L799"/>
      <c r="M799"/>
      <c r="N799"/>
      <c r="O799"/>
      <c r="P799"/>
      <c r="Q799"/>
    </row>
    <row r="800" spans="1:17" ht="72" customHeight="1" x14ac:dyDescent="0.25">
      <c r="A800" s="22"/>
      <c r="B800" s="22"/>
      <c r="C800" s="22"/>
      <c r="D800" s="22"/>
      <c r="E800" s="22"/>
      <c r="F800" s="22"/>
      <c r="G800"/>
      <c r="H800"/>
      <c r="I800"/>
      <c r="J800"/>
      <c r="K800"/>
      <c r="L800"/>
      <c r="M800"/>
      <c r="N800"/>
      <c r="O800"/>
      <c r="P800"/>
      <c r="Q800"/>
    </row>
    <row r="801" spans="1:17" ht="72" customHeight="1" x14ac:dyDescent="0.25">
      <c r="A801" s="22"/>
      <c r="B801" s="22"/>
      <c r="C801" s="22"/>
      <c r="D801" s="22"/>
      <c r="E801" s="22"/>
      <c r="F801" s="22"/>
      <c r="G801"/>
      <c r="H801"/>
      <c r="I801"/>
      <c r="J801"/>
      <c r="K801"/>
      <c r="L801"/>
      <c r="M801"/>
      <c r="N801"/>
      <c r="O801"/>
      <c r="P801"/>
      <c r="Q801"/>
    </row>
    <row r="802" spans="1:17" ht="72" customHeight="1" x14ac:dyDescent="0.25">
      <c r="A802" s="22"/>
      <c r="B802" s="22"/>
      <c r="C802" s="22"/>
      <c r="D802" s="22"/>
      <c r="E802" s="22"/>
      <c r="F802" s="22"/>
      <c r="G802"/>
      <c r="H802"/>
      <c r="I802"/>
      <c r="J802"/>
      <c r="K802"/>
      <c r="L802"/>
      <c r="M802"/>
      <c r="N802"/>
      <c r="O802"/>
      <c r="P802"/>
      <c r="Q802"/>
    </row>
    <row r="803" spans="1:17" ht="72" customHeight="1" x14ac:dyDescent="0.25">
      <c r="A803" s="22"/>
      <c r="B803" s="22"/>
      <c r="C803" s="22"/>
      <c r="D803" s="22"/>
      <c r="E803" s="22"/>
      <c r="F803" s="22"/>
      <c r="G803"/>
      <c r="H803"/>
      <c r="I803"/>
      <c r="J803"/>
      <c r="K803"/>
      <c r="L803"/>
      <c r="M803"/>
      <c r="N803"/>
      <c r="O803"/>
      <c r="P803"/>
      <c r="Q803"/>
    </row>
    <row r="804" spans="1:17" ht="72" customHeight="1" x14ac:dyDescent="0.25">
      <c r="A804" s="22"/>
      <c r="B804" s="22"/>
      <c r="C804" s="22"/>
      <c r="D804" s="22"/>
      <c r="E804" s="22"/>
      <c r="F804" s="22"/>
      <c r="G804"/>
      <c r="H804"/>
      <c r="I804"/>
      <c r="J804"/>
      <c r="K804"/>
      <c r="L804"/>
      <c r="M804"/>
      <c r="N804"/>
      <c r="O804"/>
      <c r="P804"/>
      <c r="Q804"/>
    </row>
    <row r="805" spans="1:17" ht="72" customHeight="1" x14ac:dyDescent="0.25">
      <c r="A805" s="22"/>
      <c r="B805" s="22"/>
      <c r="C805" s="22"/>
      <c r="D805" s="22"/>
      <c r="E805" s="22"/>
      <c r="F805" s="22"/>
      <c r="G805"/>
      <c r="H805"/>
      <c r="I805"/>
      <c r="J805"/>
      <c r="K805"/>
      <c r="L805"/>
      <c r="M805"/>
      <c r="N805"/>
      <c r="O805"/>
      <c r="P805"/>
      <c r="Q805"/>
    </row>
    <row r="806" spans="1:17" ht="72" customHeight="1" x14ac:dyDescent="0.25">
      <c r="A806" s="22"/>
      <c r="B806" s="22"/>
      <c r="C806" s="22"/>
      <c r="D806" s="22"/>
      <c r="E806" s="22"/>
      <c r="F806" s="22"/>
      <c r="G806"/>
      <c r="H806"/>
      <c r="I806"/>
      <c r="J806"/>
      <c r="K806"/>
      <c r="L806"/>
      <c r="M806"/>
      <c r="N806"/>
      <c r="O806"/>
      <c r="P806"/>
      <c r="Q806"/>
    </row>
    <row r="807" spans="1:17" ht="72" customHeight="1" x14ac:dyDescent="0.25">
      <c r="A807" s="22"/>
      <c r="B807" s="22"/>
      <c r="C807" s="22"/>
      <c r="D807" s="22"/>
      <c r="E807" s="22"/>
      <c r="F807" s="22"/>
      <c r="G807"/>
      <c r="H807"/>
      <c r="I807"/>
      <c r="J807"/>
      <c r="K807"/>
      <c r="L807"/>
      <c r="M807"/>
      <c r="N807"/>
      <c r="O807"/>
      <c r="P807"/>
      <c r="Q807"/>
    </row>
    <row r="808" spans="1:17" ht="72" customHeight="1" x14ac:dyDescent="0.25">
      <c r="A808" s="22"/>
      <c r="B808" s="22"/>
      <c r="C808" s="22"/>
      <c r="D808" s="22"/>
      <c r="E808" s="22"/>
      <c r="F808" s="22"/>
      <c r="G808"/>
      <c r="H808"/>
      <c r="I808"/>
      <c r="J808"/>
      <c r="K808"/>
      <c r="L808"/>
      <c r="M808"/>
      <c r="N808"/>
      <c r="O808"/>
      <c r="P808"/>
      <c r="Q808"/>
    </row>
    <row r="809" spans="1:17" ht="72" customHeight="1" x14ac:dyDescent="0.25">
      <c r="A809" s="22"/>
      <c r="B809" s="22"/>
      <c r="C809" s="22"/>
      <c r="D809" s="22"/>
      <c r="E809" s="22"/>
      <c r="F809" s="22"/>
      <c r="G809"/>
      <c r="H809"/>
      <c r="I809"/>
      <c r="J809"/>
      <c r="K809"/>
      <c r="L809"/>
      <c r="M809"/>
      <c r="N809"/>
      <c r="O809"/>
      <c r="P809"/>
      <c r="Q809"/>
    </row>
    <row r="810" spans="1:17" ht="72" customHeight="1" x14ac:dyDescent="0.25">
      <c r="A810" s="22"/>
      <c r="B810" s="22"/>
      <c r="C810" s="22"/>
      <c r="D810" s="22"/>
      <c r="E810" s="22"/>
      <c r="F810" s="22"/>
      <c r="G810"/>
      <c r="H810"/>
      <c r="I810"/>
      <c r="J810"/>
      <c r="K810"/>
      <c r="L810"/>
      <c r="M810"/>
      <c r="N810"/>
      <c r="O810"/>
      <c r="P810"/>
      <c r="Q810"/>
    </row>
    <row r="811" spans="1:17" ht="72" customHeight="1" x14ac:dyDescent="0.25">
      <c r="A811" s="22"/>
      <c r="B811" s="22"/>
      <c r="C811" s="22"/>
      <c r="D811" s="22"/>
      <c r="E811" s="22"/>
      <c r="F811" s="22"/>
      <c r="G811"/>
      <c r="H811"/>
      <c r="I811"/>
      <c r="J811"/>
      <c r="K811"/>
      <c r="L811"/>
      <c r="M811"/>
      <c r="N811"/>
      <c r="O811"/>
      <c r="P811"/>
      <c r="Q811"/>
    </row>
    <row r="812" spans="1:17" ht="72" customHeight="1" x14ac:dyDescent="0.25">
      <c r="A812" s="22"/>
      <c r="B812" s="22"/>
      <c r="C812" s="22"/>
      <c r="D812" s="22"/>
      <c r="E812" s="22"/>
      <c r="F812" s="22"/>
      <c r="G812"/>
      <c r="H812"/>
      <c r="I812"/>
      <c r="J812"/>
      <c r="K812"/>
      <c r="L812"/>
      <c r="M812"/>
      <c r="N812"/>
      <c r="O812"/>
      <c r="P812"/>
      <c r="Q812"/>
    </row>
    <row r="813" spans="1:17" ht="72" customHeight="1" x14ac:dyDescent="0.25">
      <c r="A813" s="22"/>
      <c r="B813" s="22"/>
      <c r="C813" s="22"/>
      <c r="D813" s="22"/>
      <c r="E813" s="22"/>
      <c r="F813" s="22"/>
      <c r="G813"/>
      <c r="H813"/>
      <c r="I813"/>
      <c r="J813"/>
      <c r="K813"/>
      <c r="L813"/>
      <c r="M813"/>
      <c r="N813"/>
      <c r="O813"/>
      <c r="P813"/>
      <c r="Q813"/>
    </row>
    <row r="814" spans="1:17" ht="72" customHeight="1" x14ac:dyDescent="0.25">
      <c r="A814" s="22"/>
      <c r="B814" s="22"/>
      <c r="C814" s="22"/>
      <c r="D814" s="22"/>
      <c r="E814" s="22"/>
      <c r="F814" s="22"/>
      <c r="G814"/>
      <c r="H814"/>
      <c r="I814"/>
      <c r="J814"/>
      <c r="K814"/>
      <c r="L814"/>
      <c r="M814"/>
      <c r="N814"/>
      <c r="O814"/>
      <c r="P814"/>
      <c r="Q814"/>
    </row>
    <row r="815" spans="1:17" ht="72" customHeight="1" x14ac:dyDescent="0.25">
      <c r="A815" s="22"/>
      <c r="B815" s="22"/>
      <c r="C815" s="22"/>
      <c r="D815" s="22"/>
      <c r="E815" s="22"/>
      <c r="F815" s="22"/>
      <c r="G815"/>
      <c r="H815"/>
      <c r="I815"/>
      <c r="J815"/>
      <c r="K815"/>
      <c r="L815"/>
      <c r="M815"/>
      <c r="N815"/>
      <c r="O815"/>
      <c r="P815"/>
      <c r="Q815"/>
    </row>
    <row r="816" spans="1:17" ht="72" customHeight="1" x14ac:dyDescent="0.25">
      <c r="A816" s="22"/>
      <c r="B816" s="22"/>
      <c r="C816" s="22"/>
      <c r="D816" s="22"/>
      <c r="E816" s="22"/>
      <c r="F816" s="22"/>
      <c r="G816"/>
      <c r="H816"/>
      <c r="I816"/>
      <c r="J816"/>
      <c r="K816"/>
      <c r="L816"/>
      <c r="M816"/>
      <c r="N816"/>
      <c r="O816"/>
      <c r="P816"/>
      <c r="Q816"/>
    </row>
    <row r="817" spans="1:17" ht="72" customHeight="1" x14ac:dyDescent="0.25">
      <c r="A817" s="22"/>
      <c r="B817" s="22"/>
      <c r="C817" s="22"/>
      <c r="D817" s="22"/>
      <c r="E817" s="22"/>
      <c r="F817" s="22"/>
      <c r="G817"/>
      <c r="H817"/>
      <c r="I817"/>
      <c r="J817"/>
      <c r="K817"/>
      <c r="L817"/>
      <c r="M817"/>
      <c r="N817"/>
      <c r="O817"/>
      <c r="P817"/>
      <c r="Q817"/>
    </row>
    <row r="818" spans="1:17" ht="72" customHeight="1" x14ac:dyDescent="0.25">
      <c r="A818" s="22"/>
      <c r="B818" s="22"/>
      <c r="C818" s="22"/>
      <c r="D818" s="22"/>
      <c r="E818" s="22"/>
      <c r="F818" s="22"/>
      <c r="G818"/>
      <c r="H818"/>
      <c r="I818"/>
      <c r="J818"/>
      <c r="K818"/>
      <c r="L818"/>
      <c r="M818"/>
      <c r="N818"/>
      <c r="O818"/>
      <c r="P818"/>
      <c r="Q818"/>
    </row>
    <row r="819" spans="1:17" ht="72" customHeight="1" x14ac:dyDescent="0.25">
      <c r="A819" s="22"/>
      <c r="B819" s="22"/>
      <c r="C819" s="22"/>
      <c r="D819" s="22"/>
      <c r="E819" s="22"/>
      <c r="F819" s="22"/>
      <c r="G819"/>
      <c r="H819"/>
      <c r="I819"/>
      <c r="J819"/>
      <c r="K819"/>
      <c r="L819"/>
      <c r="M819"/>
      <c r="N819"/>
      <c r="O819"/>
      <c r="P819"/>
      <c r="Q819"/>
    </row>
    <row r="820" spans="1:17" ht="72" customHeight="1" x14ac:dyDescent="0.25">
      <c r="A820" s="22"/>
      <c r="B820" s="22"/>
      <c r="C820" s="22"/>
      <c r="D820" s="22"/>
      <c r="E820" s="22"/>
      <c r="F820" s="22"/>
      <c r="G820"/>
      <c r="H820"/>
      <c r="I820"/>
      <c r="J820"/>
      <c r="K820"/>
      <c r="L820"/>
      <c r="M820"/>
      <c r="N820"/>
      <c r="O820"/>
      <c r="P820"/>
      <c r="Q820"/>
    </row>
    <row r="821" spans="1:17" ht="72" customHeight="1" x14ac:dyDescent="0.25">
      <c r="A821" s="22"/>
      <c r="B821" s="22"/>
      <c r="C821" s="22"/>
      <c r="D821" s="22"/>
      <c r="E821" s="22"/>
      <c r="F821" s="22"/>
      <c r="G821"/>
      <c r="H821"/>
      <c r="I821"/>
      <c r="J821"/>
      <c r="K821"/>
      <c r="L821"/>
      <c r="M821"/>
      <c r="N821"/>
      <c r="O821"/>
      <c r="P821"/>
      <c r="Q821"/>
    </row>
    <row r="822" spans="1:17" ht="72" customHeight="1" x14ac:dyDescent="0.25">
      <c r="A822" s="22"/>
      <c r="B822" s="22"/>
      <c r="C822" s="22"/>
      <c r="D822" s="22"/>
      <c r="E822" s="22"/>
      <c r="F822" s="22"/>
      <c r="G822"/>
      <c r="H822"/>
      <c r="I822"/>
      <c r="J822"/>
      <c r="K822"/>
      <c r="L822"/>
      <c r="M822"/>
      <c r="N822"/>
      <c r="O822"/>
      <c r="P822"/>
      <c r="Q822"/>
    </row>
    <row r="823" spans="1:17" ht="72" customHeight="1" x14ac:dyDescent="0.25">
      <c r="A823" s="22"/>
      <c r="B823" s="22"/>
      <c r="C823" s="22"/>
      <c r="D823" s="22"/>
      <c r="E823" s="22"/>
      <c r="F823" s="22"/>
      <c r="G823"/>
      <c r="H823"/>
      <c r="I823"/>
      <c r="J823"/>
      <c r="K823"/>
      <c r="L823"/>
      <c r="M823"/>
      <c r="N823"/>
      <c r="O823"/>
      <c r="P823"/>
      <c r="Q823"/>
    </row>
    <row r="824" spans="1:17" ht="72" customHeight="1" x14ac:dyDescent="0.25">
      <c r="A824" s="22"/>
      <c r="B824" s="22"/>
      <c r="C824" s="22"/>
      <c r="D824" s="22"/>
      <c r="E824" s="22"/>
      <c r="F824" s="22"/>
      <c r="G824"/>
      <c r="H824"/>
      <c r="I824"/>
      <c r="J824"/>
      <c r="K824"/>
      <c r="L824"/>
      <c r="M824"/>
      <c r="N824"/>
      <c r="O824"/>
      <c r="P824"/>
      <c r="Q824"/>
    </row>
    <row r="825" spans="1:17" ht="72" customHeight="1" x14ac:dyDescent="0.25">
      <c r="A825" s="22"/>
      <c r="B825" s="22"/>
      <c r="C825" s="22"/>
      <c r="D825" s="22"/>
      <c r="E825" s="22"/>
      <c r="F825" s="22"/>
      <c r="G825"/>
      <c r="H825"/>
      <c r="I825"/>
      <c r="J825"/>
      <c r="K825"/>
      <c r="L825"/>
      <c r="M825"/>
      <c r="N825"/>
      <c r="O825"/>
      <c r="P825"/>
      <c r="Q825"/>
    </row>
    <row r="826" spans="1:17" ht="72" customHeight="1" x14ac:dyDescent="0.25">
      <c r="A826" s="22"/>
      <c r="B826" s="22"/>
      <c r="C826" s="22"/>
      <c r="D826" s="22"/>
      <c r="E826" s="22"/>
      <c r="F826" s="22"/>
      <c r="G826"/>
      <c r="H826"/>
      <c r="I826"/>
      <c r="J826"/>
      <c r="K826"/>
      <c r="L826"/>
      <c r="M826"/>
      <c r="N826"/>
      <c r="O826"/>
      <c r="P826"/>
      <c r="Q826"/>
    </row>
    <row r="827" spans="1:17" ht="72" customHeight="1" x14ac:dyDescent="0.25">
      <c r="A827" s="22"/>
      <c r="B827" s="22"/>
      <c r="C827" s="22"/>
      <c r="D827" s="22"/>
      <c r="E827" s="22"/>
      <c r="F827" s="22"/>
      <c r="G827"/>
      <c r="H827"/>
      <c r="I827"/>
      <c r="J827"/>
      <c r="K827"/>
      <c r="L827"/>
      <c r="M827"/>
      <c r="N827"/>
      <c r="O827"/>
      <c r="P827"/>
      <c r="Q827"/>
    </row>
    <row r="828" spans="1:17" ht="72" customHeight="1" x14ac:dyDescent="0.25">
      <c r="A828" s="22"/>
      <c r="B828" s="22"/>
      <c r="C828" s="22"/>
      <c r="D828" s="22"/>
      <c r="E828" s="22"/>
      <c r="F828" s="22"/>
      <c r="G828"/>
      <c r="H828"/>
      <c r="I828"/>
      <c r="J828"/>
      <c r="K828"/>
      <c r="L828"/>
      <c r="M828"/>
      <c r="N828"/>
      <c r="O828"/>
      <c r="P828"/>
      <c r="Q828"/>
    </row>
    <row r="829" spans="1:17" ht="72" customHeight="1" x14ac:dyDescent="0.25">
      <c r="A829" s="22"/>
      <c r="B829" s="22"/>
      <c r="C829" s="22"/>
      <c r="D829" s="22"/>
      <c r="E829" s="22"/>
      <c r="F829" s="22"/>
      <c r="G829"/>
      <c r="H829"/>
      <c r="I829"/>
      <c r="J829"/>
      <c r="K829"/>
      <c r="L829"/>
      <c r="M829"/>
      <c r="N829"/>
      <c r="O829"/>
      <c r="P829"/>
      <c r="Q829"/>
    </row>
    <row r="830" spans="1:17" ht="72" customHeight="1" x14ac:dyDescent="0.25">
      <c r="A830" s="22"/>
      <c r="B830" s="22"/>
      <c r="C830" s="22"/>
      <c r="D830" s="22"/>
      <c r="E830" s="22"/>
      <c r="F830" s="22"/>
      <c r="G830"/>
      <c r="H830"/>
      <c r="I830"/>
      <c r="J830"/>
      <c r="K830"/>
      <c r="L830"/>
      <c r="M830"/>
      <c r="N830"/>
      <c r="O830"/>
      <c r="P830"/>
      <c r="Q830"/>
    </row>
    <row r="831" spans="1:17" ht="72" customHeight="1" x14ac:dyDescent="0.25">
      <c r="A831" s="22"/>
      <c r="B831" s="22"/>
      <c r="C831" s="22"/>
      <c r="D831" s="22"/>
      <c r="E831" s="22"/>
      <c r="F831" s="22"/>
      <c r="G831"/>
      <c r="H831"/>
      <c r="I831"/>
      <c r="J831"/>
      <c r="K831"/>
      <c r="L831"/>
      <c r="M831"/>
      <c r="N831"/>
      <c r="O831"/>
      <c r="P831"/>
      <c r="Q831"/>
    </row>
    <row r="832" spans="1:17" ht="72" customHeight="1" x14ac:dyDescent="0.25">
      <c r="A832" s="22"/>
      <c r="B832" s="22"/>
      <c r="C832" s="22"/>
      <c r="D832" s="22"/>
      <c r="E832" s="22"/>
      <c r="F832" s="22"/>
      <c r="G832"/>
      <c r="H832"/>
      <c r="I832"/>
      <c r="J832"/>
      <c r="K832"/>
      <c r="L832"/>
      <c r="M832"/>
      <c r="N832"/>
      <c r="O832"/>
      <c r="P832"/>
      <c r="Q832"/>
    </row>
    <row r="833" spans="1:17" ht="72" customHeight="1" x14ac:dyDescent="0.25">
      <c r="A833" s="22"/>
      <c r="B833" s="22"/>
      <c r="C833" s="22"/>
      <c r="D833" s="22"/>
      <c r="E833" s="22"/>
      <c r="F833" s="22"/>
      <c r="G833"/>
      <c r="H833"/>
      <c r="I833"/>
      <c r="J833"/>
      <c r="K833"/>
      <c r="L833"/>
      <c r="M833"/>
      <c r="N833"/>
      <c r="O833"/>
      <c r="P833"/>
      <c r="Q833"/>
    </row>
    <row r="834" spans="1:17" ht="72" customHeight="1" x14ac:dyDescent="0.25">
      <c r="A834" s="22"/>
      <c r="B834" s="22"/>
      <c r="C834" s="22"/>
      <c r="D834" s="22"/>
      <c r="E834" s="22"/>
      <c r="F834" s="22"/>
      <c r="G834"/>
      <c r="H834"/>
      <c r="I834"/>
      <c r="J834"/>
      <c r="K834"/>
      <c r="L834"/>
      <c r="M834"/>
      <c r="N834"/>
      <c r="O834"/>
      <c r="P834"/>
      <c r="Q834"/>
    </row>
    <row r="835" spans="1:17" ht="72" customHeight="1" x14ac:dyDescent="0.25">
      <c r="A835" s="22"/>
      <c r="B835" s="22"/>
      <c r="C835" s="22"/>
      <c r="D835" s="22"/>
      <c r="E835" s="22"/>
      <c r="F835" s="22"/>
      <c r="G835"/>
      <c r="H835"/>
      <c r="I835"/>
      <c r="J835"/>
      <c r="K835"/>
      <c r="L835"/>
      <c r="M835"/>
      <c r="N835"/>
      <c r="O835"/>
      <c r="P835"/>
      <c r="Q835"/>
    </row>
    <row r="836" spans="1:17" ht="72" customHeight="1" x14ac:dyDescent="0.25">
      <c r="A836" s="22"/>
      <c r="B836" s="22"/>
      <c r="C836" s="22"/>
      <c r="D836" s="22"/>
      <c r="E836" s="22"/>
      <c r="F836" s="22"/>
      <c r="G836"/>
      <c r="H836"/>
      <c r="I836"/>
      <c r="J836"/>
      <c r="K836"/>
      <c r="L836"/>
      <c r="M836"/>
      <c r="N836"/>
      <c r="O836"/>
      <c r="P836"/>
      <c r="Q836"/>
    </row>
    <row r="837" spans="1:17" ht="72" customHeight="1" x14ac:dyDescent="0.25">
      <c r="A837" s="22"/>
      <c r="B837" s="22"/>
      <c r="C837" s="22"/>
      <c r="D837" s="22"/>
      <c r="E837" s="22"/>
      <c r="F837" s="22"/>
      <c r="G837"/>
      <c r="H837"/>
      <c r="I837"/>
      <c r="J837"/>
      <c r="K837"/>
      <c r="L837"/>
      <c r="M837"/>
      <c r="N837"/>
      <c r="O837"/>
      <c r="P837"/>
      <c r="Q837"/>
    </row>
    <row r="838" spans="1:17" ht="72" customHeight="1" x14ac:dyDescent="0.25">
      <c r="A838" s="22"/>
      <c r="B838" s="22"/>
      <c r="C838" s="22"/>
      <c r="D838" s="22"/>
      <c r="E838" s="22"/>
      <c r="F838" s="22"/>
      <c r="G838"/>
      <c r="H838"/>
      <c r="I838"/>
      <c r="J838"/>
      <c r="K838"/>
      <c r="L838"/>
      <c r="M838"/>
      <c r="N838"/>
      <c r="O838"/>
      <c r="P838"/>
      <c r="Q838"/>
    </row>
    <row r="839" spans="1:17" ht="72" customHeight="1" x14ac:dyDescent="0.25">
      <c r="A839" s="22"/>
      <c r="B839" s="22"/>
      <c r="C839" s="22"/>
      <c r="D839" s="22"/>
      <c r="E839" s="22"/>
      <c r="F839" s="22"/>
      <c r="G839"/>
      <c r="H839"/>
      <c r="I839"/>
      <c r="J839"/>
      <c r="K839"/>
      <c r="L839"/>
      <c r="M839"/>
      <c r="N839"/>
      <c r="O839"/>
      <c r="P839"/>
      <c r="Q839"/>
    </row>
    <row r="840" spans="1:17" ht="72" customHeight="1" x14ac:dyDescent="0.25">
      <c r="A840" s="22"/>
      <c r="B840" s="22"/>
      <c r="C840" s="22"/>
      <c r="D840" s="22"/>
      <c r="E840" s="22"/>
      <c r="F840" s="22"/>
      <c r="G840"/>
      <c r="H840"/>
      <c r="I840"/>
      <c r="J840"/>
      <c r="K840"/>
      <c r="L840"/>
      <c r="M840"/>
      <c r="N840"/>
      <c r="O840"/>
      <c r="P840"/>
      <c r="Q840"/>
    </row>
    <row r="841" spans="1:17" ht="72" customHeight="1" x14ac:dyDescent="0.25">
      <c r="A841" s="22"/>
      <c r="B841" s="22"/>
      <c r="C841" s="22"/>
      <c r="D841" s="22"/>
      <c r="E841" s="22"/>
      <c r="F841" s="22"/>
      <c r="G841"/>
      <c r="H841"/>
      <c r="I841"/>
      <c r="J841"/>
      <c r="K841"/>
      <c r="L841"/>
      <c r="M841"/>
      <c r="N841"/>
      <c r="O841"/>
      <c r="P841"/>
      <c r="Q841"/>
    </row>
    <row r="842" spans="1:17" ht="72" customHeight="1" x14ac:dyDescent="0.25">
      <c r="A842" s="22"/>
      <c r="B842" s="22"/>
      <c r="C842" s="22"/>
      <c r="D842" s="22"/>
      <c r="E842" s="22"/>
      <c r="F842" s="22"/>
      <c r="G842"/>
      <c r="H842"/>
      <c r="I842"/>
      <c r="J842"/>
      <c r="K842"/>
      <c r="L842"/>
      <c r="M842"/>
      <c r="N842"/>
      <c r="O842"/>
      <c r="P842"/>
      <c r="Q842"/>
    </row>
    <row r="843" spans="1:17" ht="72" customHeight="1" x14ac:dyDescent="0.25">
      <c r="A843" s="22"/>
      <c r="B843" s="22"/>
      <c r="C843" s="22"/>
      <c r="D843" s="22"/>
      <c r="E843" s="22"/>
      <c r="F843" s="22"/>
      <c r="G843"/>
      <c r="H843"/>
      <c r="I843"/>
      <c r="J843"/>
      <c r="K843"/>
      <c r="L843"/>
      <c r="M843"/>
      <c r="N843"/>
      <c r="O843"/>
      <c r="P843"/>
      <c r="Q843"/>
    </row>
    <row r="844" spans="1:17" ht="72" customHeight="1" x14ac:dyDescent="0.25">
      <c r="A844" s="22"/>
      <c r="B844" s="22"/>
      <c r="C844" s="22"/>
      <c r="D844" s="22"/>
      <c r="E844" s="22"/>
      <c r="F844" s="22"/>
      <c r="G844"/>
      <c r="H844"/>
      <c r="I844"/>
      <c r="J844"/>
      <c r="K844"/>
      <c r="L844"/>
      <c r="M844"/>
      <c r="N844"/>
      <c r="O844"/>
      <c r="P844"/>
      <c r="Q844"/>
    </row>
    <row r="845" spans="1:17" ht="72" customHeight="1" x14ac:dyDescent="0.25">
      <c r="A845" s="22"/>
      <c r="B845" s="22"/>
      <c r="C845" s="22"/>
      <c r="D845" s="22"/>
      <c r="E845" s="22"/>
      <c r="F845" s="22"/>
      <c r="G845"/>
      <c r="H845"/>
      <c r="I845"/>
      <c r="J845"/>
      <c r="K845"/>
      <c r="L845"/>
      <c r="M845"/>
      <c r="N845"/>
      <c r="O845"/>
      <c r="P845"/>
      <c r="Q845"/>
    </row>
    <row r="846" spans="1:17" ht="72" customHeight="1" x14ac:dyDescent="0.25">
      <c r="A846" s="22"/>
      <c r="B846" s="22"/>
      <c r="C846" s="22"/>
      <c r="D846" s="22"/>
      <c r="E846" s="22"/>
      <c r="F846" s="22"/>
      <c r="G846"/>
      <c r="H846"/>
      <c r="I846"/>
      <c r="J846"/>
      <c r="K846"/>
      <c r="L846"/>
      <c r="M846"/>
      <c r="N846"/>
      <c r="O846"/>
      <c r="P846"/>
      <c r="Q846"/>
    </row>
    <row r="847" spans="1:17" ht="72" customHeight="1" x14ac:dyDescent="0.25">
      <c r="A847" s="22"/>
      <c r="B847" s="22"/>
      <c r="C847" s="22"/>
      <c r="D847" s="22"/>
      <c r="E847" s="22"/>
      <c r="F847" s="22"/>
      <c r="G847"/>
      <c r="H847"/>
      <c r="I847"/>
      <c r="J847"/>
      <c r="K847"/>
      <c r="L847"/>
      <c r="M847"/>
      <c r="N847"/>
      <c r="O847"/>
      <c r="P847"/>
      <c r="Q847"/>
    </row>
    <row r="848" spans="1:17" ht="72" customHeight="1" x14ac:dyDescent="0.25">
      <c r="A848" s="22"/>
      <c r="B848" s="22"/>
      <c r="C848" s="22"/>
      <c r="D848" s="22"/>
      <c r="E848" s="22"/>
      <c r="F848" s="22"/>
      <c r="G848"/>
      <c r="H848"/>
      <c r="I848"/>
      <c r="J848"/>
      <c r="K848"/>
      <c r="L848"/>
      <c r="M848"/>
      <c r="N848"/>
      <c r="O848"/>
      <c r="P848"/>
      <c r="Q848"/>
    </row>
    <row r="849" spans="1:17" ht="72" customHeight="1" x14ac:dyDescent="0.25">
      <c r="A849" s="22"/>
      <c r="B849" s="22"/>
      <c r="C849" s="22"/>
      <c r="D849" s="22"/>
      <c r="E849" s="22"/>
      <c r="F849" s="22"/>
      <c r="G849"/>
      <c r="H849"/>
      <c r="I849"/>
      <c r="J849"/>
      <c r="K849"/>
      <c r="L849"/>
      <c r="M849"/>
      <c r="N849"/>
      <c r="O849"/>
      <c r="P849"/>
      <c r="Q849"/>
    </row>
    <row r="850" spans="1:17" ht="72" customHeight="1" x14ac:dyDescent="0.25">
      <c r="A850" s="22"/>
      <c r="B850" s="22"/>
      <c r="C850" s="22"/>
      <c r="D850" s="22"/>
      <c r="E850" s="22"/>
      <c r="F850" s="22"/>
      <c r="G850"/>
      <c r="H850"/>
      <c r="I850"/>
      <c r="J850"/>
      <c r="K850"/>
      <c r="L850"/>
      <c r="M850"/>
      <c r="N850"/>
      <c r="O850"/>
      <c r="P850"/>
      <c r="Q850"/>
    </row>
    <row r="851" spans="1:17" ht="72" customHeight="1" x14ac:dyDescent="0.25">
      <c r="A851" s="22"/>
      <c r="B851" s="22"/>
      <c r="C851" s="22"/>
      <c r="D851" s="22"/>
      <c r="E851" s="22"/>
      <c r="F851" s="22"/>
      <c r="G851"/>
      <c r="H851"/>
      <c r="I851"/>
      <c r="J851"/>
      <c r="K851"/>
      <c r="L851"/>
      <c r="M851"/>
      <c r="N851"/>
      <c r="O851"/>
      <c r="P851"/>
      <c r="Q851"/>
    </row>
    <row r="852" spans="1:17" ht="72" customHeight="1" x14ac:dyDescent="0.25">
      <c r="A852" s="22"/>
      <c r="B852" s="22"/>
      <c r="C852" s="22"/>
      <c r="D852" s="22"/>
      <c r="E852" s="22"/>
      <c r="F852" s="22"/>
      <c r="G852"/>
      <c r="H852"/>
      <c r="I852"/>
      <c r="J852"/>
      <c r="K852"/>
      <c r="L852"/>
      <c r="M852"/>
      <c r="N852"/>
      <c r="O852"/>
      <c r="P852"/>
      <c r="Q852"/>
    </row>
    <row r="853" spans="1:17" ht="72" customHeight="1" x14ac:dyDescent="0.25">
      <c r="A853" s="22"/>
      <c r="B853" s="22"/>
      <c r="C853" s="22"/>
      <c r="D853" s="22"/>
      <c r="E853" s="22"/>
      <c r="F853" s="22"/>
      <c r="G853"/>
      <c r="H853"/>
      <c r="I853"/>
      <c r="J853"/>
      <c r="K853"/>
      <c r="L853"/>
      <c r="M853"/>
      <c r="N853"/>
      <c r="O853"/>
      <c r="P853"/>
      <c r="Q853"/>
    </row>
    <row r="854" spans="1:17" ht="72" customHeight="1" x14ac:dyDescent="0.25">
      <c r="A854" s="22"/>
      <c r="B854" s="22"/>
      <c r="C854" s="22"/>
      <c r="D854" s="22"/>
      <c r="E854" s="22"/>
      <c r="F854" s="22"/>
      <c r="G854"/>
      <c r="H854"/>
      <c r="I854"/>
      <c r="J854"/>
      <c r="K854"/>
      <c r="L854"/>
      <c r="M854"/>
      <c r="N854"/>
      <c r="O854"/>
      <c r="P854"/>
      <c r="Q854"/>
    </row>
    <row r="855" spans="1:17" ht="72" customHeight="1" x14ac:dyDescent="0.25">
      <c r="A855" s="22"/>
      <c r="B855" s="22"/>
      <c r="C855" s="22"/>
      <c r="D855" s="22"/>
      <c r="E855" s="22"/>
      <c r="F855" s="22"/>
      <c r="G855"/>
      <c r="H855"/>
      <c r="I855"/>
      <c r="J855"/>
      <c r="K855"/>
      <c r="L855"/>
      <c r="M855"/>
      <c r="N855"/>
      <c r="O855"/>
      <c r="P855"/>
      <c r="Q855"/>
    </row>
    <row r="856" spans="1:17" ht="72" customHeight="1" x14ac:dyDescent="0.25">
      <c r="A856" s="22"/>
      <c r="B856" s="22"/>
      <c r="C856" s="22"/>
      <c r="D856" s="22"/>
      <c r="E856" s="22"/>
      <c r="F856" s="22"/>
      <c r="G856"/>
      <c r="H856"/>
      <c r="I856"/>
      <c r="J856"/>
      <c r="K856"/>
      <c r="L856"/>
      <c r="M856"/>
      <c r="N856"/>
      <c r="O856"/>
      <c r="P856"/>
      <c r="Q856"/>
    </row>
    <row r="857" spans="1:17" ht="72" customHeight="1" x14ac:dyDescent="0.25">
      <c r="A857" s="22"/>
      <c r="B857" s="22"/>
      <c r="C857" s="22"/>
      <c r="D857" s="22"/>
      <c r="E857" s="22"/>
      <c r="F857" s="22"/>
      <c r="G857"/>
      <c r="H857"/>
      <c r="I857"/>
      <c r="J857"/>
      <c r="K857"/>
      <c r="L857"/>
      <c r="M857"/>
      <c r="N857"/>
      <c r="O857"/>
      <c r="P857"/>
      <c r="Q857"/>
    </row>
    <row r="858" spans="1:17" ht="72" customHeight="1" x14ac:dyDescent="0.25">
      <c r="A858" s="22"/>
      <c r="B858" s="22"/>
      <c r="C858" s="22"/>
      <c r="D858" s="22"/>
      <c r="E858" s="22"/>
      <c r="F858" s="22"/>
      <c r="G858"/>
      <c r="H858"/>
      <c r="I858"/>
      <c r="J858"/>
      <c r="K858"/>
      <c r="L858"/>
      <c r="M858"/>
      <c r="N858"/>
      <c r="O858"/>
      <c r="P858"/>
      <c r="Q858"/>
    </row>
    <row r="859" spans="1:17" ht="72" customHeight="1" x14ac:dyDescent="0.25">
      <c r="A859" s="22"/>
      <c r="B859" s="22"/>
      <c r="C859" s="22"/>
      <c r="D859" s="22"/>
      <c r="E859" s="22"/>
      <c r="F859" s="22"/>
      <c r="G859"/>
      <c r="H859"/>
      <c r="I859"/>
      <c r="J859"/>
      <c r="K859"/>
      <c r="L859"/>
      <c r="M859"/>
      <c r="N859"/>
      <c r="O859"/>
      <c r="P859"/>
      <c r="Q859"/>
    </row>
    <row r="860" spans="1:17" ht="72" customHeight="1" x14ac:dyDescent="0.25">
      <c r="A860" s="22"/>
      <c r="B860" s="22"/>
      <c r="C860" s="22"/>
      <c r="D860" s="22"/>
      <c r="E860" s="22"/>
      <c r="F860" s="22"/>
      <c r="G860"/>
      <c r="H860"/>
      <c r="I860"/>
      <c r="J860"/>
      <c r="K860"/>
      <c r="L860"/>
      <c r="M860"/>
      <c r="N860"/>
      <c r="O860"/>
      <c r="P860"/>
      <c r="Q860"/>
    </row>
    <row r="861" spans="1:17" ht="72" customHeight="1" x14ac:dyDescent="0.25">
      <c r="A861" s="22"/>
      <c r="B861" s="22"/>
      <c r="C861" s="22"/>
      <c r="D861" s="22"/>
      <c r="E861" s="22"/>
      <c r="F861" s="22"/>
      <c r="G861"/>
      <c r="H861"/>
      <c r="I861"/>
      <c r="J861"/>
      <c r="K861"/>
      <c r="L861"/>
      <c r="M861"/>
      <c r="N861"/>
      <c r="O861"/>
      <c r="P861"/>
      <c r="Q861"/>
    </row>
    <row r="862" spans="1:17" ht="72" customHeight="1" x14ac:dyDescent="0.25">
      <c r="A862" s="22"/>
      <c r="B862" s="22"/>
      <c r="C862" s="22"/>
      <c r="D862" s="22"/>
      <c r="E862" s="22"/>
      <c r="F862" s="22"/>
      <c r="G862"/>
      <c r="H862"/>
      <c r="I862"/>
      <c r="J862"/>
      <c r="K862"/>
      <c r="L862"/>
      <c r="M862"/>
      <c r="N862"/>
      <c r="O862"/>
      <c r="P862"/>
      <c r="Q862"/>
    </row>
    <row r="863" spans="1:17" ht="72" customHeight="1" x14ac:dyDescent="0.25">
      <c r="A863" s="22"/>
      <c r="B863" s="22"/>
      <c r="C863" s="22"/>
      <c r="D863" s="22"/>
      <c r="E863" s="22"/>
      <c r="F863" s="22"/>
      <c r="G863"/>
      <c r="H863"/>
      <c r="I863"/>
      <c r="J863"/>
      <c r="K863"/>
      <c r="L863"/>
      <c r="M863"/>
      <c r="N863"/>
      <c r="O863"/>
      <c r="P863"/>
      <c r="Q863"/>
    </row>
    <row r="864" spans="1:17" ht="72" customHeight="1" x14ac:dyDescent="0.25">
      <c r="A864" s="22"/>
      <c r="B864" s="22"/>
      <c r="C864" s="22"/>
      <c r="D864" s="22"/>
      <c r="E864" s="22"/>
      <c r="F864" s="22"/>
      <c r="G864"/>
      <c r="H864"/>
      <c r="I864"/>
      <c r="J864"/>
      <c r="K864"/>
      <c r="L864"/>
      <c r="M864"/>
      <c r="N864"/>
      <c r="O864"/>
      <c r="P864"/>
      <c r="Q864"/>
    </row>
    <row r="865" spans="1:17" ht="72" customHeight="1" x14ac:dyDescent="0.25">
      <c r="A865" s="22"/>
      <c r="B865" s="22"/>
      <c r="C865" s="22"/>
      <c r="D865" s="22"/>
      <c r="E865" s="22"/>
      <c r="F865" s="22"/>
      <c r="G865"/>
      <c r="H865"/>
      <c r="I865"/>
      <c r="J865"/>
      <c r="K865"/>
      <c r="L865"/>
      <c r="M865"/>
      <c r="N865"/>
      <c r="O865"/>
      <c r="P865"/>
      <c r="Q865"/>
    </row>
    <row r="866" spans="1:17" ht="72" customHeight="1" x14ac:dyDescent="0.25">
      <c r="A866" s="22"/>
      <c r="B866" s="22"/>
      <c r="C866" s="22"/>
      <c r="D866" s="22"/>
      <c r="E866" s="22"/>
      <c r="F866" s="22"/>
      <c r="G866"/>
      <c r="H866"/>
      <c r="I866"/>
      <c r="J866"/>
      <c r="K866"/>
      <c r="L866"/>
      <c r="M866"/>
      <c r="N866"/>
      <c r="O866"/>
      <c r="P866"/>
      <c r="Q866"/>
    </row>
    <row r="867" spans="1:17" ht="72" customHeight="1" x14ac:dyDescent="0.25">
      <c r="A867" s="22"/>
      <c r="B867" s="22"/>
      <c r="C867" s="22"/>
      <c r="D867" s="22"/>
      <c r="E867" s="22"/>
      <c r="F867" s="22"/>
      <c r="G867"/>
      <c r="H867"/>
      <c r="I867"/>
      <c r="J867"/>
      <c r="K867"/>
      <c r="L867"/>
      <c r="M867"/>
      <c r="N867"/>
      <c r="O867"/>
      <c r="P867"/>
      <c r="Q867"/>
    </row>
    <row r="868" spans="1:17" ht="72" customHeight="1" x14ac:dyDescent="0.25">
      <c r="A868" s="22"/>
      <c r="B868" s="22"/>
      <c r="C868" s="22"/>
      <c r="D868" s="22"/>
      <c r="E868" s="22"/>
      <c r="F868" s="22"/>
      <c r="G868"/>
      <c r="H868"/>
      <c r="I868"/>
      <c r="J868"/>
      <c r="K868"/>
      <c r="L868"/>
      <c r="M868"/>
      <c r="N868"/>
      <c r="O868"/>
      <c r="P868"/>
      <c r="Q868"/>
    </row>
    <row r="869" spans="1:17" ht="72" customHeight="1" x14ac:dyDescent="0.25">
      <c r="A869" s="22"/>
      <c r="B869" s="22"/>
      <c r="C869" s="22"/>
      <c r="D869" s="22"/>
      <c r="E869" s="22"/>
      <c r="F869" s="22"/>
      <c r="G869"/>
      <c r="H869"/>
      <c r="I869"/>
      <c r="J869"/>
      <c r="K869"/>
      <c r="L869"/>
      <c r="M869"/>
      <c r="N869"/>
      <c r="O869"/>
      <c r="P869"/>
      <c r="Q869"/>
    </row>
    <row r="870" spans="1:17" ht="72" customHeight="1" x14ac:dyDescent="0.25">
      <c r="A870" s="22"/>
      <c r="B870" s="22"/>
      <c r="C870" s="22"/>
      <c r="D870" s="22"/>
      <c r="E870" s="22"/>
      <c r="F870" s="22"/>
      <c r="G870"/>
      <c r="H870"/>
      <c r="I870"/>
      <c r="J870"/>
      <c r="K870"/>
      <c r="L870"/>
      <c r="M870"/>
      <c r="N870"/>
      <c r="O870"/>
      <c r="P870"/>
      <c r="Q870"/>
    </row>
    <row r="871" spans="1:17" ht="72" customHeight="1" x14ac:dyDescent="0.25">
      <c r="A871" s="22"/>
      <c r="B871" s="22"/>
      <c r="C871" s="22"/>
      <c r="D871" s="22"/>
      <c r="E871" s="22"/>
      <c r="F871" s="22"/>
      <c r="G871"/>
      <c r="H871"/>
      <c r="I871"/>
      <c r="J871"/>
      <c r="K871"/>
      <c r="L871"/>
      <c r="M871"/>
      <c r="N871"/>
      <c r="O871"/>
      <c r="P871"/>
      <c r="Q871"/>
    </row>
    <row r="872" spans="1:17" ht="72" customHeight="1" x14ac:dyDescent="0.25">
      <c r="A872" s="22"/>
      <c r="B872" s="22"/>
      <c r="C872" s="22"/>
      <c r="D872" s="22"/>
      <c r="E872" s="22"/>
      <c r="F872" s="22"/>
      <c r="G872"/>
      <c r="H872"/>
      <c r="I872"/>
      <c r="J872"/>
      <c r="K872"/>
      <c r="L872"/>
      <c r="M872"/>
      <c r="N872"/>
      <c r="O872"/>
      <c r="P872"/>
      <c r="Q872"/>
    </row>
    <row r="873" spans="1:17" ht="72" customHeight="1" x14ac:dyDescent="0.25">
      <c r="A873" s="22"/>
      <c r="B873" s="22"/>
      <c r="C873" s="22"/>
      <c r="D873" s="22"/>
      <c r="E873" s="22"/>
      <c r="F873" s="22"/>
      <c r="G873"/>
      <c r="H873"/>
      <c r="I873"/>
      <c r="J873"/>
      <c r="K873"/>
      <c r="L873"/>
      <c r="M873"/>
      <c r="N873"/>
      <c r="O873"/>
      <c r="P873"/>
      <c r="Q873"/>
    </row>
    <row r="874" spans="1:17" ht="72" customHeight="1" x14ac:dyDescent="0.25">
      <c r="A874" s="22"/>
      <c r="B874" s="22"/>
      <c r="C874" s="22"/>
      <c r="D874" s="22"/>
      <c r="E874" s="22"/>
      <c r="F874" s="22"/>
      <c r="G874"/>
      <c r="H874"/>
      <c r="I874"/>
      <c r="J874"/>
      <c r="K874"/>
      <c r="L874"/>
      <c r="M874"/>
      <c r="N874"/>
      <c r="O874"/>
      <c r="P874"/>
      <c r="Q874"/>
    </row>
    <row r="875" spans="1:17" ht="72" customHeight="1" x14ac:dyDescent="0.25">
      <c r="A875" s="22"/>
      <c r="B875" s="22"/>
      <c r="C875" s="22"/>
      <c r="D875" s="22"/>
      <c r="E875" s="22"/>
      <c r="F875" s="22"/>
      <c r="G875"/>
      <c r="H875"/>
      <c r="I875"/>
      <c r="J875"/>
      <c r="K875"/>
      <c r="L875"/>
      <c r="M875"/>
      <c r="N875"/>
      <c r="O875"/>
      <c r="P875"/>
      <c r="Q875"/>
    </row>
    <row r="876" spans="1:17" ht="72" customHeight="1" x14ac:dyDescent="0.25">
      <c r="A876" s="22"/>
      <c r="B876" s="22"/>
      <c r="C876" s="22"/>
      <c r="D876" s="22"/>
      <c r="E876" s="22"/>
      <c r="F876" s="22"/>
      <c r="G876"/>
      <c r="H876"/>
      <c r="I876"/>
      <c r="J876"/>
      <c r="K876"/>
      <c r="L876"/>
      <c r="M876"/>
      <c r="N876"/>
      <c r="O876"/>
      <c r="P876"/>
      <c r="Q876"/>
    </row>
    <row r="877" spans="1:17" ht="72" customHeight="1" x14ac:dyDescent="0.25">
      <c r="A877" s="22"/>
      <c r="B877" s="22"/>
      <c r="C877" s="22"/>
      <c r="D877" s="22"/>
      <c r="E877" s="22"/>
      <c r="F877" s="22"/>
      <c r="G877"/>
      <c r="H877"/>
      <c r="I877"/>
      <c r="J877"/>
      <c r="K877"/>
      <c r="L877"/>
      <c r="M877"/>
      <c r="N877"/>
      <c r="O877"/>
      <c r="P877"/>
      <c r="Q877"/>
    </row>
    <row r="878" spans="1:17" ht="72" customHeight="1" x14ac:dyDescent="0.25">
      <c r="A878" s="22"/>
      <c r="B878" s="22"/>
      <c r="C878" s="22"/>
      <c r="D878" s="22"/>
      <c r="E878" s="22"/>
      <c r="F878" s="22"/>
      <c r="G878"/>
      <c r="H878"/>
      <c r="I878"/>
      <c r="J878"/>
      <c r="K878"/>
      <c r="L878"/>
      <c r="M878"/>
      <c r="N878"/>
      <c r="O878"/>
      <c r="P878"/>
      <c r="Q878"/>
    </row>
    <row r="879" spans="1:17" ht="72" customHeight="1" x14ac:dyDescent="0.25">
      <c r="A879" s="22"/>
      <c r="B879" s="22"/>
      <c r="C879" s="22"/>
      <c r="D879" s="22"/>
      <c r="E879" s="22"/>
      <c r="F879" s="22"/>
      <c r="G879"/>
      <c r="H879"/>
      <c r="I879"/>
      <c r="J879"/>
      <c r="K879"/>
      <c r="L879"/>
      <c r="M879"/>
      <c r="N879"/>
      <c r="O879"/>
      <c r="P879"/>
      <c r="Q879"/>
    </row>
    <row r="880" spans="1:17" ht="72" customHeight="1" x14ac:dyDescent="0.25">
      <c r="A880" s="22"/>
      <c r="B880" s="22"/>
      <c r="C880" s="22"/>
      <c r="D880" s="22"/>
      <c r="E880" s="22"/>
      <c r="F880" s="22"/>
      <c r="G880"/>
      <c r="H880"/>
      <c r="I880"/>
      <c r="J880"/>
      <c r="K880"/>
      <c r="L880"/>
      <c r="M880"/>
      <c r="N880"/>
      <c r="O880"/>
      <c r="P880"/>
      <c r="Q880"/>
    </row>
    <row r="881" spans="1:17" ht="72" customHeight="1" x14ac:dyDescent="0.25">
      <c r="A881" s="22"/>
      <c r="B881" s="22"/>
      <c r="C881" s="22"/>
      <c r="D881" s="22"/>
      <c r="E881" s="22"/>
      <c r="F881" s="22"/>
      <c r="G881"/>
      <c r="H881"/>
      <c r="I881"/>
      <c r="J881"/>
      <c r="K881"/>
      <c r="L881"/>
      <c r="M881"/>
      <c r="N881"/>
      <c r="O881"/>
      <c r="P881"/>
      <c r="Q881"/>
    </row>
    <row r="882" spans="1:17" ht="72" customHeight="1" x14ac:dyDescent="0.25">
      <c r="A882" s="22"/>
      <c r="B882" s="22"/>
      <c r="C882" s="22"/>
      <c r="D882" s="22"/>
      <c r="E882" s="22"/>
      <c r="F882" s="22"/>
      <c r="G882"/>
      <c r="H882"/>
      <c r="I882"/>
      <c r="J882"/>
      <c r="K882"/>
      <c r="L882"/>
      <c r="M882"/>
      <c r="N882"/>
      <c r="O882"/>
      <c r="P882"/>
      <c r="Q882"/>
    </row>
    <row r="883" spans="1:17" ht="72" customHeight="1" x14ac:dyDescent="0.25">
      <c r="A883" s="22"/>
      <c r="B883" s="22"/>
      <c r="C883" s="22"/>
      <c r="D883" s="22"/>
      <c r="E883" s="22"/>
      <c r="F883" s="22"/>
      <c r="G883"/>
      <c r="H883"/>
      <c r="I883"/>
      <c r="J883"/>
      <c r="K883"/>
      <c r="L883"/>
      <c r="M883"/>
      <c r="N883"/>
      <c r="O883"/>
      <c r="P883"/>
      <c r="Q883"/>
    </row>
    <row r="884" spans="1:17" ht="72" customHeight="1" x14ac:dyDescent="0.25">
      <c r="A884" s="22"/>
      <c r="B884" s="22"/>
      <c r="C884" s="22"/>
      <c r="D884" s="22"/>
      <c r="E884" s="22"/>
      <c r="F884" s="22"/>
      <c r="G884"/>
      <c r="H884"/>
      <c r="I884"/>
      <c r="J884"/>
      <c r="K884"/>
      <c r="L884"/>
      <c r="M884"/>
      <c r="N884"/>
      <c r="O884"/>
      <c r="P884"/>
      <c r="Q884"/>
    </row>
    <row r="885" spans="1:17" ht="72" customHeight="1" x14ac:dyDescent="0.25">
      <c r="A885" s="22"/>
      <c r="B885" s="22"/>
      <c r="C885" s="22"/>
      <c r="D885" s="22"/>
      <c r="E885" s="22"/>
      <c r="F885" s="22"/>
      <c r="G885"/>
      <c r="H885"/>
      <c r="I885"/>
      <c r="J885"/>
      <c r="K885"/>
      <c r="L885"/>
      <c r="M885"/>
      <c r="N885"/>
      <c r="O885"/>
      <c r="P885"/>
      <c r="Q885"/>
    </row>
    <row r="886" spans="1:17" ht="72" customHeight="1" x14ac:dyDescent="0.25">
      <c r="A886" s="22"/>
      <c r="B886" s="22"/>
      <c r="C886" s="22"/>
      <c r="D886" s="22"/>
      <c r="E886" s="22"/>
      <c r="F886" s="22"/>
      <c r="G886"/>
      <c r="H886"/>
      <c r="I886"/>
      <c r="J886"/>
      <c r="K886"/>
      <c r="L886"/>
      <c r="M886"/>
      <c r="N886"/>
      <c r="O886"/>
      <c r="P886"/>
      <c r="Q886"/>
    </row>
    <row r="887" spans="1:17" ht="72" customHeight="1" x14ac:dyDescent="0.25">
      <c r="A887" s="22"/>
      <c r="B887" s="22"/>
      <c r="C887" s="22"/>
      <c r="D887" s="22"/>
      <c r="E887" s="22"/>
      <c r="F887" s="22"/>
      <c r="G887"/>
      <c r="H887"/>
      <c r="I887"/>
      <c r="J887"/>
      <c r="K887"/>
      <c r="L887"/>
      <c r="M887"/>
      <c r="N887"/>
      <c r="O887"/>
      <c r="P887"/>
      <c r="Q887"/>
    </row>
    <row r="888" spans="1:17" ht="72" customHeight="1" x14ac:dyDescent="0.25">
      <c r="A888" s="22"/>
      <c r="B888" s="22"/>
      <c r="C888" s="22"/>
      <c r="D888" s="22"/>
      <c r="E888" s="22"/>
      <c r="F888" s="22"/>
      <c r="G888"/>
      <c r="H888"/>
      <c r="I888"/>
      <c r="J888"/>
      <c r="K888"/>
      <c r="L888"/>
      <c r="M888"/>
      <c r="N888"/>
      <c r="O888"/>
      <c r="P888"/>
      <c r="Q888"/>
    </row>
    <row r="889" spans="1:17" ht="72" customHeight="1" x14ac:dyDescent="0.25">
      <c r="A889" s="22"/>
      <c r="B889" s="22"/>
      <c r="C889" s="22"/>
      <c r="D889" s="22"/>
      <c r="E889" s="22"/>
      <c r="F889" s="22"/>
      <c r="G889"/>
      <c r="H889"/>
      <c r="I889"/>
      <c r="J889"/>
      <c r="K889"/>
      <c r="L889"/>
      <c r="M889"/>
      <c r="N889"/>
      <c r="O889"/>
      <c r="P889"/>
      <c r="Q889"/>
    </row>
    <row r="890" spans="1:17" ht="72" customHeight="1" x14ac:dyDescent="0.25">
      <c r="A890" s="22"/>
      <c r="B890" s="22"/>
      <c r="C890" s="22"/>
      <c r="D890" s="22"/>
      <c r="E890" s="22"/>
      <c r="F890" s="22"/>
      <c r="G890"/>
      <c r="H890"/>
      <c r="I890"/>
      <c r="J890"/>
      <c r="K890"/>
      <c r="L890"/>
      <c r="M890"/>
      <c r="N890"/>
      <c r="O890"/>
      <c r="P890"/>
      <c r="Q890"/>
    </row>
    <row r="891" spans="1:17" ht="72" customHeight="1" x14ac:dyDescent="0.25">
      <c r="A891" s="22"/>
      <c r="B891" s="22"/>
      <c r="C891" s="22"/>
      <c r="D891" s="22"/>
      <c r="E891" s="22"/>
      <c r="F891" s="22"/>
      <c r="G891"/>
      <c r="H891"/>
      <c r="I891"/>
      <c r="J891"/>
      <c r="K891"/>
      <c r="L891"/>
      <c r="M891"/>
      <c r="N891"/>
      <c r="O891"/>
      <c r="P891"/>
      <c r="Q891"/>
    </row>
    <row r="892" spans="1:17" ht="72" customHeight="1" x14ac:dyDescent="0.25">
      <c r="A892" s="22"/>
      <c r="B892" s="22"/>
      <c r="C892" s="22"/>
      <c r="D892" s="22"/>
      <c r="E892" s="22"/>
      <c r="F892" s="22"/>
      <c r="G892"/>
      <c r="H892"/>
      <c r="I892"/>
      <c r="J892"/>
      <c r="K892"/>
      <c r="L892"/>
      <c r="M892"/>
      <c r="N892"/>
      <c r="O892"/>
      <c r="P892"/>
      <c r="Q892"/>
    </row>
    <row r="893" spans="1:17" ht="72" customHeight="1" x14ac:dyDescent="0.25">
      <c r="A893" s="22"/>
      <c r="B893" s="22"/>
      <c r="C893" s="22"/>
      <c r="D893" s="22"/>
      <c r="E893" s="22"/>
      <c r="F893" s="22"/>
      <c r="G893"/>
      <c r="H893"/>
      <c r="I893"/>
      <c r="J893"/>
      <c r="K893"/>
      <c r="L893"/>
      <c r="M893"/>
      <c r="N893"/>
      <c r="O893"/>
      <c r="P893"/>
      <c r="Q893"/>
    </row>
    <row r="894" spans="1:17" ht="72" customHeight="1" x14ac:dyDescent="0.25">
      <c r="A894" s="22"/>
      <c r="B894" s="22"/>
      <c r="C894" s="22"/>
      <c r="D894" s="22"/>
      <c r="E894" s="22"/>
      <c r="F894" s="22"/>
      <c r="G894"/>
      <c r="H894"/>
      <c r="I894"/>
      <c r="J894"/>
      <c r="K894"/>
      <c r="L894"/>
      <c r="M894"/>
      <c r="N894"/>
      <c r="O894"/>
      <c r="P894"/>
      <c r="Q894"/>
    </row>
    <row r="895" spans="1:17" ht="72" customHeight="1" x14ac:dyDescent="0.25">
      <c r="A895" s="22"/>
      <c r="B895" s="22"/>
      <c r="C895" s="22"/>
      <c r="D895" s="22"/>
      <c r="E895" s="22"/>
      <c r="F895" s="22"/>
      <c r="G895"/>
      <c r="H895"/>
      <c r="I895"/>
      <c r="J895"/>
      <c r="K895"/>
      <c r="L895"/>
      <c r="M895"/>
      <c r="N895"/>
      <c r="O895"/>
      <c r="P895"/>
      <c r="Q895"/>
    </row>
    <row r="896" spans="1:17" ht="72" customHeight="1" x14ac:dyDescent="0.25">
      <c r="A896" s="22"/>
      <c r="B896" s="22"/>
      <c r="C896" s="22"/>
      <c r="D896" s="22"/>
      <c r="E896" s="22"/>
      <c r="F896" s="22"/>
      <c r="G896"/>
      <c r="H896"/>
      <c r="I896"/>
      <c r="J896"/>
      <c r="K896"/>
      <c r="L896"/>
      <c r="M896"/>
      <c r="N896"/>
      <c r="O896"/>
      <c r="P896"/>
      <c r="Q896"/>
    </row>
    <row r="897" spans="1:17" ht="72" customHeight="1" x14ac:dyDescent="0.25">
      <c r="A897" s="22"/>
      <c r="B897" s="22"/>
      <c r="C897" s="22"/>
      <c r="D897" s="22"/>
      <c r="E897" s="22"/>
      <c r="F897" s="22"/>
      <c r="G897"/>
      <c r="H897"/>
      <c r="I897"/>
      <c r="J897"/>
      <c r="K897"/>
      <c r="L897"/>
      <c r="M897"/>
      <c r="N897"/>
      <c r="O897"/>
      <c r="P897"/>
      <c r="Q897"/>
    </row>
    <row r="898" spans="1:17" ht="72" customHeight="1" x14ac:dyDescent="0.25">
      <c r="A898" s="22"/>
      <c r="B898" s="22"/>
      <c r="C898" s="22"/>
      <c r="D898" s="22"/>
      <c r="E898" s="22"/>
      <c r="F898" s="22"/>
      <c r="G898"/>
      <c r="H898"/>
      <c r="I898"/>
      <c r="J898"/>
      <c r="K898"/>
      <c r="L898"/>
      <c r="M898"/>
      <c r="N898"/>
      <c r="O898"/>
      <c r="P898"/>
      <c r="Q898"/>
    </row>
    <row r="899" spans="1:17" ht="72" customHeight="1" x14ac:dyDescent="0.25">
      <c r="A899" s="22"/>
      <c r="B899" s="22"/>
      <c r="C899" s="22"/>
      <c r="D899" s="22"/>
      <c r="E899" s="22"/>
      <c r="F899" s="22"/>
      <c r="G899"/>
      <c r="H899"/>
      <c r="I899"/>
      <c r="J899"/>
      <c r="K899"/>
      <c r="L899"/>
      <c r="M899"/>
      <c r="N899"/>
      <c r="O899"/>
      <c r="P899"/>
      <c r="Q899"/>
    </row>
    <row r="900" spans="1:17" ht="72" customHeight="1" x14ac:dyDescent="0.25">
      <c r="A900" s="22"/>
      <c r="B900" s="22"/>
      <c r="C900" s="22"/>
      <c r="D900" s="22"/>
      <c r="E900" s="22"/>
      <c r="F900" s="22"/>
      <c r="G900"/>
      <c r="H900"/>
      <c r="I900"/>
      <c r="J900"/>
      <c r="K900"/>
      <c r="L900"/>
      <c r="M900"/>
      <c r="N900"/>
      <c r="O900"/>
      <c r="P900"/>
      <c r="Q900"/>
    </row>
    <row r="901" spans="1:17" ht="72" customHeight="1" x14ac:dyDescent="0.25">
      <c r="A901" s="22"/>
      <c r="B901" s="22"/>
      <c r="C901" s="22"/>
      <c r="D901" s="22"/>
      <c r="E901" s="22"/>
      <c r="F901" s="22"/>
      <c r="G901"/>
      <c r="H901"/>
      <c r="I901"/>
      <c r="J901"/>
      <c r="K901"/>
      <c r="L901"/>
      <c r="M901"/>
      <c r="N901"/>
      <c r="O901"/>
      <c r="P901"/>
      <c r="Q901"/>
    </row>
    <row r="902" spans="1:17" ht="72" customHeight="1" x14ac:dyDescent="0.25">
      <c r="A902" s="22"/>
      <c r="B902" s="22"/>
      <c r="C902" s="22"/>
      <c r="D902" s="22"/>
      <c r="E902" s="22"/>
      <c r="F902" s="22"/>
      <c r="G902"/>
      <c r="H902"/>
      <c r="I902"/>
      <c r="J902"/>
      <c r="K902"/>
      <c r="L902"/>
      <c r="M902"/>
      <c r="N902"/>
      <c r="O902"/>
      <c r="P902"/>
      <c r="Q902"/>
    </row>
    <row r="903" spans="1:17" ht="72" customHeight="1" x14ac:dyDescent="0.25">
      <c r="A903" s="22"/>
      <c r="B903" s="22"/>
      <c r="C903" s="22"/>
      <c r="D903" s="22"/>
      <c r="E903" s="22"/>
      <c r="F903" s="22"/>
      <c r="G903"/>
      <c r="H903"/>
      <c r="I903"/>
      <c r="J903"/>
      <c r="K903"/>
      <c r="L903"/>
      <c r="M903"/>
      <c r="N903"/>
      <c r="O903"/>
      <c r="P903"/>
      <c r="Q903"/>
    </row>
    <row r="904" spans="1:17" ht="72" customHeight="1" x14ac:dyDescent="0.25">
      <c r="A904" s="22"/>
      <c r="B904" s="22"/>
      <c r="C904" s="22"/>
      <c r="D904" s="22"/>
      <c r="E904" s="22"/>
      <c r="F904" s="22"/>
      <c r="G904"/>
      <c r="H904"/>
      <c r="I904"/>
      <c r="J904"/>
      <c r="K904"/>
      <c r="L904"/>
      <c r="M904"/>
      <c r="N904"/>
      <c r="O904"/>
      <c r="P904"/>
      <c r="Q904"/>
    </row>
    <row r="905" spans="1:17" ht="72" customHeight="1" x14ac:dyDescent="0.25">
      <c r="A905" s="22"/>
      <c r="B905" s="22"/>
      <c r="C905" s="22"/>
      <c r="D905" s="22"/>
      <c r="E905" s="22"/>
      <c r="F905" s="22"/>
      <c r="G905"/>
      <c r="H905"/>
      <c r="I905"/>
      <c r="J905"/>
      <c r="K905"/>
      <c r="L905"/>
      <c r="M905"/>
      <c r="N905"/>
      <c r="O905"/>
      <c r="P905"/>
      <c r="Q905"/>
    </row>
    <row r="906" spans="1:17" ht="72" customHeight="1" x14ac:dyDescent="0.25">
      <c r="A906" s="22"/>
      <c r="B906" s="22"/>
      <c r="C906" s="22"/>
      <c r="D906" s="22"/>
      <c r="E906" s="22"/>
      <c r="F906" s="22"/>
      <c r="G906"/>
      <c r="H906"/>
      <c r="I906"/>
      <c r="J906"/>
      <c r="K906"/>
      <c r="L906"/>
      <c r="M906"/>
      <c r="N906"/>
      <c r="O906"/>
      <c r="P906"/>
      <c r="Q906"/>
    </row>
    <row r="907" spans="1:17" ht="72" customHeight="1" x14ac:dyDescent="0.25">
      <c r="A907" s="22"/>
      <c r="B907" s="22"/>
      <c r="C907" s="22"/>
      <c r="D907" s="22"/>
      <c r="E907" s="22"/>
      <c r="F907" s="22"/>
      <c r="G907"/>
      <c r="H907"/>
      <c r="I907"/>
      <c r="J907"/>
      <c r="K907"/>
      <c r="L907"/>
      <c r="M907"/>
      <c r="N907"/>
      <c r="O907"/>
      <c r="P907"/>
      <c r="Q907"/>
    </row>
    <row r="908" spans="1:17" ht="72" customHeight="1" x14ac:dyDescent="0.25">
      <c r="A908" s="22"/>
      <c r="B908" s="22"/>
      <c r="C908" s="22"/>
      <c r="D908" s="22"/>
      <c r="E908" s="22"/>
      <c r="F908" s="22"/>
      <c r="G908"/>
      <c r="H908"/>
      <c r="I908"/>
      <c r="J908"/>
      <c r="K908"/>
      <c r="L908"/>
      <c r="M908"/>
      <c r="N908"/>
      <c r="O908"/>
      <c r="P908"/>
      <c r="Q908"/>
    </row>
    <row r="909" spans="1:17" ht="72" customHeight="1" x14ac:dyDescent="0.25">
      <c r="A909" s="22"/>
      <c r="B909" s="22"/>
      <c r="C909" s="22"/>
      <c r="D909" s="22"/>
      <c r="E909" s="22"/>
      <c r="F909" s="22"/>
      <c r="G909"/>
      <c r="H909"/>
      <c r="I909"/>
      <c r="J909"/>
      <c r="K909"/>
      <c r="L909"/>
      <c r="M909"/>
      <c r="N909"/>
      <c r="O909"/>
      <c r="P909"/>
      <c r="Q909"/>
    </row>
    <row r="910" spans="1:17" ht="72" customHeight="1" x14ac:dyDescent="0.25">
      <c r="A910" s="22"/>
      <c r="B910" s="22"/>
      <c r="C910" s="22"/>
      <c r="D910" s="22"/>
      <c r="E910" s="22"/>
      <c r="F910" s="22"/>
      <c r="G910"/>
      <c r="H910"/>
      <c r="I910"/>
      <c r="J910"/>
      <c r="K910"/>
      <c r="L910"/>
      <c r="M910"/>
      <c r="N910"/>
      <c r="O910"/>
      <c r="P910"/>
      <c r="Q910"/>
    </row>
    <row r="911" spans="1:17" ht="72" customHeight="1" x14ac:dyDescent="0.25">
      <c r="A911" s="22"/>
      <c r="B911" s="22"/>
      <c r="C911" s="22"/>
      <c r="D911" s="22"/>
      <c r="E911" s="22"/>
      <c r="F911" s="22"/>
      <c r="G911"/>
      <c r="H911"/>
      <c r="I911"/>
      <c r="J911"/>
      <c r="K911"/>
      <c r="L911"/>
      <c r="M911"/>
      <c r="N911"/>
      <c r="O911"/>
      <c r="P911"/>
      <c r="Q911"/>
    </row>
    <row r="912" spans="1:17" ht="72" customHeight="1" x14ac:dyDescent="0.25">
      <c r="A912" s="22"/>
      <c r="B912" s="22"/>
      <c r="C912" s="22"/>
      <c r="D912" s="22"/>
      <c r="E912" s="22"/>
      <c r="F912" s="22"/>
      <c r="G912"/>
      <c r="H912"/>
      <c r="I912"/>
      <c r="J912"/>
      <c r="K912"/>
      <c r="L912"/>
      <c r="M912"/>
      <c r="N912"/>
      <c r="O912"/>
      <c r="P912"/>
      <c r="Q912"/>
    </row>
    <row r="913" spans="1:17" ht="72" customHeight="1" x14ac:dyDescent="0.25">
      <c r="A913" s="22"/>
      <c r="B913" s="22"/>
      <c r="C913" s="22"/>
      <c r="D913" s="22"/>
      <c r="E913" s="22"/>
      <c r="F913" s="22"/>
      <c r="G913"/>
      <c r="H913"/>
      <c r="I913"/>
      <c r="J913"/>
      <c r="K913"/>
      <c r="L913"/>
      <c r="M913"/>
      <c r="N913"/>
      <c r="O913"/>
      <c r="P913"/>
      <c r="Q913"/>
    </row>
    <row r="914" spans="1:17" ht="72" customHeight="1" x14ac:dyDescent="0.25">
      <c r="A914" s="22"/>
      <c r="B914" s="22"/>
      <c r="C914" s="22"/>
      <c r="D914" s="22"/>
      <c r="E914" s="22"/>
      <c r="F914" s="22"/>
      <c r="G914"/>
      <c r="H914"/>
      <c r="I914"/>
      <c r="J914"/>
      <c r="K914"/>
      <c r="L914"/>
      <c r="M914"/>
      <c r="N914"/>
      <c r="O914"/>
      <c r="P914"/>
      <c r="Q914"/>
    </row>
    <row r="915" spans="1:17" ht="72" customHeight="1" x14ac:dyDescent="0.25">
      <c r="A915" s="22"/>
      <c r="B915" s="22"/>
      <c r="C915" s="22"/>
      <c r="D915" s="22"/>
      <c r="E915" s="22"/>
      <c r="F915" s="22"/>
      <c r="G915"/>
      <c r="H915"/>
      <c r="I915"/>
      <c r="J915"/>
      <c r="K915"/>
      <c r="L915"/>
      <c r="M915"/>
      <c r="N915"/>
      <c r="O915"/>
      <c r="P915"/>
      <c r="Q915"/>
    </row>
    <row r="916" spans="1:17" ht="72" customHeight="1" x14ac:dyDescent="0.25">
      <c r="A916" s="22"/>
      <c r="B916" s="22"/>
      <c r="C916" s="22"/>
      <c r="D916" s="22"/>
      <c r="E916" s="22"/>
      <c r="F916" s="22"/>
      <c r="G916"/>
      <c r="H916"/>
      <c r="I916"/>
      <c r="J916"/>
      <c r="K916"/>
      <c r="L916"/>
      <c r="M916"/>
      <c r="N916"/>
      <c r="O916"/>
      <c r="P916"/>
      <c r="Q916"/>
    </row>
    <row r="917" spans="1:17" ht="72" customHeight="1" x14ac:dyDescent="0.25">
      <c r="A917" s="22"/>
      <c r="B917" s="22"/>
      <c r="C917" s="22"/>
      <c r="D917" s="22"/>
      <c r="E917" s="22"/>
      <c r="F917" s="22"/>
      <c r="G917"/>
      <c r="H917"/>
      <c r="I917"/>
      <c r="J917"/>
      <c r="K917"/>
      <c r="L917"/>
      <c r="M917"/>
      <c r="N917"/>
      <c r="O917"/>
      <c r="P917"/>
      <c r="Q917"/>
    </row>
    <row r="918" spans="1:17" ht="72" customHeight="1" x14ac:dyDescent="0.25">
      <c r="A918" s="22"/>
      <c r="B918" s="22"/>
      <c r="C918" s="22"/>
      <c r="D918" s="22"/>
      <c r="E918" s="22"/>
      <c r="F918" s="22"/>
      <c r="G918"/>
      <c r="H918"/>
      <c r="I918"/>
      <c r="J918"/>
      <c r="K918"/>
      <c r="L918"/>
      <c r="M918"/>
      <c r="N918"/>
      <c r="O918"/>
      <c r="P918"/>
      <c r="Q918"/>
    </row>
    <row r="919" spans="1:17" ht="72" customHeight="1" x14ac:dyDescent="0.25">
      <c r="A919" s="22"/>
      <c r="B919" s="22"/>
      <c r="C919" s="22"/>
      <c r="D919" s="22"/>
      <c r="E919" s="22"/>
      <c r="F919" s="22"/>
      <c r="G919"/>
      <c r="H919"/>
      <c r="I919"/>
      <c r="J919"/>
      <c r="K919"/>
      <c r="L919"/>
      <c r="M919"/>
      <c r="N919"/>
      <c r="O919"/>
      <c r="P919"/>
      <c r="Q919"/>
    </row>
    <row r="920" spans="1:17" ht="72" customHeight="1" x14ac:dyDescent="0.25">
      <c r="A920" s="22"/>
      <c r="B920" s="22"/>
      <c r="C920" s="22"/>
      <c r="D920" s="22"/>
      <c r="E920" s="22"/>
      <c r="F920" s="22"/>
      <c r="G920"/>
      <c r="H920"/>
      <c r="I920"/>
      <c r="J920"/>
      <c r="K920"/>
      <c r="L920"/>
      <c r="M920"/>
      <c r="N920"/>
      <c r="O920"/>
      <c r="P920"/>
      <c r="Q920"/>
    </row>
    <row r="921" spans="1:17" ht="72" customHeight="1" x14ac:dyDescent="0.25">
      <c r="A921" s="22"/>
      <c r="B921" s="22"/>
      <c r="C921" s="22"/>
      <c r="D921" s="22"/>
      <c r="E921" s="22"/>
      <c r="F921" s="22"/>
      <c r="G921"/>
      <c r="H921"/>
      <c r="I921"/>
      <c r="J921"/>
      <c r="K921"/>
      <c r="L921"/>
      <c r="M921"/>
      <c r="N921"/>
      <c r="O921"/>
      <c r="P921"/>
      <c r="Q921"/>
    </row>
    <row r="922" spans="1:17" ht="72" customHeight="1" x14ac:dyDescent="0.25">
      <c r="A922" s="22"/>
      <c r="B922" s="22"/>
      <c r="C922" s="22"/>
      <c r="D922" s="22"/>
      <c r="E922" s="22"/>
      <c r="F922" s="22"/>
      <c r="G922"/>
      <c r="H922"/>
      <c r="I922"/>
      <c r="J922"/>
      <c r="K922"/>
      <c r="L922"/>
      <c r="M922"/>
      <c r="N922"/>
      <c r="O922"/>
      <c r="P922"/>
      <c r="Q922"/>
    </row>
    <row r="923" spans="1:17" ht="72" customHeight="1" x14ac:dyDescent="0.25">
      <c r="A923" s="22"/>
      <c r="B923" s="22"/>
      <c r="C923" s="22"/>
      <c r="D923" s="22"/>
      <c r="E923" s="22"/>
      <c r="F923" s="22"/>
      <c r="G923"/>
      <c r="H923"/>
      <c r="I923"/>
      <c r="J923"/>
      <c r="K923"/>
      <c r="L923"/>
      <c r="M923"/>
      <c r="N923"/>
      <c r="O923"/>
      <c r="P923"/>
      <c r="Q923"/>
    </row>
    <row r="924" spans="1:17" ht="72" customHeight="1" x14ac:dyDescent="0.25">
      <c r="A924" s="22"/>
      <c r="B924" s="22"/>
      <c r="C924" s="22"/>
      <c r="D924" s="22"/>
      <c r="E924" s="22"/>
      <c r="F924" s="22"/>
      <c r="G924"/>
      <c r="H924"/>
      <c r="I924"/>
      <c r="J924"/>
      <c r="K924"/>
      <c r="L924"/>
      <c r="M924"/>
      <c r="N924"/>
      <c r="O924"/>
      <c r="P924"/>
      <c r="Q924"/>
    </row>
    <row r="925" spans="1:17" ht="72" customHeight="1" x14ac:dyDescent="0.25">
      <c r="A925" s="22"/>
      <c r="B925" s="22"/>
      <c r="C925" s="22"/>
      <c r="D925" s="22"/>
      <c r="E925" s="22"/>
      <c r="F925" s="22"/>
      <c r="G925"/>
      <c r="H925"/>
      <c r="I925"/>
      <c r="J925"/>
      <c r="K925"/>
      <c r="L925"/>
      <c r="M925"/>
      <c r="N925"/>
      <c r="O925"/>
      <c r="P925"/>
      <c r="Q925"/>
    </row>
    <row r="926" spans="1:17" ht="72" customHeight="1" x14ac:dyDescent="0.25">
      <c r="A926" s="22"/>
      <c r="B926" s="22"/>
      <c r="C926" s="22"/>
      <c r="D926" s="22"/>
      <c r="E926" s="22"/>
      <c r="F926" s="22"/>
      <c r="G926"/>
      <c r="H926"/>
      <c r="I926"/>
      <c r="J926"/>
      <c r="K926"/>
      <c r="L926"/>
      <c r="M926"/>
      <c r="N926"/>
      <c r="O926"/>
      <c r="P926"/>
      <c r="Q926"/>
    </row>
    <row r="927" spans="1:17" ht="72" customHeight="1" x14ac:dyDescent="0.25">
      <c r="A927" s="22"/>
      <c r="B927" s="22"/>
      <c r="C927" s="22"/>
      <c r="D927" s="22"/>
      <c r="E927" s="22"/>
      <c r="F927" s="22"/>
      <c r="G927"/>
      <c r="H927"/>
      <c r="I927"/>
      <c r="J927"/>
      <c r="K927"/>
      <c r="L927"/>
      <c r="M927"/>
      <c r="N927"/>
      <c r="O927"/>
      <c r="P927"/>
      <c r="Q927"/>
    </row>
    <row r="928" spans="1:17" ht="72" customHeight="1" x14ac:dyDescent="0.25">
      <c r="A928" s="22"/>
      <c r="B928" s="22"/>
      <c r="C928" s="22"/>
      <c r="D928" s="22"/>
      <c r="E928" s="22"/>
      <c r="F928" s="22"/>
      <c r="G928"/>
      <c r="H928"/>
      <c r="I928"/>
      <c r="J928"/>
      <c r="K928"/>
      <c r="L928"/>
      <c r="M928"/>
      <c r="N928"/>
      <c r="O928"/>
      <c r="P928"/>
      <c r="Q928"/>
    </row>
    <row r="929" spans="1:17" ht="72" customHeight="1" x14ac:dyDescent="0.25">
      <c r="A929" s="22"/>
      <c r="B929" s="22"/>
      <c r="C929" s="22"/>
      <c r="D929" s="22"/>
      <c r="E929" s="22"/>
      <c r="F929" s="22"/>
      <c r="G929"/>
      <c r="H929"/>
      <c r="I929"/>
      <c r="J929"/>
      <c r="K929"/>
      <c r="L929"/>
      <c r="M929"/>
      <c r="N929"/>
      <c r="O929"/>
      <c r="P929"/>
      <c r="Q929"/>
    </row>
    <row r="930" spans="1:17" ht="72" customHeight="1" x14ac:dyDescent="0.25">
      <c r="A930" s="22"/>
      <c r="B930" s="22"/>
      <c r="C930" s="22"/>
      <c r="D930" s="22"/>
      <c r="E930" s="22"/>
      <c r="F930" s="22"/>
      <c r="G930"/>
      <c r="H930"/>
      <c r="I930"/>
      <c r="J930"/>
      <c r="K930"/>
      <c r="L930"/>
      <c r="M930"/>
      <c r="N930"/>
      <c r="O930"/>
      <c r="P930"/>
      <c r="Q930"/>
    </row>
    <row r="931" spans="1:17" ht="72" customHeight="1" x14ac:dyDescent="0.25">
      <c r="A931" s="22"/>
      <c r="B931" s="22"/>
      <c r="C931" s="22"/>
      <c r="D931" s="22"/>
      <c r="E931" s="22"/>
      <c r="F931" s="22"/>
      <c r="G931"/>
      <c r="H931"/>
      <c r="I931"/>
      <c r="J931"/>
      <c r="K931"/>
      <c r="L931"/>
      <c r="M931"/>
      <c r="N931"/>
      <c r="O931"/>
      <c r="P931"/>
      <c r="Q931"/>
    </row>
    <row r="932" spans="1:17" ht="72" customHeight="1" x14ac:dyDescent="0.25">
      <c r="A932" s="22"/>
      <c r="B932" s="22"/>
      <c r="C932" s="22"/>
      <c r="D932" s="22"/>
      <c r="E932" s="22"/>
      <c r="F932" s="22"/>
      <c r="G932"/>
      <c r="H932"/>
      <c r="I932"/>
      <c r="J932"/>
      <c r="K932"/>
      <c r="L932"/>
      <c r="M932"/>
      <c r="N932"/>
      <c r="O932"/>
      <c r="P932"/>
      <c r="Q932"/>
    </row>
    <row r="933" spans="1:17" ht="72" customHeight="1" x14ac:dyDescent="0.25">
      <c r="A933" s="22"/>
      <c r="B933" s="22"/>
      <c r="C933" s="22"/>
      <c r="D933" s="22"/>
      <c r="E933" s="22"/>
      <c r="F933" s="22"/>
      <c r="G933"/>
      <c r="H933"/>
      <c r="I933"/>
      <c r="J933"/>
      <c r="K933"/>
      <c r="L933"/>
      <c r="M933"/>
      <c r="N933"/>
      <c r="O933"/>
      <c r="P933"/>
      <c r="Q933"/>
    </row>
    <row r="934" spans="1:17" ht="72" customHeight="1" x14ac:dyDescent="0.25">
      <c r="A934" s="22"/>
      <c r="B934" s="22"/>
      <c r="C934" s="22"/>
      <c r="D934" s="22"/>
      <c r="E934" s="22"/>
      <c r="F934" s="22"/>
      <c r="G934"/>
      <c r="H934"/>
      <c r="I934"/>
      <c r="J934"/>
      <c r="K934"/>
      <c r="L934"/>
      <c r="M934"/>
      <c r="N934"/>
      <c r="O934"/>
      <c r="P934"/>
      <c r="Q934"/>
    </row>
    <row r="935" spans="1:17" ht="72" customHeight="1" x14ac:dyDescent="0.25">
      <c r="A935" s="22"/>
      <c r="B935" s="22"/>
      <c r="C935" s="22"/>
      <c r="D935" s="22"/>
      <c r="E935" s="22"/>
      <c r="F935" s="22"/>
      <c r="G935"/>
      <c r="H935"/>
      <c r="I935"/>
      <c r="J935"/>
      <c r="K935"/>
      <c r="L935"/>
      <c r="M935"/>
      <c r="N935"/>
      <c r="O935"/>
      <c r="P935"/>
      <c r="Q935"/>
    </row>
    <row r="936" spans="1:17" ht="72" customHeight="1" x14ac:dyDescent="0.25">
      <c r="A936" s="22"/>
      <c r="B936" s="22"/>
      <c r="C936" s="22"/>
      <c r="D936" s="22"/>
      <c r="E936" s="22"/>
      <c r="F936" s="22"/>
      <c r="G936"/>
      <c r="H936"/>
      <c r="I936"/>
      <c r="J936"/>
      <c r="K936"/>
      <c r="L936"/>
      <c r="M936"/>
      <c r="N936"/>
      <c r="O936"/>
      <c r="P936"/>
      <c r="Q936"/>
    </row>
    <row r="937" spans="1:17" ht="72" customHeight="1" x14ac:dyDescent="0.25">
      <c r="A937" s="22"/>
      <c r="B937" s="22"/>
      <c r="C937" s="22"/>
      <c r="D937" s="22"/>
      <c r="E937" s="22"/>
      <c r="F937" s="22"/>
      <c r="G937"/>
      <c r="H937"/>
      <c r="I937"/>
      <c r="J937"/>
      <c r="K937"/>
      <c r="L937"/>
      <c r="M937"/>
      <c r="N937"/>
      <c r="O937"/>
      <c r="P937"/>
      <c r="Q937"/>
    </row>
    <row r="938" spans="1:17" ht="72" customHeight="1" x14ac:dyDescent="0.25">
      <c r="A938" s="22"/>
      <c r="B938" s="22"/>
      <c r="C938" s="22"/>
      <c r="D938" s="22"/>
      <c r="E938" s="22"/>
      <c r="F938" s="22"/>
      <c r="G938"/>
      <c r="H938"/>
      <c r="I938"/>
      <c r="J938"/>
      <c r="K938"/>
      <c r="L938"/>
      <c r="M938"/>
      <c r="N938"/>
      <c r="O938"/>
      <c r="P938"/>
      <c r="Q938"/>
    </row>
    <row r="939" spans="1:17" ht="72" customHeight="1" x14ac:dyDescent="0.25">
      <c r="A939" s="22"/>
      <c r="B939" s="22"/>
      <c r="C939" s="22"/>
      <c r="D939" s="22"/>
      <c r="E939" s="22"/>
      <c r="F939" s="22"/>
      <c r="G939"/>
      <c r="H939"/>
      <c r="I939"/>
      <c r="J939"/>
      <c r="K939"/>
      <c r="L939"/>
      <c r="M939"/>
      <c r="N939"/>
      <c r="O939"/>
      <c r="P939"/>
      <c r="Q939"/>
    </row>
    <row r="940" spans="1:17" ht="72" customHeight="1" x14ac:dyDescent="0.25">
      <c r="A940" s="22"/>
      <c r="B940" s="22"/>
      <c r="C940" s="22"/>
      <c r="D940" s="22"/>
      <c r="E940" s="22"/>
      <c r="F940" s="22"/>
      <c r="G940"/>
      <c r="H940"/>
      <c r="I940"/>
      <c r="J940"/>
      <c r="K940"/>
      <c r="L940"/>
      <c r="M940"/>
      <c r="N940"/>
      <c r="O940"/>
      <c r="P940"/>
      <c r="Q940"/>
    </row>
    <row r="941" spans="1:17" ht="72" customHeight="1" x14ac:dyDescent="0.25">
      <c r="A941" s="22"/>
      <c r="B941" s="22"/>
      <c r="C941" s="22"/>
      <c r="D941" s="22"/>
      <c r="E941" s="22"/>
      <c r="F941" s="22"/>
      <c r="G941"/>
      <c r="H941"/>
      <c r="I941"/>
      <c r="J941"/>
      <c r="K941"/>
      <c r="L941"/>
      <c r="M941"/>
      <c r="N941"/>
      <c r="O941"/>
      <c r="P941"/>
      <c r="Q941"/>
    </row>
    <row r="942" spans="1:17" ht="72" customHeight="1" x14ac:dyDescent="0.25">
      <c r="A942" s="22"/>
      <c r="B942" s="22"/>
      <c r="C942" s="22"/>
      <c r="D942" s="22"/>
      <c r="E942" s="22"/>
      <c r="F942" s="22"/>
      <c r="G942"/>
      <c r="H942"/>
      <c r="I942"/>
      <c r="J942"/>
      <c r="K942"/>
      <c r="L942"/>
      <c r="M942"/>
      <c r="N942"/>
      <c r="O942"/>
      <c r="P942"/>
      <c r="Q942"/>
    </row>
    <row r="943" spans="1:17" ht="72" customHeight="1" x14ac:dyDescent="0.25">
      <c r="A943" s="22"/>
      <c r="B943" s="22"/>
      <c r="C943" s="22"/>
      <c r="D943" s="22"/>
      <c r="E943" s="22"/>
      <c r="F943" s="22"/>
      <c r="G943"/>
      <c r="H943"/>
      <c r="I943"/>
      <c r="J943"/>
      <c r="K943"/>
      <c r="L943"/>
      <c r="M943"/>
      <c r="N943"/>
      <c r="O943"/>
      <c r="P943"/>
      <c r="Q943"/>
    </row>
    <row r="944" spans="1:17" ht="72" customHeight="1" x14ac:dyDescent="0.25">
      <c r="A944" s="22"/>
      <c r="B944" s="22"/>
      <c r="C944" s="22"/>
      <c r="D944" s="22"/>
      <c r="E944" s="22"/>
      <c r="F944" s="22"/>
      <c r="G944"/>
      <c r="H944"/>
      <c r="I944"/>
      <c r="J944"/>
      <c r="K944"/>
      <c r="L944"/>
      <c r="M944"/>
      <c r="N944"/>
      <c r="O944"/>
      <c r="P944"/>
      <c r="Q944"/>
    </row>
    <row r="945" spans="1:17" ht="72" customHeight="1" x14ac:dyDescent="0.25">
      <c r="A945" s="22"/>
      <c r="B945" s="22"/>
      <c r="C945" s="22"/>
      <c r="D945" s="22"/>
      <c r="E945" s="22"/>
      <c r="F945" s="22"/>
      <c r="G945"/>
      <c r="H945"/>
      <c r="I945"/>
      <c r="J945"/>
      <c r="K945"/>
      <c r="L945"/>
      <c r="M945"/>
      <c r="N945"/>
      <c r="O945"/>
      <c r="P945"/>
      <c r="Q945"/>
    </row>
    <row r="946" spans="1:17" ht="72" customHeight="1" x14ac:dyDescent="0.25">
      <c r="A946" s="22"/>
      <c r="B946" s="22"/>
      <c r="C946" s="22"/>
      <c r="D946" s="22"/>
      <c r="E946" s="22"/>
      <c r="F946" s="22"/>
      <c r="G946"/>
      <c r="H946"/>
      <c r="I946"/>
      <c r="J946"/>
      <c r="K946"/>
      <c r="L946"/>
      <c r="M946"/>
      <c r="N946"/>
      <c r="O946"/>
      <c r="P946"/>
      <c r="Q946"/>
    </row>
    <row r="947" spans="1:17" ht="72" customHeight="1" x14ac:dyDescent="0.25">
      <c r="A947" s="22"/>
      <c r="B947" s="22"/>
      <c r="C947" s="22"/>
      <c r="D947" s="22"/>
      <c r="E947" s="22"/>
      <c r="F947" s="22"/>
      <c r="G947"/>
      <c r="H947"/>
      <c r="I947"/>
      <c r="J947"/>
      <c r="K947"/>
      <c r="L947"/>
      <c r="M947"/>
      <c r="N947"/>
      <c r="O947"/>
      <c r="P947"/>
      <c r="Q947"/>
    </row>
    <row r="948" spans="1:17" ht="72" customHeight="1" x14ac:dyDescent="0.25">
      <c r="A948" s="22"/>
      <c r="B948" s="22"/>
      <c r="C948" s="22"/>
      <c r="D948" s="22"/>
      <c r="E948" s="22"/>
      <c r="F948" s="22"/>
      <c r="G948"/>
      <c r="H948"/>
      <c r="I948"/>
      <c r="J948"/>
      <c r="K948"/>
      <c r="L948"/>
      <c r="M948"/>
      <c r="N948"/>
      <c r="O948"/>
      <c r="P948"/>
      <c r="Q948"/>
    </row>
    <row r="949" spans="1:17" ht="72" customHeight="1" x14ac:dyDescent="0.25">
      <c r="A949" s="22"/>
      <c r="B949" s="22"/>
      <c r="C949" s="22"/>
      <c r="D949" s="22"/>
      <c r="E949" s="22"/>
      <c r="F949" s="22"/>
      <c r="G949"/>
      <c r="H949"/>
      <c r="I949"/>
      <c r="J949"/>
      <c r="K949"/>
      <c r="L949"/>
      <c r="M949"/>
      <c r="N949"/>
      <c r="O949"/>
      <c r="P949"/>
      <c r="Q949"/>
    </row>
    <row r="950" spans="1:17" ht="72" customHeight="1" x14ac:dyDescent="0.25">
      <c r="A950" s="22"/>
      <c r="B950" s="22"/>
      <c r="C950" s="22"/>
      <c r="D950" s="22"/>
      <c r="E950" s="22"/>
      <c r="F950" s="22"/>
      <c r="G950"/>
      <c r="H950"/>
      <c r="I950"/>
      <c r="J950"/>
      <c r="K950"/>
      <c r="L950"/>
      <c r="M950"/>
      <c r="N950"/>
      <c r="O950"/>
      <c r="P950"/>
      <c r="Q950"/>
    </row>
    <row r="951" spans="1:17" ht="72" customHeight="1" x14ac:dyDescent="0.25">
      <c r="A951" s="22"/>
      <c r="B951" s="22"/>
      <c r="C951" s="22"/>
      <c r="D951" s="22"/>
      <c r="E951" s="22"/>
      <c r="F951" s="22"/>
      <c r="G951"/>
      <c r="H951"/>
      <c r="I951"/>
      <c r="J951"/>
      <c r="K951"/>
      <c r="L951"/>
      <c r="M951"/>
      <c r="N951"/>
      <c r="O951"/>
      <c r="P951"/>
      <c r="Q951"/>
    </row>
    <row r="952" spans="1:17" ht="72" customHeight="1" x14ac:dyDescent="0.25">
      <c r="A952" s="22"/>
      <c r="B952" s="22"/>
      <c r="C952" s="22"/>
      <c r="D952" s="22"/>
      <c r="E952" s="22"/>
      <c r="F952" s="22"/>
      <c r="G952"/>
      <c r="H952"/>
      <c r="I952"/>
      <c r="J952"/>
      <c r="K952"/>
      <c r="L952"/>
      <c r="M952"/>
      <c r="N952"/>
      <c r="O952"/>
      <c r="P952"/>
      <c r="Q952"/>
    </row>
    <row r="953" spans="1:17" ht="72" customHeight="1" x14ac:dyDescent="0.25">
      <c r="A953" s="22"/>
      <c r="B953" s="22"/>
      <c r="C953" s="22"/>
      <c r="D953" s="22"/>
      <c r="E953" s="22"/>
      <c r="F953" s="22"/>
      <c r="G953"/>
      <c r="H953"/>
      <c r="I953"/>
      <c r="J953"/>
      <c r="K953"/>
      <c r="L953"/>
      <c r="M953"/>
      <c r="N953"/>
      <c r="O953"/>
      <c r="P953"/>
      <c r="Q953"/>
    </row>
    <row r="954" spans="1:17" ht="72" customHeight="1" x14ac:dyDescent="0.25">
      <c r="A954" s="22"/>
      <c r="B954" s="22"/>
      <c r="C954" s="22"/>
      <c r="D954" s="22"/>
      <c r="E954" s="22"/>
      <c r="F954" s="22"/>
      <c r="G954"/>
      <c r="H954"/>
      <c r="I954"/>
      <c r="J954"/>
      <c r="K954"/>
      <c r="L954"/>
      <c r="M954"/>
      <c r="N954"/>
      <c r="O954"/>
      <c r="P954"/>
      <c r="Q954"/>
    </row>
    <row r="955" spans="1:17" ht="72" customHeight="1" x14ac:dyDescent="0.25">
      <c r="A955" s="22"/>
      <c r="B955" s="22"/>
      <c r="C955" s="22"/>
      <c r="D955" s="22"/>
      <c r="E955" s="22"/>
      <c r="F955" s="22"/>
      <c r="G955"/>
      <c r="H955"/>
      <c r="I955"/>
      <c r="J955"/>
      <c r="K955"/>
      <c r="L955"/>
      <c r="M955"/>
      <c r="N955"/>
      <c r="O955"/>
      <c r="P955"/>
      <c r="Q955"/>
    </row>
    <row r="956" spans="1:17" ht="72" customHeight="1" x14ac:dyDescent="0.25">
      <c r="A956" s="22"/>
      <c r="B956" s="22"/>
      <c r="C956" s="22"/>
      <c r="D956" s="22"/>
      <c r="E956" s="22"/>
      <c r="F956" s="22"/>
      <c r="G956"/>
      <c r="H956"/>
      <c r="I956"/>
      <c r="J956"/>
      <c r="K956"/>
      <c r="L956"/>
      <c r="M956"/>
      <c r="N956"/>
      <c r="O956"/>
      <c r="P956"/>
      <c r="Q956"/>
    </row>
    <row r="957" spans="1:17" ht="72" customHeight="1" x14ac:dyDescent="0.25">
      <c r="A957" s="22"/>
      <c r="B957" s="22"/>
      <c r="C957" s="22"/>
      <c r="D957" s="22"/>
      <c r="E957" s="22"/>
      <c r="F957" s="22"/>
      <c r="G957"/>
      <c r="H957"/>
      <c r="I957"/>
      <c r="J957"/>
      <c r="K957"/>
      <c r="L957"/>
      <c r="M957"/>
      <c r="N957"/>
      <c r="O957"/>
      <c r="P957"/>
      <c r="Q957"/>
    </row>
    <row r="958" spans="1:17" ht="72" customHeight="1" x14ac:dyDescent="0.25">
      <c r="A958" s="22"/>
      <c r="B958" s="22"/>
      <c r="C958" s="22"/>
      <c r="D958" s="22"/>
      <c r="E958" s="22"/>
      <c r="F958" s="22"/>
      <c r="G958"/>
      <c r="H958"/>
      <c r="I958"/>
      <c r="J958"/>
      <c r="K958"/>
      <c r="L958"/>
      <c r="M958"/>
      <c r="N958"/>
      <c r="O958"/>
      <c r="P958"/>
      <c r="Q958"/>
    </row>
    <row r="959" spans="1:17" ht="72" customHeight="1" x14ac:dyDescent="0.25">
      <c r="A959" s="22"/>
      <c r="B959" s="22"/>
      <c r="C959" s="22"/>
      <c r="D959" s="22"/>
      <c r="E959" s="22"/>
      <c r="F959" s="22"/>
      <c r="G959"/>
      <c r="H959"/>
      <c r="I959"/>
      <c r="J959"/>
      <c r="K959"/>
      <c r="L959"/>
      <c r="M959"/>
      <c r="N959"/>
      <c r="O959"/>
      <c r="P959"/>
      <c r="Q959"/>
    </row>
    <row r="960" spans="1:17" ht="72" customHeight="1" x14ac:dyDescent="0.25">
      <c r="A960" s="22"/>
      <c r="B960" s="22"/>
      <c r="C960" s="22"/>
      <c r="D960" s="22"/>
      <c r="E960" s="22"/>
      <c r="F960" s="22"/>
      <c r="G960"/>
      <c r="H960"/>
      <c r="I960"/>
      <c r="J960"/>
      <c r="K960"/>
      <c r="L960"/>
      <c r="M960"/>
      <c r="N960"/>
      <c r="O960"/>
      <c r="P960"/>
      <c r="Q960"/>
    </row>
    <row r="961" spans="1:17" ht="72" customHeight="1" x14ac:dyDescent="0.25">
      <c r="A961" s="22"/>
      <c r="B961" s="22"/>
      <c r="C961" s="22"/>
      <c r="D961" s="22"/>
      <c r="E961" s="22"/>
      <c r="F961" s="22"/>
      <c r="G961"/>
      <c r="H961"/>
      <c r="I961"/>
      <c r="J961"/>
      <c r="K961"/>
      <c r="L961"/>
      <c r="M961"/>
      <c r="N961"/>
      <c r="O961"/>
      <c r="P961"/>
      <c r="Q961"/>
    </row>
    <row r="962" spans="1:17" ht="72" customHeight="1" x14ac:dyDescent="0.25">
      <c r="A962" s="22"/>
      <c r="B962" s="22"/>
      <c r="C962" s="22"/>
      <c r="D962" s="22"/>
      <c r="E962" s="22"/>
      <c r="F962" s="22"/>
      <c r="G962"/>
      <c r="H962"/>
      <c r="I962"/>
      <c r="J962"/>
      <c r="K962"/>
      <c r="L962"/>
      <c r="M962"/>
      <c r="N962"/>
      <c r="O962"/>
      <c r="P962"/>
      <c r="Q962"/>
    </row>
    <row r="963" spans="1:17" ht="72" customHeight="1" x14ac:dyDescent="0.25">
      <c r="A963" s="22"/>
      <c r="B963" s="22"/>
      <c r="C963" s="22"/>
      <c r="D963" s="22"/>
      <c r="E963" s="22"/>
      <c r="F963" s="22"/>
      <c r="G963"/>
      <c r="H963"/>
      <c r="I963"/>
      <c r="J963"/>
      <c r="K963"/>
      <c r="L963"/>
      <c r="M963"/>
      <c r="N963"/>
      <c r="O963"/>
      <c r="P963"/>
      <c r="Q963"/>
    </row>
    <row r="964" spans="1:17" ht="72" customHeight="1" x14ac:dyDescent="0.25">
      <c r="A964" s="22"/>
      <c r="B964" s="22"/>
      <c r="C964" s="22"/>
      <c r="D964" s="22"/>
      <c r="E964" s="22"/>
      <c r="F964" s="22"/>
      <c r="G964"/>
      <c r="H964"/>
      <c r="I964"/>
      <c r="J964"/>
      <c r="K964"/>
      <c r="L964"/>
      <c r="M964"/>
      <c r="N964"/>
      <c r="O964"/>
      <c r="P964"/>
      <c r="Q964"/>
    </row>
    <row r="965" spans="1:17" ht="72" customHeight="1" x14ac:dyDescent="0.25">
      <c r="A965" s="22"/>
      <c r="B965" s="22"/>
      <c r="C965" s="22"/>
      <c r="D965" s="22"/>
      <c r="E965" s="22"/>
      <c r="F965" s="22"/>
      <c r="G965"/>
      <c r="H965"/>
      <c r="I965"/>
      <c r="J965"/>
      <c r="K965"/>
      <c r="L965"/>
      <c r="M965"/>
      <c r="N965"/>
      <c r="O965"/>
      <c r="P965"/>
      <c r="Q965"/>
    </row>
    <row r="966" spans="1:17" ht="72" customHeight="1" x14ac:dyDescent="0.25">
      <c r="A966" s="22"/>
      <c r="B966" s="22"/>
      <c r="C966" s="22"/>
      <c r="D966" s="22"/>
      <c r="E966" s="22"/>
      <c r="F966" s="22"/>
      <c r="G966"/>
      <c r="H966"/>
      <c r="I966"/>
      <c r="J966"/>
      <c r="K966"/>
      <c r="L966"/>
      <c r="M966"/>
      <c r="N966"/>
      <c r="O966"/>
      <c r="P966"/>
      <c r="Q966"/>
    </row>
    <row r="967" spans="1:17" ht="72" customHeight="1" x14ac:dyDescent="0.25">
      <c r="A967" s="22"/>
      <c r="B967" s="22"/>
      <c r="C967" s="22"/>
      <c r="D967" s="22"/>
      <c r="E967" s="22"/>
      <c r="F967" s="22"/>
      <c r="G967"/>
      <c r="H967"/>
      <c r="I967"/>
      <c r="J967"/>
      <c r="K967"/>
      <c r="L967"/>
      <c r="M967"/>
      <c r="N967"/>
      <c r="O967"/>
      <c r="P967"/>
      <c r="Q967"/>
    </row>
    <row r="968" spans="1:17" ht="72" customHeight="1" x14ac:dyDescent="0.25">
      <c r="A968" s="22"/>
      <c r="B968" s="22"/>
      <c r="C968" s="22"/>
      <c r="D968" s="22"/>
      <c r="E968" s="22"/>
      <c r="F968" s="22"/>
      <c r="G968"/>
      <c r="H968"/>
      <c r="I968"/>
      <c r="J968"/>
      <c r="K968"/>
      <c r="L968"/>
      <c r="M968"/>
      <c r="N968"/>
      <c r="O968"/>
      <c r="P968"/>
      <c r="Q968"/>
    </row>
    <row r="969" spans="1:17" ht="72" customHeight="1" x14ac:dyDescent="0.25">
      <c r="A969" s="22"/>
      <c r="B969" s="22"/>
      <c r="C969" s="22"/>
      <c r="D969" s="22"/>
      <c r="E969" s="22"/>
      <c r="F969" s="22"/>
      <c r="G969"/>
      <c r="H969"/>
      <c r="I969"/>
      <c r="J969"/>
      <c r="K969"/>
      <c r="L969"/>
      <c r="M969"/>
      <c r="N969"/>
      <c r="O969"/>
      <c r="P969"/>
      <c r="Q969"/>
    </row>
    <row r="970" spans="1:17" ht="72" customHeight="1" x14ac:dyDescent="0.25">
      <c r="A970" s="22"/>
      <c r="B970" s="22"/>
      <c r="C970" s="22"/>
      <c r="D970" s="22"/>
      <c r="E970" s="22"/>
      <c r="F970" s="22"/>
      <c r="G970"/>
      <c r="H970"/>
      <c r="I970"/>
      <c r="J970"/>
      <c r="K970"/>
      <c r="L970"/>
      <c r="M970"/>
      <c r="N970"/>
      <c r="O970"/>
      <c r="P970"/>
      <c r="Q970"/>
    </row>
    <row r="971" spans="1:17" ht="72" customHeight="1" x14ac:dyDescent="0.25">
      <c r="A971" s="22"/>
      <c r="B971" s="22"/>
      <c r="C971" s="22"/>
      <c r="D971" s="22"/>
      <c r="E971" s="22"/>
      <c r="F971" s="22"/>
      <c r="G971"/>
      <c r="H971"/>
      <c r="I971"/>
      <c r="J971"/>
      <c r="K971"/>
      <c r="L971"/>
      <c r="M971"/>
      <c r="N971"/>
      <c r="O971"/>
      <c r="P971"/>
      <c r="Q971"/>
    </row>
    <row r="972" spans="1:17" ht="72" customHeight="1" x14ac:dyDescent="0.25">
      <c r="A972" s="22"/>
      <c r="B972" s="22"/>
      <c r="C972" s="22"/>
      <c r="D972" s="22"/>
      <c r="E972" s="22"/>
      <c r="F972" s="22"/>
      <c r="G972"/>
      <c r="H972"/>
      <c r="I972"/>
      <c r="J972"/>
      <c r="K972"/>
      <c r="L972"/>
      <c r="M972"/>
      <c r="N972"/>
      <c r="O972"/>
      <c r="P972"/>
      <c r="Q972"/>
    </row>
    <row r="973" spans="1:17" ht="72" customHeight="1" x14ac:dyDescent="0.25">
      <c r="A973" s="22"/>
      <c r="B973" s="22"/>
      <c r="C973" s="22"/>
      <c r="D973" s="22"/>
      <c r="E973" s="22"/>
      <c r="F973" s="22"/>
      <c r="G973"/>
      <c r="H973"/>
      <c r="I973"/>
      <c r="J973"/>
      <c r="K973"/>
      <c r="L973"/>
      <c r="M973"/>
      <c r="N973"/>
      <c r="O973"/>
      <c r="P973"/>
      <c r="Q973"/>
    </row>
    <row r="974" spans="1:17" ht="72" customHeight="1" x14ac:dyDescent="0.25">
      <c r="A974" s="22"/>
      <c r="B974" s="22"/>
      <c r="C974" s="22"/>
      <c r="D974" s="22"/>
      <c r="E974" s="22"/>
      <c r="F974" s="22"/>
      <c r="G974"/>
      <c r="H974"/>
      <c r="I974"/>
      <c r="J974"/>
      <c r="K974"/>
      <c r="L974"/>
      <c r="M974"/>
      <c r="N974"/>
      <c r="O974"/>
      <c r="P974"/>
      <c r="Q974"/>
    </row>
    <row r="975" spans="1:17" ht="72" customHeight="1" x14ac:dyDescent="0.25">
      <c r="A975" s="22"/>
      <c r="B975" s="22"/>
      <c r="C975" s="22"/>
      <c r="D975" s="22"/>
      <c r="E975" s="22"/>
      <c r="F975" s="22"/>
      <c r="G975"/>
      <c r="H975"/>
      <c r="I975"/>
      <c r="J975"/>
      <c r="K975"/>
      <c r="L975"/>
      <c r="M975"/>
      <c r="N975"/>
      <c r="O975"/>
      <c r="P975"/>
      <c r="Q975"/>
    </row>
    <row r="976" spans="1:17" ht="72" customHeight="1" x14ac:dyDescent="0.25">
      <c r="A976" s="22"/>
      <c r="B976" s="22"/>
      <c r="C976" s="22"/>
      <c r="D976" s="22"/>
      <c r="E976" s="22"/>
      <c r="F976" s="22"/>
      <c r="G976"/>
      <c r="H976"/>
      <c r="I976"/>
      <c r="J976"/>
      <c r="K976"/>
      <c r="L976"/>
      <c r="M976"/>
      <c r="N976"/>
      <c r="O976"/>
      <c r="P976"/>
      <c r="Q976"/>
    </row>
    <row r="977" spans="1:17" ht="72" customHeight="1" x14ac:dyDescent="0.25">
      <c r="A977" s="22"/>
      <c r="B977" s="22"/>
      <c r="C977" s="22"/>
      <c r="D977" s="22"/>
      <c r="E977" s="22"/>
      <c r="F977" s="22"/>
      <c r="G977"/>
      <c r="H977"/>
      <c r="I977"/>
      <c r="J977"/>
      <c r="K977"/>
      <c r="L977"/>
      <c r="M977"/>
      <c r="N977"/>
      <c r="O977"/>
      <c r="P977"/>
      <c r="Q977"/>
    </row>
    <row r="978" spans="1:17" ht="72" customHeight="1" x14ac:dyDescent="0.25">
      <c r="A978" s="22"/>
      <c r="B978" s="22"/>
      <c r="C978" s="22"/>
      <c r="D978" s="22"/>
      <c r="E978" s="22"/>
      <c r="F978" s="22"/>
      <c r="G978"/>
      <c r="H978"/>
      <c r="I978"/>
      <c r="J978"/>
      <c r="K978"/>
      <c r="L978"/>
      <c r="M978"/>
      <c r="N978"/>
      <c r="O978"/>
      <c r="P978"/>
      <c r="Q978"/>
    </row>
    <row r="979" spans="1:17" ht="72" customHeight="1" x14ac:dyDescent="0.25">
      <c r="A979" s="22"/>
      <c r="B979" s="22"/>
      <c r="C979" s="22"/>
      <c r="D979" s="22"/>
      <c r="E979" s="22"/>
      <c r="F979" s="22"/>
      <c r="G979"/>
      <c r="H979"/>
      <c r="I979"/>
      <c r="J979"/>
      <c r="K979"/>
      <c r="L979"/>
      <c r="M979"/>
      <c r="N979"/>
      <c r="O979"/>
      <c r="P979"/>
      <c r="Q979"/>
    </row>
    <row r="980" spans="1:17" ht="72" customHeight="1" x14ac:dyDescent="0.25">
      <c r="A980" s="22"/>
      <c r="B980" s="22"/>
      <c r="C980" s="22"/>
      <c r="D980" s="22"/>
      <c r="E980" s="22"/>
      <c r="F980" s="22"/>
      <c r="G980"/>
      <c r="H980"/>
      <c r="I980"/>
      <c r="J980"/>
      <c r="K980"/>
      <c r="L980"/>
      <c r="M980"/>
      <c r="N980"/>
      <c r="O980"/>
      <c r="P980"/>
      <c r="Q980"/>
    </row>
    <row r="981" spans="1:17" ht="72" customHeight="1" x14ac:dyDescent="0.25">
      <c r="A981" s="22"/>
      <c r="B981" s="22"/>
      <c r="C981" s="22"/>
      <c r="D981" s="22"/>
      <c r="E981" s="22"/>
      <c r="F981" s="22"/>
      <c r="G981"/>
      <c r="H981"/>
      <c r="I981"/>
      <c r="J981"/>
      <c r="K981"/>
      <c r="L981"/>
      <c r="M981"/>
      <c r="N981"/>
      <c r="O981"/>
      <c r="P981"/>
      <c r="Q981"/>
    </row>
    <row r="982" spans="1:17" ht="72" customHeight="1" x14ac:dyDescent="0.25">
      <c r="A982" s="22"/>
      <c r="B982" s="22"/>
      <c r="C982" s="22"/>
      <c r="D982" s="22"/>
      <c r="E982" s="22"/>
      <c r="F982" s="22"/>
      <c r="G982"/>
      <c r="H982"/>
      <c r="I982"/>
      <c r="J982"/>
      <c r="K982"/>
      <c r="L982"/>
      <c r="M982"/>
      <c r="N982"/>
      <c r="O982"/>
      <c r="P982"/>
      <c r="Q982"/>
    </row>
    <row r="983" spans="1:17" ht="72" customHeight="1" x14ac:dyDescent="0.25">
      <c r="A983" s="22"/>
      <c r="B983" s="22"/>
      <c r="C983" s="22"/>
      <c r="D983" s="22"/>
      <c r="E983" s="22"/>
      <c r="F983" s="22"/>
      <c r="G983"/>
      <c r="H983"/>
      <c r="I983"/>
      <c r="J983"/>
      <c r="K983"/>
      <c r="L983"/>
      <c r="M983"/>
      <c r="N983"/>
      <c r="O983"/>
      <c r="P983"/>
      <c r="Q983"/>
    </row>
    <row r="984" spans="1:17" ht="72" customHeight="1" x14ac:dyDescent="0.25">
      <c r="A984" s="22"/>
      <c r="B984" s="22"/>
      <c r="C984" s="22"/>
      <c r="D984" s="22"/>
      <c r="E984" s="22"/>
      <c r="F984" s="22"/>
      <c r="G984"/>
      <c r="H984"/>
      <c r="I984"/>
      <c r="J984"/>
      <c r="K984"/>
      <c r="L984"/>
      <c r="M984"/>
      <c r="N984"/>
      <c r="O984"/>
      <c r="P984"/>
      <c r="Q984"/>
    </row>
    <row r="985" spans="1:17" ht="72" customHeight="1" x14ac:dyDescent="0.25">
      <c r="A985" s="22"/>
      <c r="B985" s="22"/>
      <c r="C985" s="22"/>
      <c r="D985" s="22"/>
      <c r="E985" s="22"/>
      <c r="F985" s="22"/>
      <c r="G985"/>
      <c r="H985"/>
      <c r="I985"/>
      <c r="J985"/>
      <c r="K985"/>
      <c r="L985"/>
      <c r="M985"/>
      <c r="N985"/>
      <c r="O985"/>
      <c r="P985"/>
      <c r="Q985"/>
    </row>
    <row r="986" spans="1:17" ht="72" customHeight="1" x14ac:dyDescent="0.25">
      <c r="A986" s="22"/>
      <c r="B986" s="22"/>
      <c r="C986" s="22"/>
      <c r="D986" s="22"/>
      <c r="E986" s="22"/>
      <c r="F986" s="22"/>
      <c r="G986"/>
      <c r="H986"/>
      <c r="I986"/>
      <c r="J986"/>
      <c r="K986"/>
      <c r="L986"/>
      <c r="M986"/>
      <c r="N986"/>
      <c r="O986"/>
      <c r="P986"/>
      <c r="Q986"/>
    </row>
    <row r="987" spans="1:17" ht="72" customHeight="1" x14ac:dyDescent="0.25">
      <c r="A987" s="22"/>
      <c r="B987" s="22"/>
      <c r="C987" s="22"/>
      <c r="D987" s="22"/>
      <c r="E987" s="22"/>
      <c r="F987" s="22"/>
      <c r="G987"/>
      <c r="H987"/>
      <c r="I987"/>
      <c r="J987"/>
      <c r="K987"/>
      <c r="L987"/>
      <c r="M987"/>
      <c r="N987"/>
      <c r="O987"/>
      <c r="P987"/>
      <c r="Q987"/>
    </row>
    <row r="988" spans="1:17" ht="72" customHeight="1" x14ac:dyDescent="0.25">
      <c r="A988" s="22"/>
      <c r="B988" s="22"/>
      <c r="C988" s="22"/>
      <c r="D988" s="22"/>
      <c r="E988" s="22"/>
      <c r="F988" s="22"/>
      <c r="G988"/>
      <c r="H988"/>
      <c r="I988"/>
      <c r="J988"/>
      <c r="K988"/>
      <c r="L988"/>
      <c r="M988"/>
      <c r="N988"/>
      <c r="O988"/>
      <c r="P988"/>
      <c r="Q988"/>
    </row>
    <row r="989" spans="1:17" ht="72" customHeight="1" x14ac:dyDescent="0.25">
      <c r="A989" s="22"/>
      <c r="B989" s="22"/>
      <c r="C989" s="22"/>
      <c r="D989" s="22"/>
      <c r="E989" s="22"/>
      <c r="F989" s="22"/>
      <c r="G989"/>
      <c r="H989"/>
      <c r="I989"/>
      <c r="J989"/>
      <c r="K989"/>
      <c r="L989"/>
      <c r="M989"/>
      <c r="N989"/>
      <c r="O989"/>
      <c r="P989"/>
      <c r="Q989"/>
    </row>
    <row r="990" spans="1:17" ht="72" customHeight="1" x14ac:dyDescent="0.25">
      <c r="A990" s="22"/>
      <c r="B990" s="22"/>
      <c r="C990" s="22"/>
      <c r="D990" s="22"/>
      <c r="E990" s="22"/>
      <c r="F990" s="22"/>
      <c r="G990"/>
      <c r="H990"/>
      <c r="I990"/>
      <c r="J990"/>
      <c r="K990"/>
      <c r="L990"/>
      <c r="M990"/>
      <c r="N990"/>
      <c r="O990"/>
      <c r="P990"/>
      <c r="Q990"/>
    </row>
    <row r="991" spans="1:17" ht="72" customHeight="1" x14ac:dyDescent="0.25">
      <c r="A991" s="22"/>
      <c r="B991" s="22"/>
      <c r="C991" s="22"/>
      <c r="D991" s="22"/>
      <c r="E991" s="22"/>
      <c r="F991" s="22"/>
      <c r="G991"/>
      <c r="H991"/>
      <c r="I991"/>
      <c r="J991"/>
      <c r="K991"/>
      <c r="L991"/>
      <c r="M991"/>
      <c r="N991"/>
      <c r="O991"/>
      <c r="P991"/>
      <c r="Q991"/>
    </row>
    <row r="992" spans="1:17" ht="72" customHeight="1" x14ac:dyDescent="0.25">
      <c r="A992" s="22"/>
      <c r="B992" s="22"/>
      <c r="C992" s="22"/>
      <c r="D992" s="22"/>
      <c r="E992" s="22"/>
      <c r="F992" s="22"/>
      <c r="G992"/>
      <c r="H992"/>
      <c r="I992"/>
      <c r="J992"/>
      <c r="K992"/>
      <c r="L992"/>
      <c r="M992"/>
      <c r="N992"/>
      <c r="O992"/>
      <c r="P992"/>
      <c r="Q992"/>
    </row>
    <row r="993" spans="1:17" ht="72" customHeight="1" x14ac:dyDescent="0.25">
      <c r="A993" s="22"/>
      <c r="B993" s="22"/>
      <c r="C993" s="22"/>
      <c r="D993" s="22"/>
      <c r="E993" s="22"/>
      <c r="F993" s="22"/>
      <c r="G993"/>
      <c r="H993"/>
      <c r="I993"/>
      <c r="J993"/>
      <c r="K993"/>
      <c r="L993"/>
      <c r="M993"/>
      <c r="N993"/>
      <c r="O993"/>
      <c r="P993"/>
      <c r="Q993"/>
    </row>
    <row r="994" spans="1:17" ht="72" customHeight="1" x14ac:dyDescent="0.25">
      <c r="A994" s="22"/>
      <c r="B994" s="22"/>
      <c r="C994" s="22"/>
      <c r="D994" s="22"/>
      <c r="E994" s="22"/>
      <c r="F994" s="22"/>
      <c r="G994"/>
      <c r="H994"/>
      <c r="I994"/>
      <c r="J994"/>
      <c r="K994"/>
      <c r="L994"/>
      <c r="M994"/>
      <c r="N994"/>
      <c r="O994"/>
      <c r="P994"/>
      <c r="Q994"/>
    </row>
    <row r="995" spans="1:17" ht="72" customHeight="1" x14ac:dyDescent="0.25">
      <c r="A995" s="22"/>
      <c r="B995" s="22"/>
      <c r="C995" s="22"/>
      <c r="D995" s="22"/>
      <c r="E995" s="22"/>
      <c r="F995" s="22"/>
      <c r="G995"/>
      <c r="H995"/>
      <c r="I995"/>
      <c r="J995"/>
      <c r="K995"/>
      <c r="L995"/>
      <c r="M995"/>
      <c r="N995"/>
      <c r="O995"/>
      <c r="P995"/>
      <c r="Q995"/>
    </row>
    <row r="996" spans="1:17" ht="72" customHeight="1" x14ac:dyDescent="0.25">
      <c r="A996" s="22"/>
      <c r="B996" s="22"/>
      <c r="C996" s="22"/>
      <c r="D996" s="22"/>
      <c r="E996" s="22"/>
      <c r="F996" s="22"/>
      <c r="G996"/>
      <c r="H996"/>
      <c r="I996"/>
      <c r="J996"/>
      <c r="K996"/>
      <c r="L996"/>
      <c r="M996"/>
      <c r="N996"/>
      <c r="O996"/>
      <c r="P996"/>
      <c r="Q996"/>
    </row>
    <row r="997" spans="1:17" ht="72" customHeight="1" x14ac:dyDescent="0.25">
      <c r="A997" s="22"/>
      <c r="B997" s="22"/>
      <c r="C997" s="22"/>
      <c r="D997" s="22"/>
      <c r="E997" s="22"/>
      <c r="F997" s="22"/>
      <c r="G997"/>
      <c r="H997"/>
      <c r="I997"/>
      <c r="J997"/>
      <c r="K997"/>
      <c r="L997"/>
      <c r="M997"/>
      <c r="N997"/>
      <c r="O997"/>
      <c r="P997"/>
      <c r="Q997"/>
    </row>
    <row r="998" spans="1:17" ht="72" customHeight="1" x14ac:dyDescent="0.25">
      <c r="A998" s="22"/>
      <c r="B998" s="22"/>
      <c r="C998" s="22"/>
      <c r="D998" s="22"/>
      <c r="E998" s="22"/>
      <c r="F998" s="22"/>
      <c r="G998"/>
      <c r="H998"/>
      <c r="I998"/>
      <c r="J998"/>
      <c r="K998"/>
      <c r="L998"/>
      <c r="M998"/>
      <c r="N998"/>
      <c r="O998"/>
      <c r="P998"/>
      <c r="Q998"/>
    </row>
    <row r="999" spans="1:17" ht="72" customHeight="1" thickBot="1" x14ac:dyDescent="0.3">
      <c r="A999" s="22"/>
      <c r="B999" s="22"/>
      <c r="C999" s="22"/>
      <c r="D999" s="22"/>
      <c r="E999" s="22"/>
      <c r="F999" s="22"/>
      <c r="G999"/>
      <c r="H999"/>
      <c r="I999"/>
      <c r="J999"/>
      <c r="K999"/>
      <c r="L999"/>
      <c r="M999"/>
      <c r="N999"/>
      <c r="O999"/>
      <c r="P999"/>
      <c r="Q999"/>
    </row>
    <row r="1000" spans="1:17" ht="72" customHeight="1" x14ac:dyDescent="0.2"/>
  </sheetData>
  <mergeCells count="5">
    <mergeCell ref="A3:Q3"/>
    <mergeCell ref="A4:F4"/>
    <mergeCell ref="H4:J4"/>
    <mergeCell ref="L4:N4"/>
    <mergeCell ref="O4:P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'Data Validation'!$A$2:$A$13</xm:f>
          </x14:formula1>
          <xm:sqref>K1:K3 K5:K1048576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200"/>
  <sheetViews>
    <sheetView showGridLines="0" zoomScaleNormal="100" workbookViewId="0">
      <selection activeCell="J15" sqref="J15:M21"/>
    </sheetView>
  </sheetViews>
  <sheetFormatPr defaultRowHeight="15" x14ac:dyDescent="0.25"/>
  <cols>
    <col min="2" max="2" width="22" customWidth="1"/>
    <col min="3" max="3" width="20.28515625" customWidth="1"/>
    <col min="5" max="5" width="7.5703125" customWidth="1"/>
    <col min="6" max="6" width="8.140625" customWidth="1"/>
    <col min="7" max="7" width="11" customWidth="1"/>
    <col min="8" max="8" width="10.7109375" customWidth="1"/>
    <col min="9" max="9" width="13.5703125" customWidth="1"/>
    <col min="10" max="10" width="13" customWidth="1"/>
    <col min="11" max="11" width="18.85546875" customWidth="1"/>
    <col min="12" max="12" width="22.42578125" customWidth="1"/>
    <col min="13" max="13" width="10.5703125" customWidth="1"/>
  </cols>
  <sheetData>
    <row r="1" spans="1:16" ht="42.75" customHeight="1" x14ac:dyDescent="0.55000000000000004">
      <c r="B1" s="74" t="s">
        <v>252</v>
      </c>
      <c r="N1" s="1"/>
    </row>
    <row r="2" spans="1:16" s="1" customFormat="1" ht="6.75" customHeight="1" x14ac:dyDescent="0.25">
      <c r="A2" s="57"/>
      <c r="B2" s="57"/>
      <c r="C2" s="57"/>
      <c r="D2" s="57"/>
      <c r="E2" s="57"/>
      <c r="F2" s="57"/>
      <c r="G2" s="57"/>
      <c r="H2" s="57"/>
      <c r="I2" s="57"/>
      <c r="J2" s="57"/>
      <c r="K2" s="57"/>
      <c r="L2" s="57"/>
      <c r="M2" s="57"/>
      <c r="N2" s="57"/>
      <c r="O2" s="57"/>
      <c r="P2" s="57"/>
    </row>
    <row r="3" spans="1:16" s="1" customFormat="1" ht="7.5" customHeight="1" x14ac:dyDescent="0.25">
      <c r="L3" s="32"/>
      <c r="M3" s="32"/>
      <c r="N3" s="32"/>
    </row>
    <row r="4" spans="1:16" ht="21" x14ac:dyDescent="0.35">
      <c r="B4" s="58" t="s">
        <v>218</v>
      </c>
      <c r="C4" s="59">
        <v>9726394</v>
      </c>
      <c r="D4" s="77"/>
      <c r="E4" s="45"/>
      <c r="F4" s="45"/>
      <c r="G4" s="45"/>
      <c r="H4" s="45"/>
      <c r="I4" s="120" t="s">
        <v>244</v>
      </c>
      <c r="J4" s="121"/>
      <c r="K4" s="65">
        <v>1</v>
      </c>
      <c r="L4" s="66"/>
      <c r="M4" s="47"/>
      <c r="N4" s="47"/>
      <c r="O4" s="45"/>
      <c r="P4" s="45"/>
    </row>
    <row r="5" spans="1:16" ht="15.75" customHeight="1" x14ac:dyDescent="0.25">
      <c r="B5" s="45" t="s">
        <v>245</v>
      </c>
      <c r="C5" s="60">
        <v>6900882</v>
      </c>
      <c r="D5" s="77"/>
      <c r="E5" s="45"/>
      <c r="F5" s="45"/>
      <c r="G5" s="45"/>
      <c r="H5" s="45"/>
      <c r="I5" s="124" t="s">
        <v>64</v>
      </c>
      <c r="J5" s="124"/>
      <c r="K5" s="70" t="s">
        <v>89</v>
      </c>
      <c r="L5" s="71"/>
      <c r="M5" s="78"/>
      <c r="N5" s="47"/>
      <c r="O5" s="45"/>
      <c r="P5" s="45"/>
    </row>
    <row r="6" spans="1:16" ht="15.75" x14ac:dyDescent="0.25">
      <c r="B6" s="45" t="s">
        <v>219</v>
      </c>
      <c r="C6" s="60">
        <v>1920709</v>
      </c>
      <c r="D6" s="77"/>
      <c r="E6" s="45"/>
      <c r="F6" s="45"/>
      <c r="G6" s="45"/>
      <c r="H6" s="45"/>
      <c r="I6" s="124" t="s">
        <v>231</v>
      </c>
      <c r="J6" s="124"/>
      <c r="K6" s="70" t="s">
        <v>216</v>
      </c>
      <c r="L6" s="71"/>
      <c r="M6" s="78"/>
      <c r="N6" s="47"/>
      <c r="O6" s="45"/>
      <c r="P6" s="45"/>
    </row>
    <row r="7" spans="1:16" ht="15.75" x14ac:dyDescent="0.25">
      <c r="B7" s="45"/>
      <c r="C7" s="45"/>
      <c r="D7" s="77"/>
      <c r="E7" s="45"/>
      <c r="F7" s="45"/>
      <c r="G7" s="45"/>
      <c r="H7" s="45"/>
      <c r="I7" s="124" t="s">
        <v>232</v>
      </c>
      <c r="J7" s="124"/>
      <c r="K7" s="67" t="s">
        <v>90</v>
      </c>
      <c r="L7" s="68"/>
      <c r="M7" s="78"/>
      <c r="N7" s="47"/>
      <c r="O7" s="45"/>
      <c r="P7" s="45"/>
    </row>
    <row r="8" spans="1:16" ht="15.75" customHeight="1" x14ac:dyDescent="0.25">
      <c r="B8" s="45" t="s">
        <v>220</v>
      </c>
      <c r="C8" s="61">
        <v>42566</v>
      </c>
      <c r="D8" s="77"/>
      <c r="E8" s="45"/>
      <c r="F8" s="45"/>
      <c r="G8" s="45"/>
      <c r="H8" s="45"/>
      <c r="I8" s="124" t="s">
        <v>233</v>
      </c>
      <c r="J8" s="124"/>
      <c r="K8" s="67">
        <v>1224483</v>
      </c>
      <c r="L8" s="68"/>
      <c r="M8" s="78"/>
      <c r="N8" s="47"/>
      <c r="O8" s="45"/>
      <c r="P8" s="45"/>
    </row>
    <row r="9" spans="1:16" ht="15.75" customHeight="1" x14ac:dyDescent="0.25">
      <c r="B9" s="45" t="s">
        <v>221</v>
      </c>
      <c r="C9" s="60"/>
      <c r="D9" s="77"/>
      <c r="E9" s="45"/>
      <c r="F9" s="45"/>
      <c r="G9" s="45"/>
      <c r="H9" s="45"/>
      <c r="I9" s="124" t="s">
        <v>234</v>
      </c>
      <c r="J9" s="124"/>
      <c r="K9" s="67" t="s">
        <v>41</v>
      </c>
      <c r="L9" s="68"/>
      <c r="M9" s="78"/>
      <c r="N9" s="47"/>
      <c r="O9" s="45"/>
      <c r="P9" s="45"/>
    </row>
    <row r="10" spans="1:16" ht="15.75" customHeight="1" x14ac:dyDescent="0.25">
      <c r="B10" s="45" t="s">
        <v>54</v>
      </c>
      <c r="C10" s="61">
        <v>42626.460659722223</v>
      </c>
      <c r="D10" s="77"/>
      <c r="E10" s="45"/>
      <c r="F10" s="45"/>
      <c r="G10" s="45"/>
      <c r="H10" s="45"/>
      <c r="I10" s="124" t="s">
        <v>235</v>
      </c>
      <c r="J10" s="124"/>
      <c r="K10" s="67"/>
      <c r="L10" s="68"/>
      <c r="M10" s="78"/>
      <c r="N10" s="47"/>
      <c r="O10" s="45"/>
      <c r="P10" s="45"/>
    </row>
    <row r="11" spans="1:16" ht="15.75" x14ac:dyDescent="0.25">
      <c r="B11" s="45" t="s">
        <v>9</v>
      </c>
      <c r="C11" s="60" t="s">
        <v>251</v>
      </c>
      <c r="D11" s="77"/>
      <c r="E11" s="45"/>
      <c r="F11" s="45"/>
      <c r="G11" s="45"/>
      <c r="H11" s="45"/>
      <c r="I11" s="124" t="s">
        <v>236</v>
      </c>
      <c r="J11" s="124"/>
      <c r="K11" s="72"/>
      <c r="L11" s="69"/>
      <c r="M11" s="79"/>
      <c r="N11" s="48"/>
      <c r="O11" s="45"/>
      <c r="P11" s="45"/>
    </row>
    <row r="12" spans="1:16" ht="6" customHeight="1" x14ac:dyDescent="0.25">
      <c r="B12" s="45"/>
      <c r="C12" s="45"/>
      <c r="D12" s="45"/>
      <c r="E12" s="45"/>
      <c r="F12" s="45"/>
      <c r="G12" s="45"/>
      <c r="H12" s="45"/>
      <c r="I12" s="45"/>
      <c r="J12" s="45"/>
      <c r="K12" s="45"/>
      <c r="L12" s="45"/>
      <c r="M12" s="45"/>
      <c r="N12" s="45"/>
      <c r="O12" s="45"/>
      <c r="P12" s="45"/>
    </row>
    <row r="13" spans="1:16" ht="21" x14ac:dyDescent="0.35">
      <c r="B13" s="73" t="s">
        <v>222</v>
      </c>
      <c r="C13" s="45"/>
      <c r="D13" s="45"/>
      <c r="E13" s="45"/>
      <c r="F13" s="45"/>
      <c r="G13" s="45"/>
      <c r="H13" s="45"/>
      <c r="I13" s="48"/>
      <c r="J13" s="32"/>
      <c r="K13" s="47"/>
      <c r="L13" s="47"/>
      <c r="M13" s="48"/>
      <c r="N13" s="48"/>
      <c r="O13" s="45"/>
      <c r="P13" s="45"/>
    </row>
    <row r="14" spans="1:16" ht="15.75" x14ac:dyDescent="0.25">
      <c r="B14" s="45" t="s">
        <v>223</v>
      </c>
      <c r="C14" s="62">
        <v>5037777</v>
      </c>
      <c r="D14" s="50"/>
      <c r="E14" s="50"/>
      <c r="F14" s="50"/>
      <c r="G14" s="51"/>
      <c r="H14" s="77" t="s">
        <v>246</v>
      </c>
      <c r="I14" s="48" t="s">
        <v>205</v>
      </c>
      <c r="J14" s="122" t="s">
        <v>318</v>
      </c>
      <c r="K14" s="123"/>
      <c r="L14" s="75"/>
      <c r="M14" s="75"/>
      <c r="N14" s="47"/>
      <c r="O14" s="45"/>
      <c r="P14" s="45"/>
    </row>
    <row r="15" spans="1:16" ht="15.75" x14ac:dyDescent="0.25">
      <c r="B15" s="45" t="s">
        <v>224</v>
      </c>
      <c r="C15" s="63" t="s">
        <v>39</v>
      </c>
      <c r="D15" s="47"/>
      <c r="E15" s="47"/>
      <c r="F15" s="47"/>
      <c r="G15" s="52"/>
      <c r="H15" s="77"/>
      <c r="I15" s="47" t="s">
        <v>7</v>
      </c>
      <c r="J15" s="111"/>
      <c r="K15" s="112"/>
      <c r="L15" s="112"/>
      <c r="M15" s="113"/>
      <c r="N15" s="47"/>
      <c r="O15" s="45"/>
      <c r="P15" s="45"/>
    </row>
    <row r="16" spans="1:16" ht="15.75" x14ac:dyDescent="0.25">
      <c r="B16" s="45" t="s">
        <v>225</v>
      </c>
      <c r="C16" s="63">
        <v>167891</v>
      </c>
      <c r="D16" s="47"/>
      <c r="E16" s="47"/>
      <c r="F16" s="47"/>
      <c r="G16" s="52"/>
      <c r="H16" s="77" t="s">
        <v>247</v>
      </c>
      <c r="I16" s="47"/>
      <c r="J16" s="114"/>
      <c r="K16" s="115"/>
      <c r="L16" s="115"/>
      <c r="M16" s="116"/>
      <c r="N16" s="47"/>
      <c r="O16" s="45"/>
      <c r="P16" s="45"/>
    </row>
    <row r="17" spans="2:16" ht="15.75" x14ac:dyDescent="0.25">
      <c r="B17" s="45" t="s">
        <v>226</v>
      </c>
      <c r="C17" s="63" t="s">
        <v>27</v>
      </c>
      <c r="D17" s="47"/>
      <c r="E17" s="47"/>
      <c r="F17" s="47"/>
      <c r="G17" s="52"/>
      <c r="H17" s="77" t="s">
        <v>248</v>
      </c>
      <c r="I17" s="47"/>
      <c r="J17" s="114"/>
      <c r="K17" s="115"/>
      <c r="L17" s="115"/>
      <c r="M17" s="116"/>
      <c r="N17" s="47"/>
      <c r="O17" s="45"/>
      <c r="P17" s="45"/>
    </row>
    <row r="18" spans="2:16" ht="15.75" x14ac:dyDescent="0.25">
      <c r="B18" s="45" t="s">
        <v>227</v>
      </c>
      <c r="C18" s="63" t="s">
        <v>40</v>
      </c>
      <c r="D18" s="47"/>
      <c r="E18" s="47"/>
      <c r="F18" s="47"/>
      <c r="G18" s="52"/>
      <c r="H18" s="77" t="s">
        <v>249</v>
      </c>
      <c r="I18" s="47"/>
      <c r="J18" s="114"/>
      <c r="K18" s="115"/>
      <c r="L18" s="115"/>
      <c r="M18" s="116"/>
      <c r="N18" s="47"/>
      <c r="O18" s="45"/>
      <c r="P18" s="45"/>
    </row>
    <row r="19" spans="2:16" ht="22.5" customHeight="1" x14ac:dyDescent="0.25">
      <c r="B19" s="45" t="s">
        <v>228</v>
      </c>
      <c r="C19" s="64" t="s">
        <v>346</v>
      </c>
      <c r="D19" s="53"/>
      <c r="E19" s="53"/>
      <c r="F19" s="53"/>
      <c r="G19" s="54"/>
      <c r="H19" s="77" t="s">
        <v>250</v>
      </c>
      <c r="I19" s="47"/>
      <c r="J19" s="114"/>
      <c r="K19" s="115"/>
      <c r="L19" s="115"/>
      <c r="M19" s="116"/>
      <c r="N19" s="47"/>
      <c r="O19" s="45"/>
      <c r="P19" s="45"/>
    </row>
    <row r="20" spans="2:16" s="1" customFormat="1" ht="22.5" customHeight="1" x14ac:dyDescent="0.25">
      <c r="B20" s="45"/>
      <c r="C20" s="49"/>
      <c r="D20" s="49"/>
      <c r="E20" s="49"/>
      <c r="F20" s="49"/>
      <c r="G20" s="49"/>
      <c r="H20" s="77"/>
      <c r="I20" s="49"/>
      <c r="J20" s="114"/>
      <c r="K20" s="115"/>
      <c r="L20" s="115"/>
      <c r="M20" s="116"/>
      <c r="N20" s="49"/>
      <c r="O20" s="45"/>
      <c r="P20" s="45"/>
    </row>
    <row r="21" spans="2:16" s="1" customFormat="1" ht="80.25" customHeight="1" x14ac:dyDescent="0.25">
      <c r="B21" s="55" t="s">
        <v>229</v>
      </c>
      <c r="C21" s="108" t="s">
        <v>25</v>
      </c>
      <c r="D21" s="109"/>
      <c r="E21" s="109"/>
      <c r="F21" s="109"/>
      <c r="G21" s="110"/>
      <c r="H21" s="45"/>
      <c r="I21" s="49"/>
      <c r="J21" s="117"/>
      <c r="K21" s="118"/>
      <c r="L21" s="118"/>
      <c r="M21" s="119"/>
      <c r="N21" s="49"/>
      <c r="O21" s="45"/>
      <c r="P21" s="45"/>
    </row>
    <row r="22" spans="2:16" s="1" customFormat="1" ht="6" customHeight="1" x14ac:dyDescent="0.25">
      <c r="B22" s="45"/>
      <c r="C22" s="49"/>
      <c r="D22" s="49"/>
      <c r="E22" s="49"/>
      <c r="F22" s="49"/>
      <c r="G22" s="49"/>
      <c r="H22" s="45"/>
      <c r="I22" s="49"/>
      <c r="J22" s="49"/>
      <c r="K22" s="49"/>
      <c r="L22" s="49"/>
      <c r="M22" s="49"/>
      <c r="N22" s="49"/>
      <c r="O22" s="45"/>
      <c r="P22" s="45"/>
    </row>
    <row r="23" spans="2:16" ht="5.25" customHeight="1" x14ac:dyDescent="0.25">
      <c r="B23" s="56"/>
      <c r="C23" s="56"/>
      <c r="D23" s="56"/>
      <c r="E23" s="56"/>
      <c r="F23" s="56"/>
      <c r="G23" s="56"/>
      <c r="H23" s="56"/>
      <c r="I23" s="56"/>
      <c r="J23" s="56"/>
      <c r="K23" s="56"/>
      <c r="L23" s="56"/>
      <c r="M23" s="56"/>
      <c r="N23" s="45"/>
      <c r="O23" s="45"/>
      <c r="P23" s="45"/>
    </row>
    <row r="24" spans="2:16" ht="21" x14ac:dyDescent="0.35">
      <c r="B24" s="73" t="s">
        <v>230</v>
      </c>
      <c r="C24" s="45"/>
      <c r="D24" s="45"/>
      <c r="E24" s="45"/>
      <c r="F24" s="45"/>
      <c r="G24" s="45"/>
      <c r="H24" s="45"/>
      <c r="I24" s="45"/>
      <c r="J24" s="45"/>
      <c r="K24" s="45"/>
      <c r="L24" s="45"/>
      <c r="M24" s="45"/>
      <c r="N24" s="45"/>
      <c r="O24" s="45"/>
      <c r="P24" s="45"/>
    </row>
    <row r="25" spans="2:16" ht="31.5" x14ac:dyDescent="0.25">
      <c r="B25" s="76" t="s">
        <v>237</v>
      </c>
      <c r="C25" s="76" t="s">
        <v>238</v>
      </c>
      <c r="D25" s="76" t="s">
        <v>239</v>
      </c>
      <c r="E25" s="76" t="s">
        <v>240</v>
      </c>
      <c r="F25" s="76" t="s">
        <v>63</v>
      </c>
      <c r="G25" s="76" t="s">
        <v>241</v>
      </c>
      <c r="H25" s="76" t="s">
        <v>242</v>
      </c>
      <c r="I25" s="76" t="s">
        <v>94</v>
      </c>
      <c r="J25" s="76" t="s">
        <v>243</v>
      </c>
      <c r="K25" s="76" t="s">
        <v>29</v>
      </c>
      <c r="L25" s="76" t="s">
        <v>28</v>
      </c>
      <c r="M25" s="76" t="s">
        <v>30</v>
      </c>
    </row>
    <row r="26" spans="2:16" ht="15.75" x14ac:dyDescent="0.25">
      <c r="B26" s="46" t="s">
        <v>32</v>
      </c>
      <c r="C26" s="46" t="s">
        <v>92</v>
      </c>
      <c r="D26" s="46">
        <v>2.1</v>
      </c>
      <c r="E26" s="46">
        <v>5</v>
      </c>
      <c r="F26" s="46">
        <v>5</v>
      </c>
      <c r="G26" s="46">
        <v>1360</v>
      </c>
      <c r="H26" s="46">
        <v>1360</v>
      </c>
      <c r="I26" s="46" t="s">
        <v>33</v>
      </c>
      <c r="J26" s="46" t="s">
        <v>31</v>
      </c>
      <c r="K26" s="46" t="s">
        <v>35</v>
      </c>
      <c r="L26" s="46" t="s">
        <v>34</v>
      </c>
      <c r="M26" s="46" t="s">
        <v>33</v>
      </c>
      <c r="N26" s="48"/>
      <c r="O26" s="48"/>
      <c r="P26" s="45"/>
    </row>
    <row r="27" spans="2:16" x14ac:dyDescent="0.25">
      <c r="B27" s="32"/>
      <c r="C27" s="32"/>
      <c r="D27" s="32"/>
      <c r="E27" s="32"/>
      <c r="F27" s="32"/>
      <c r="G27" s="32"/>
      <c r="H27" s="32"/>
      <c r="I27" s="32"/>
      <c r="J27" s="32"/>
      <c r="K27" s="32"/>
      <c r="L27" s="32"/>
      <c r="M27" s="32"/>
      <c r="N27" s="32"/>
      <c r="O27" s="32"/>
    </row>
    <row r="28" spans="2:16" x14ac:dyDescent="0.25">
      <c r="B28" s="32"/>
      <c r="C28" s="32"/>
      <c r="D28" s="32"/>
      <c r="E28" s="32"/>
      <c r="F28" s="32"/>
      <c r="G28" s="32"/>
      <c r="H28" s="32"/>
      <c r="I28" s="32"/>
      <c r="J28" s="32"/>
      <c r="K28" s="32"/>
      <c r="L28" s="32"/>
      <c r="M28" s="32"/>
      <c r="N28" s="32"/>
      <c r="O28" s="32"/>
    </row>
    <row r="29" spans="2:16" x14ac:dyDescent="0.25">
      <c r="B29" s="32"/>
      <c r="C29" s="32"/>
      <c r="D29" s="32"/>
      <c r="E29" s="32"/>
      <c r="F29" s="32"/>
      <c r="G29" s="32"/>
      <c r="H29" s="32"/>
      <c r="I29" s="32"/>
      <c r="J29" s="32"/>
      <c r="K29" s="32"/>
      <c r="L29" s="32"/>
      <c r="M29" s="32"/>
      <c r="N29" s="32"/>
      <c r="O29" s="32"/>
    </row>
    <row r="30" spans="2:16" x14ac:dyDescent="0.25">
      <c r="B30" s="32"/>
      <c r="C30" s="32"/>
      <c r="D30" s="32"/>
      <c r="E30" s="32"/>
      <c r="F30" s="32"/>
      <c r="G30" s="32"/>
      <c r="H30" s="32"/>
      <c r="I30" s="32"/>
      <c r="J30" s="32"/>
      <c r="K30" s="32"/>
      <c r="L30" s="32"/>
      <c r="M30" s="32"/>
      <c r="N30" s="32"/>
      <c r="O30" s="32"/>
    </row>
    <row r="31" spans="2:16" x14ac:dyDescent="0.25">
      <c r="B31" s="32"/>
      <c r="C31" s="32"/>
      <c r="D31" s="32"/>
      <c r="E31" s="32"/>
      <c r="F31" s="32"/>
      <c r="G31" s="32"/>
      <c r="H31" s="32"/>
      <c r="I31" s="32"/>
      <c r="J31" s="32"/>
      <c r="K31" s="32"/>
      <c r="L31" s="32"/>
      <c r="M31" s="32"/>
      <c r="N31" s="32"/>
      <c r="O31" s="32"/>
    </row>
    <row r="32" spans="2:16" x14ac:dyDescent="0.25">
      <c r="B32" s="32"/>
      <c r="C32" s="32"/>
      <c r="D32" s="32"/>
      <c r="E32" s="32"/>
      <c r="F32" s="32"/>
      <c r="G32" s="32"/>
      <c r="H32" s="32"/>
      <c r="I32" s="32"/>
      <c r="J32" s="32"/>
      <c r="K32" s="32"/>
      <c r="L32" s="32"/>
      <c r="M32" s="32"/>
      <c r="N32" s="32"/>
      <c r="O32" s="32"/>
    </row>
    <row r="33" spans="2:15" x14ac:dyDescent="0.25">
      <c r="B33" s="32"/>
      <c r="C33" s="32"/>
      <c r="D33" s="32"/>
      <c r="E33" s="32"/>
      <c r="F33" s="32"/>
      <c r="G33" s="32"/>
      <c r="H33" s="32"/>
      <c r="I33" s="32"/>
      <c r="J33" s="32"/>
      <c r="K33" s="32"/>
      <c r="L33" s="32"/>
      <c r="M33" s="32"/>
      <c r="N33" s="32"/>
      <c r="O33" s="32"/>
    </row>
    <row r="34" spans="2:15" x14ac:dyDescent="0.25">
      <c r="B34" s="32"/>
      <c r="C34" s="32"/>
      <c r="D34" s="32"/>
      <c r="E34" s="32"/>
      <c r="F34" s="32"/>
      <c r="G34" s="32"/>
      <c r="H34" s="32"/>
      <c r="I34" s="32"/>
      <c r="J34" s="32"/>
      <c r="K34" s="32"/>
      <c r="L34" s="32"/>
      <c r="M34" s="32"/>
      <c r="N34" s="32"/>
      <c r="O34" s="32"/>
    </row>
    <row r="35" spans="2:15" x14ac:dyDescent="0.25">
      <c r="B35" s="32"/>
      <c r="C35" s="32"/>
      <c r="D35" s="32"/>
      <c r="E35" s="32"/>
      <c r="F35" s="32"/>
      <c r="G35" s="32"/>
      <c r="H35" s="32"/>
      <c r="I35" s="32"/>
      <c r="J35" s="32"/>
      <c r="K35" s="32"/>
      <c r="L35" s="32"/>
      <c r="M35" s="32"/>
      <c r="N35" s="32"/>
      <c r="O35" s="32"/>
    </row>
    <row r="36" spans="2:15" x14ac:dyDescent="0.25">
      <c r="B36" s="32"/>
      <c r="C36" s="32"/>
      <c r="D36" s="32"/>
      <c r="E36" s="32"/>
      <c r="F36" s="32"/>
      <c r="G36" s="32"/>
      <c r="H36" s="32"/>
      <c r="I36" s="32"/>
      <c r="J36" s="32"/>
      <c r="K36" s="32"/>
      <c r="L36" s="32"/>
      <c r="M36" s="32"/>
      <c r="N36" s="32"/>
      <c r="O36" s="32"/>
    </row>
    <row r="37" spans="2:15" x14ac:dyDescent="0.25">
      <c r="B37" s="32"/>
      <c r="C37" s="32"/>
      <c r="D37" s="32"/>
      <c r="E37" s="32"/>
      <c r="F37" s="32"/>
      <c r="G37" s="32"/>
      <c r="H37" s="32"/>
      <c r="I37" s="32"/>
      <c r="J37" s="32"/>
      <c r="K37" s="32"/>
      <c r="L37" s="32"/>
      <c r="M37" s="32"/>
      <c r="N37" s="32"/>
      <c r="O37" s="32"/>
    </row>
    <row r="38" spans="2:15" x14ac:dyDescent="0.25">
      <c r="B38" s="32"/>
      <c r="C38" s="32"/>
      <c r="D38" s="32"/>
      <c r="E38" s="32"/>
      <c r="F38" s="32"/>
      <c r="G38" s="32"/>
      <c r="H38" s="32"/>
      <c r="I38" s="32"/>
      <c r="J38" s="32"/>
      <c r="K38" s="32"/>
      <c r="L38" s="32"/>
      <c r="M38" s="32"/>
      <c r="N38" s="32"/>
      <c r="O38" s="32"/>
    </row>
    <row r="39" spans="2:15" x14ac:dyDescent="0.25">
      <c r="B39" s="32"/>
      <c r="C39" s="32"/>
      <c r="D39" s="32"/>
      <c r="E39" s="32"/>
      <c r="F39" s="32"/>
      <c r="G39" s="32"/>
      <c r="H39" s="32"/>
      <c r="I39" s="32"/>
      <c r="J39" s="32"/>
      <c r="K39" s="32"/>
      <c r="L39" s="32"/>
      <c r="M39" s="32"/>
      <c r="N39" s="32"/>
      <c r="O39" s="32"/>
    </row>
    <row r="40" spans="2:15" x14ac:dyDescent="0.25">
      <c r="B40" s="32"/>
      <c r="C40" s="32"/>
      <c r="D40" s="32"/>
      <c r="E40" s="32"/>
      <c r="F40" s="32"/>
      <c r="G40" s="32"/>
      <c r="H40" s="32"/>
      <c r="I40" s="32"/>
      <c r="J40" s="32"/>
      <c r="K40" s="32"/>
      <c r="L40" s="32"/>
      <c r="M40" s="32"/>
      <c r="N40" s="32"/>
      <c r="O40" s="32"/>
    </row>
    <row r="41" spans="2:15" x14ac:dyDescent="0.25">
      <c r="B41" s="32"/>
      <c r="C41" s="32"/>
      <c r="D41" s="32"/>
      <c r="E41" s="32"/>
      <c r="F41" s="32"/>
      <c r="G41" s="32"/>
      <c r="H41" s="32"/>
      <c r="I41" s="32"/>
      <c r="J41" s="32"/>
      <c r="K41" s="32"/>
      <c r="L41" s="32"/>
      <c r="M41" s="32"/>
      <c r="N41" s="32"/>
      <c r="O41" s="32"/>
    </row>
    <row r="42" spans="2:15" x14ac:dyDescent="0.25">
      <c r="B42" s="32"/>
      <c r="C42" s="32"/>
      <c r="D42" s="32"/>
      <c r="E42" s="32"/>
      <c r="F42" s="32"/>
      <c r="G42" s="32"/>
      <c r="H42" s="32"/>
      <c r="I42" s="32"/>
      <c r="J42" s="32"/>
      <c r="K42" s="32"/>
      <c r="L42" s="32"/>
      <c r="M42" s="32"/>
      <c r="N42" s="32"/>
      <c r="O42" s="32"/>
    </row>
    <row r="43" spans="2:15" x14ac:dyDescent="0.25">
      <c r="B43" s="32"/>
      <c r="C43" s="32"/>
      <c r="D43" s="32"/>
      <c r="E43" s="32"/>
      <c r="F43" s="32"/>
      <c r="G43" s="32"/>
      <c r="H43" s="32"/>
      <c r="I43" s="32"/>
      <c r="J43" s="32"/>
      <c r="K43" s="32"/>
      <c r="L43" s="32"/>
      <c r="M43" s="32"/>
      <c r="N43" s="32"/>
      <c r="O43" s="32"/>
    </row>
    <row r="44" spans="2:15" x14ac:dyDescent="0.25">
      <c r="B44" s="32"/>
      <c r="C44" s="32"/>
      <c r="D44" s="32"/>
      <c r="E44" s="32"/>
      <c r="F44" s="32"/>
      <c r="G44" s="32"/>
      <c r="H44" s="32"/>
      <c r="I44" s="32"/>
      <c r="J44" s="32"/>
      <c r="K44" s="32"/>
      <c r="L44" s="32"/>
      <c r="M44" s="32"/>
      <c r="N44" s="32"/>
      <c r="O44" s="32"/>
    </row>
    <row r="45" spans="2:15" x14ac:dyDescent="0.25">
      <c r="B45" s="32"/>
      <c r="C45" s="32"/>
      <c r="D45" s="32"/>
      <c r="E45" s="32"/>
      <c r="F45" s="32"/>
      <c r="G45" s="32"/>
      <c r="H45" s="32"/>
      <c r="I45" s="32"/>
      <c r="J45" s="32"/>
      <c r="K45" s="32"/>
      <c r="L45" s="32"/>
      <c r="M45" s="32"/>
      <c r="N45" s="32"/>
      <c r="O45" s="32"/>
    </row>
    <row r="46" spans="2:15" x14ac:dyDescent="0.25">
      <c r="B46" s="32"/>
      <c r="C46" s="32"/>
      <c r="D46" s="32"/>
      <c r="E46" s="32"/>
      <c r="F46" s="32"/>
      <c r="G46" s="32"/>
      <c r="H46" s="32"/>
      <c r="I46" s="32"/>
      <c r="J46" s="32"/>
      <c r="K46" s="32"/>
      <c r="L46" s="32"/>
      <c r="M46" s="32"/>
      <c r="N46" s="32"/>
      <c r="O46" s="32"/>
    </row>
    <row r="47" spans="2:15" x14ac:dyDescent="0.25">
      <c r="B47" s="32"/>
      <c r="C47" s="32"/>
      <c r="D47" s="32"/>
      <c r="E47" s="32"/>
      <c r="F47" s="32"/>
      <c r="G47" s="32"/>
      <c r="H47" s="32"/>
      <c r="I47" s="32"/>
      <c r="J47" s="32"/>
      <c r="K47" s="32"/>
      <c r="L47" s="32"/>
      <c r="M47" s="32"/>
      <c r="N47" s="32"/>
      <c r="O47" s="32"/>
    </row>
    <row r="48" spans="2:15" x14ac:dyDescent="0.25">
      <c r="B48" s="32"/>
      <c r="C48" s="32"/>
      <c r="D48" s="32"/>
      <c r="E48" s="32"/>
      <c r="F48" s="32"/>
      <c r="G48" s="32"/>
      <c r="H48" s="32"/>
      <c r="I48" s="32"/>
      <c r="J48" s="32"/>
      <c r="K48" s="32"/>
      <c r="L48" s="32"/>
      <c r="M48" s="32"/>
      <c r="N48" s="32"/>
      <c r="O48" s="32"/>
    </row>
    <row r="49" spans="2:15" x14ac:dyDescent="0.25">
      <c r="B49" s="32"/>
      <c r="C49" s="32"/>
      <c r="D49" s="32"/>
      <c r="E49" s="32"/>
      <c r="F49" s="32"/>
      <c r="G49" s="32"/>
      <c r="H49" s="32"/>
      <c r="I49" s="32"/>
      <c r="J49" s="32"/>
      <c r="K49" s="32"/>
      <c r="L49" s="32"/>
      <c r="M49" s="32"/>
      <c r="N49" s="32"/>
      <c r="O49" s="32"/>
    </row>
    <row r="50" spans="2:15" x14ac:dyDescent="0.25">
      <c r="B50" s="32"/>
      <c r="C50" s="32"/>
      <c r="D50" s="32"/>
      <c r="E50" s="32"/>
      <c r="F50" s="32"/>
      <c r="G50" s="32"/>
      <c r="H50" s="32"/>
      <c r="I50" s="32"/>
      <c r="J50" s="32"/>
      <c r="K50" s="32"/>
      <c r="L50" s="32"/>
      <c r="M50" s="32"/>
      <c r="N50" s="32"/>
      <c r="O50" s="32"/>
    </row>
    <row r="51" spans="2:15" x14ac:dyDescent="0.25">
      <c r="B51" s="32"/>
      <c r="C51" s="32"/>
      <c r="D51" s="32"/>
      <c r="E51" s="32"/>
      <c r="F51" s="32"/>
      <c r="G51" s="32"/>
      <c r="H51" s="32"/>
      <c r="I51" s="32"/>
      <c r="J51" s="32"/>
      <c r="K51" s="32"/>
      <c r="L51" s="32"/>
      <c r="M51" s="32"/>
      <c r="N51" s="32"/>
      <c r="O51" s="32"/>
    </row>
    <row r="52" spans="2:15" x14ac:dyDescent="0.25">
      <c r="B52" s="32"/>
      <c r="C52" s="32"/>
      <c r="D52" s="32"/>
      <c r="E52" s="32"/>
      <c r="F52" s="32"/>
      <c r="G52" s="32"/>
      <c r="H52" s="32"/>
      <c r="I52" s="32"/>
      <c r="J52" s="32"/>
      <c r="K52" s="32"/>
      <c r="L52" s="32"/>
      <c r="M52" s="32"/>
      <c r="N52" s="32"/>
      <c r="O52" s="32"/>
    </row>
    <row r="53" spans="2:15" x14ac:dyDescent="0.25">
      <c r="B53" s="32"/>
      <c r="C53" s="32"/>
      <c r="D53" s="32"/>
      <c r="E53" s="32"/>
      <c r="F53" s="32"/>
      <c r="G53" s="32"/>
      <c r="H53" s="32"/>
      <c r="I53" s="32"/>
      <c r="J53" s="32"/>
      <c r="K53" s="32"/>
      <c r="L53" s="32"/>
      <c r="M53" s="32"/>
      <c r="N53" s="32"/>
      <c r="O53" s="32"/>
    </row>
    <row r="54" spans="2:15" x14ac:dyDescent="0.25">
      <c r="B54" s="32"/>
      <c r="C54" s="32"/>
      <c r="D54" s="32"/>
      <c r="E54" s="32"/>
      <c r="F54" s="32"/>
      <c r="G54" s="32"/>
      <c r="H54" s="32"/>
      <c r="I54" s="32"/>
      <c r="J54" s="32"/>
      <c r="K54" s="32"/>
      <c r="L54" s="32"/>
      <c r="M54" s="32"/>
      <c r="N54" s="32"/>
      <c r="O54" s="32"/>
    </row>
    <row r="55" spans="2:15" x14ac:dyDescent="0.25">
      <c r="B55" s="32"/>
      <c r="C55" s="32"/>
      <c r="D55" s="32"/>
      <c r="E55" s="32"/>
      <c r="F55" s="32"/>
      <c r="G55" s="32"/>
      <c r="H55" s="32"/>
      <c r="I55" s="32"/>
      <c r="J55" s="32"/>
      <c r="K55" s="32"/>
      <c r="L55" s="32"/>
      <c r="M55" s="32"/>
      <c r="N55" s="32"/>
      <c r="O55" s="32"/>
    </row>
    <row r="56" spans="2:15" x14ac:dyDescent="0.25">
      <c r="B56" s="32"/>
      <c r="C56" s="32"/>
      <c r="D56" s="32"/>
      <c r="E56" s="32"/>
      <c r="F56" s="32"/>
      <c r="G56" s="32"/>
      <c r="H56" s="32"/>
      <c r="I56" s="32"/>
      <c r="J56" s="32"/>
      <c r="K56" s="32"/>
      <c r="L56" s="32"/>
      <c r="M56" s="32"/>
      <c r="N56" s="32"/>
      <c r="O56" s="32"/>
    </row>
    <row r="57" spans="2:15" x14ac:dyDescent="0.25">
      <c r="B57" s="32"/>
      <c r="C57" s="32"/>
      <c r="D57" s="32"/>
      <c r="E57" s="32"/>
      <c r="F57" s="32"/>
      <c r="G57" s="32"/>
      <c r="H57" s="32"/>
      <c r="I57" s="32"/>
      <c r="J57" s="32"/>
      <c r="K57" s="32"/>
      <c r="L57" s="32"/>
      <c r="M57" s="32"/>
      <c r="N57" s="32"/>
      <c r="O57" s="32"/>
    </row>
    <row r="58" spans="2:15" x14ac:dyDescent="0.25">
      <c r="B58" s="32"/>
      <c r="C58" s="32"/>
      <c r="D58" s="32"/>
      <c r="E58" s="32"/>
      <c r="F58" s="32"/>
      <c r="G58" s="32"/>
      <c r="H58" s="32"/>
      <c r="I58" s="32"/>
      <c r="J58" s="32"/>
      <c r="K58" s="32"/>
      <c r="L58" s="32"/>
      <c r="M58" s="32"/>
      <c r="N58" s="32"/>
      <c r="O58" s="32"/>
    </row>
    <row r="59" spans="2:15" x14ac:dyDescent="0.25">
      <c r="B59" s="32"/>
      <c r="C59" s="32"/>
      <c r="D59" s="32"/>
      <c r="E59" s="32"/>
      <c r="F59" s="32"/>
      <c r="G59" s="32"/>
      <c r="H59" s="32"/>
      <c r="I59" s="32"/>
      <c r="J59" s="32"/>
      <c r="K59" s="32"/>
      <c r="L59" s="32"/>
      <c r="M59" s="32"/>
      <c r="N59" s="32"/>
      <c r="O59" s="32"/>
    </row>
    <row r="60" spans="2:15" x14ac:dyDescent="0.25">
      <c r="B60" s="32"/>
      <c r="C60" s="32"/>
      <c r="D60" s="32"/>
      <c r="E60" s="32"/>
      <c r="F60" s="32"/>
      <c r="G60" s="32"/>
      <c r="H60" s="32"/>
      <c r="I60" s="32"/>
      <c r="J60" s="32"/>
      <c r="K60" s="32"/>
      <c r="L60" s="32"/>
      <c r="M60" s="32"/>
      <c r="N60" s="32"/>
      <c r="O60" s="32"/>
    </row>
    <row r="61" spans="2:15" x14ac:dyDescent="0.25">
      <c r="B61" s="32"/>
      <c r="C61" s="32"/>
      <c r="D61" s="32"/>
      <c r="E61" s="32"/>
      <c r="F61" s="32"/>
      <c r="G61" s="32"/>
      <c r="H61" s="32"/>
      <c r="I61" s="32"/>
      <c r="J61" s="32"/>
      <c r="K61" s="32"/>
      <c r="L61" s="32"/>
      <c r="M61" s="32"/>
      <c r="N61" s="32"/>
      <c r="O61" s="32"/>
    </row>
    <row r="62" spans="2:15" x14ac:dyDescent="0.25">
      <c r="B62" s="32"/>
      <c r="C62" s="32"/>
      <c r="D62" s="32"/>
      <c r="E62" s="32"/>
      <c r="F62" s="32"/>
      <c r="G62" s="32"/>
      <c r="H62" s="32"/>
      <c r="I62" s="32"/>
      <c r="J62" s="32"/>
      <c r="K62" s="32"/>
      <c r="L62" s="32"/>
      <c r="M62" s="32"/>
      <c r="N62" s="32"/>
      <c r="O62" s="32"/>
    </row>
    <row r="63" spans="2:15" x14ac:dyDescent="0.25">
      <c r="B63" s="32"/>
      <c r="C63" s="32"/>
      <c r="D63" s="32"/>
      <c r="E63" s="32"/>
      <c r="F63" s="32"/>
      <c r="G63" s="32"/>
      <c r="H63" s="32"/>
      <c r="I63" s="32"/>
      <c r="J63" s="32"/>
      <c r="K63" s="32"/>
      <c r="L63" s="32"/>
      <c r="M63" s="32"/>
      <c r="N63" s="32"/>
      <c r="O63" s="32"/>
    </row>
    <row r="64" spans="2:15" x14ac:dyDescent="0.25">
      <c r="B64" s="32"/>
      <c r="C64" s="32"/>
      <c r="D64" s="32"/>
      <c r="E64" s="32"/>
      <c r="F64" s="32"/>
      <c r="G64" s="32"/>
      <c r="H64" s="32"/>
      <c r="I64" s="32"/>
      <c r="J64" s="32"/>
      <c r="K64" s="32"/>
      <c r="L64" s="32"/>
      <c r="M64" s="32"/>
      <c r="N64" s="32"/>
      <c r="O64" s="32"/>
    </row>
    <row r="65" spans="2:15" x14ac:dyDescent="0.25">
      <c r="B65" s="32"/>
      <c r="C65" s="32"/>
      <c r="D65" s="32"/>
      <c r="E65" s="32"/>
      <c r="F65" s="32"/>
      <c r="G65" s="32"/>
      <c r="H65" s="32"/>
      <c r="I65" s="32"/>
      <c r="J65" s="32"/>
      <c r="K65" s="32"/>
      <c r="L65" s="32"/>
      <c r="M65" s="32"/>
      <c r="N65" s="32"/>
      <c r="O65" s="32"/>
    </row>
    <row r="66" spans="2:15" x14ac:dyDescent="0.25">
      <c r="B66" s="32"/>
      <c r="C66" s="32"/>
      <c r="D66" s="32"/>
      <c r="E66" s="32"/>
      <c r="F66" s="32"/>
      <c r="G66" s="32"/>
      <c r="H66" s="32"/>
      <c r="I66" s="32"/>
      <c r="J66" s="32"/>
      <c r="K66" s="32"/>
      <c r="L66" s="32"/>
      <c r="M66" s="32"/>
      <c r="N66" s="32"/>
      <c r="O66" s="32"/>
    </row>
    <row r="67" spans="2:15" x14ac:dyDescent="0.25">
      <c r="B67" s="32"/>
      <c r="C67" s="32"/>
      <c r="D67" s="32"/>
      <c r="E67" s="32"/>
      <c r="F67" s="32"/>
      <c r="G67" s="32"/>
      <c r="H67" s="32"/>
      <c r="I67" s="32"/>
      <c r="J67" s="32"/>
      <c r="K67" s="32"/>
      <c r="L67" s="32"/>
      <c r="M67" s="32"/>
      <c r="N67" s="32"/>
      <c r="O67" s="32"/>
    </row>
    <row r="68" spans="2:15" x14ac:dyDescent="0.25">
      <c r="B68" s="32"/>
      <c r="C68" s="32"/>
      <c r="D68" s="32"/>
      <c r="E68" s="32"/>
      <c r="F68" s="32"/>
      <c r="G68" s="32"/>
      <c r="H68" s="32"/>
      <c r="I68" s="32"/>
      <c r="J68" s="32"/>
      <c r="K68" s="32"/>
      <c r="L68" s="32"/>
      <c r="M68" s="32"/>
      <c r="N68" s="32"/>
      <c r="O68" s="32"/>
    </row>
    <row r="69" spans="2:15" x14ac:dyDescent="0.25">
      <c r="B69" s="32"/>
      <c r="C69" s="32"/>
      <c r="D69" s="32"/>
      <c r="E69" s="32"/>
      <c r="F69" s="32"/>
      <c r="G69" s="32"/>
      <c r="H69" s="32"/>
      <c r="I69" s="32"/>
      <c r="J69" s="32"/>
      <c r="K69" s="32"/>
      <c r="L69" s="32"/>
      <c r="M69" s="32"/>
      <c r="N69" s="32"/>
      <c r="O69" s="32"/>
    </row>
    <row r="70" spans="2:15" x14ac:dyDescent="0.25">
      <c r="B70" s="32"/>
      <c r="C70" s="32"/>
      <c r="D70" s="32"/>
      <c r="E70" s="32"/>
      <c r="F70" s="32"/>
      <c r="G70" s="32"/>
      <c r="H70" s="32"/>
      <c r="I70" s="32"/>
      <c r="J70" s="32"/>
      <c r="K70" s="32"/>
      <c r="L70" s="32"/>
      <c r="M70" s="32"/>
      <c r="N70" s="32"/>
      <c r="O70" s="32"/>
    </row>
    <row r="71" spans="2:15" x14ac:dyDescent="0.25">
      <c r="B71" s="32"/>
      <c r="C71" s="32"/>
      <c r="D71" s="32"/>
      <c r="E71" s="32"/>
      <c r="F71" s="32"/>
      <c r="G71" s="32"/>
      <c r="H71" s="32"/>
      <c r="I71" s="32"/>
      <c r="J71" s="32"/>
      <c r="K71" s="32"/>
      <c r="L71" s="32"/>
      <c r="M71" s="32"/>
      <c r="N71" s="32"/>
      <c r="O71" s="32"/>
    </row>
    <row r="72" spans="2:15" x14ac:dyDescent="0.25">
      <c r="B72" s="32"/>
      <c r="C72" s="32"/>
      <c r="D72" s="32"/>
      <c r="E72" s="32"/>
      <c r="F72" s="32"/>
      <c r="G72" s="32"/>
      <c r="H72" s="32"/>
      <c r="I72" s="32"/>
      <c r="J72" s="32"/>
      <c r="K72" s="32"/>
      <c r="L72" s="32"/>
      <c r="M72" s="32"/>
      <c r="N72" s="32"/>
      <c r="O72" s="32"/>
    </row>
    <row r="73" spans="2:15" x14ac:dyDescent="0.25">
      <c r="B73" s="32"/>
      <c r="C73" s="32"/>
      <c r="D73" s="32"/>
      <c r="E73" s="32"/>
      <c r="F73" s="32"/>
      <c r="G73" s="32"/>
      <c r="H73" s="32"/>
      <c r="I73" s="32"/>
      <c r="J73" s="32"/>
      <c r="K73" s="32"/>
      <c r="L73" s="32"/>
      <c r="M73" s="32"/>
      <c r="N73" s="32"/>
      <c r="O73" s="32"/>
    </row>
    <row r="74" spans="2:15" x14ac:dyDescent="0.25">
      <c r="B74" s="32"/>
      <c r="C74" s="32"/>
      <c r="D74" s="32"/>
      <c r="E74" s="32"/>
      <c r="F74" s="32"/>
      <c r="G74" s="32"/>
      <c r="H74" s="32"/>
      <c r="I74" s="32"/>
      <c r="J74" s="32"/>
      <c r="K74" s="32"/>
      <c r="L74" s="32"/>
      <c r="M74" s="32"/>
      <c r="N74" s="32"/>
      <c r="O74" s="32"/>
    </row>
    <row r="75" spans="2:15" x14ac:dyDescent="0.25">
      <c r="B75" s="32"/>
      <c r="C75" s="32"/>
      <c r="D75" s="32"/>
      <c r="E75" s="32"/>
      <c r="F75" s="32"/>
      <c r="G75" s="32"/>
      <c r="H75" s="32"/>
      <c r="I75" s="32"/>
      <c r="J75" s="32"/>
      <c r="K75" s="32"/>
      <c r="L75" s="32"/>
      <c r="M75" s="32"/>
      <c r="N75" s="32"/>
      <c r="O75" s="32"/>
    </row>
    <row r="76" spans="2:15" x14ac:dyDescent="0.25">
      <c r="B76" s="32"/>
      <c r="C76" s="32"/>
      <c r="D76" s="32"/>
      <c r="E76" s="32"/>
      <c r="F76" s="32"/>
      <c r="G76" s="32"/>
      <c r="H76" s="32"/>
      <c r="I76" s="32"/>
      <c r="J76" s="32"/>
      <c r="K76" s="32"/>
      <c r="L76" s="32"/>
      <c r="M76" s="32"/>
      <c r="N76" s="32"/>
      <c r="O76" s="32"/>
    </row>
    <row r="77" spans="2:15" x14ac:dyDescent="0.25">
      <c r="B77" s="32"/>
      <c r="C77" s="32"/>
      <c r="D77" s="32"/>
      <c r="E77" s="32"/>
      <c r="F77" s="32"/>
      <c r="G77" s="32"/>
      <c r="H77" s="32"/>
      <c r="I77" s="32"/>
      <c r="J77" s="32"/>
      <c r="K77" s="32"/>
      <c r="L77" s="32"/>
      <c r="M77" s="32"/>
      <c r="N77" s="32"/>
      <c r="O77" s="32"/>
    </row>
    <row r="78" spans="2:15" x14ac:dyDescent="0.25">
      <c r="B78" s="32"/>
      <c r="C78" s="32"/>
      <c r="D78" s="32"/>
      <c r="E78" s="32"/>
      <c r="F78" s="32"/>
      <c r="G78" s="32"/>
      <c r="H78" s="32"/>
      <c r="I78" s="32"/>
      <c r="J78" s="32"/>
      <c r="K78" s="32"/>
      <c r="L78" s="32"/>
      <c r="M78" s="32"/>
      <c r="N78" s="32"/>
      <c r="O78" s="32"/>
    </row>
    <row r="79" spans="2:15" x14ac:dyDescent="0.25">
      <c r="B79" s="32"/>
      <c r="C79" s="32"/>
      <c r="D79" s="32"/>
      <c r="E79" s="32"/>
      <c r="F79" s="32"/>
      <c r="G79" s="32"/>
      <c r="H79" s="32"/>
      <c r="I79" s="32"/>
      <c r="J79" s="32"/>
      <c r="K79" s="32"/>
      <c r="L79" s="32"/>
      <c r="M79" s="32"/>
      <c r="N79" s="32"/>
      <c r="O79" s="32"/>
    </row>
    <row r="80" spans="2:15" x14ac:dyDescent="0.25">
      <c r="B80" s="32"/>
      <c r="C80" s="32"/>
      <c r="D80" s="32"/>
      <c r="E80" s="32"/>
      <c r="F80" s="32"/>
      <c r="G80" s="32"/>
      <c r="H80" s="32"/>
      <c r="I80" s="32"/>
      <c r="J80" s="32"/>
      <c r="K80" s="32"/>
      <c r="L80" s="32"/>
      <c r="M80" s="32"/>
      <c r="N80" s="32"/>
      <c r="O80" s="32"/>
    </row>
    <row r="81" spans="2:15" x14ac:dyDescent="0.25">
      <c r="B81" s="32"/>
      <c r="C81" s="32"/>
      <c r="D81" s="32"/>
      <c r="E81" s="32"/>
      <c r="F81" s="32"/>
      <c r="G81" s="32"/>
      <c r="H81" s="32"/>
      <c r="I81" s="32"/>
      <c r="J81" s="32"/>
      <c r="K81" s="32"/>
      <c r="L81" s="32"/>
      <c r="M81" s="32"/>
      <c r="N81" s="32"/>
      <c r="O81" s="32"/>
    </row>
    <row r="82" spans="2:15" x14ac:dyDescent="0.25">
      <c r="B82" s="32"/>
      <c r="C82" s="32"/>
      <c r="D82" s="32"/>
      <c r="E82" s="32"/>
      <c r="F82" s="32"/>
      <c r="G82" s="32"/>
      <c r="H82" s="32"/>
      <c r="I82" s="32"/>
      <c r="J82" s="32"/>
      <c r="K82" s="32"/>
      <c r="L82" s="32"/>
      <c r="M82" s="32"/>
      <c r="N82" s="32"/>
      <c r="O82" s="32"/>
    </row>
    <row r="83" spans="2:15" x14ac:dyDescent="0.25">
      <c r="B83" s="32"/>
      <c r="C83" s="32"/>
      <c r="D83" s="32"/>
      <c r="E83" s="32"/>
      <c r="F83" s="32"/>
      <c r="G83" s="32"/>
      <c r="H83" s="32"/>
      <c r="I83" s="32"/>
      <c r="J83" s="32"/>
      <c r="K83" s="32"/>
      <c r="L83" s="32"/>
      <c r="M83" s="32"/>
      <c r="N83" s="32"/>
      <c r="O83" s="32"/>
    </row>
    <row r="84" spans="2:15" x14ac:dyDescent="0.25">
      <c r="B84" s="32"/>
      <c r="C84" s="32"/>
      <c r="D84" s="32"/>
      <c r="E84" s="32"/>
      <c r="F84" s="32"/>
      <c r="G84" s="32"/>
      <c r="H84" s="32"/>
      <c r="I84" s="32"/>
      <c r="J84" s="32"/>
      <c r="K84" s="32"/>
      <c r="L84" s="32"/>
      <c r="M84" s="32"/>
      <c r="N84" s="32"/>
      <c r="O84" s="32"/>
    </row>
    <row r="85" spans="2:15" x14ac:dyDescent="0.25">
      <c r="B85" s="32"/>
      <c r="C85" s="32"/>
      <c r="D85" s="32"/>
      <c r="E85" s="32"/>
      <c r="F85" s="32"/>
      <c r="G85" s="32"/>
      <c r="H85" s="32"/>
      <c r="I85" s="32"/>
      <c r="J85" s="32"/>
      <c r="K85" s="32"/>
      <c r="L85" s="32"/>
      <c r="M85" s="32"/>
      <c r="N85" s="32"/>
      <c r="O85" s="32"/>
    </row>
    <row r="86" spans="2:15" x14ac:dyDescent="0.25">
      <c r="B86" s="32"/>
      <c r="C86" s="32"/>
      <c r="D86" s="32"/>
      <c r="E86" s="32"/>
      <c r="F86" s="32"/>
      <c r="G86" s="32"/>
      <c r="H86" s="32"/>
      <c r="I86" s="32"/>
      <c r="J86" s="32"/>
      <c r="K86" s="32"/>
      <c r="L86" s="32"/>
      <c r="M86" s="32"/>
      <c r="N86" s="32"/>
      <c r="O86" s="32"/>
    </row>
    <row r="87" spans="2:15" x14ac:dyDescent="0.25">
      <c r="B87" s="32"/>
      <c r="C87" s="32"/>
      <c r="D87" s="32"/>
      <c r="E87" s="32"/>
      <c r="F87" s="32"/>
      <c r="G87" s="32"/>
      <c r="H87" s="32"/>
      <c r="I87" s="32"/>
      <c r="J87" s="32"/>
      <c r="K87" s="32"/>
      <c r="L87" s="32"/>
      <c r="M87" s="32"/>
      <c r="N87" s="32"/>
      <c r="O87" s="32"/>
    </row>
    <row r="88" spans="2:15" x14ac:dyDescent="0.25">
      <c r="B88" s="32"/>
      <c r="C88" s="32"/>
      <c r="D88" s="32"/>
      <c r="E88" s="32"/>
      <c r="F88" s="32"/>
      <c r="G88" s="32"/>
      <c r="H88" s="32"/>
      <c r="I88" s="32"/>
      <c r="J88" s="32"/>
      <c r="K88" s="32"/>
      <c r="L88" s="32"/>
      <c r="M88" s="32"/>
      <c r="N88" s="32"/>
      <c r="O88" s="32"/>
    </row>
    <row r="89" spans="2:15" x14ac:dyDescent="0.25">
      <c r="B89" s="32"/>
      <c r="C89" s="32"/>
      <c r="D89" s="32"/>
      <c r="E89" s="32"/>
      <c r="F89" s="32"/>
      <c r="G89" s="32"/>
      <c r="H89" s="32"/>
      <c r="I89" s="32"/>
      <c r="J89" s="32"/>
      <c r="K89" s="32"/>
      <c r="L89" s="32"/>
      <c r="M89" s="32"/>
      <c r="N89" s="32"/>
      <c r="O89" s="32"/>
    </row>
    <row r="90" spans="2:15" x14ac:dyDescent="0.25">
      <c r="B90" s="32"/>
      <c r="C90" s="32"/>
      <c r="D90" s="32"/>
      <c r="E90" s="32"/>
      <c r="F90" s="32"/>
      <c r="G90" s="32"/>
      <c r="H90" s="32"/>
      <c r="I90" s="32"/>
      <c r="J90" s="32"/>
      <c r="K90" s="32"/>
      <c r="L90" s="32"/>
      <c r="M90" s="32"/>
      <c r="N90" s="32"/>
      <c r="O90" s="32"/>
    </row>
    <row r="91" spans="2:15" x14ac:dyDescent="0.25">
      <c r="B91" s="32"/>
      <c r="C91" s="32"/>
      <c r="D91" s="32"/>
      <c r="E91" s="32"/>
      <c r="F91" s="32"/>
      <c r="G91" s="32"/>
      <c r="H91" s="32"/>
      <c r="I91" s="32"/>
      <c r="J91" s="32"/>
      <c r="K91" s="32"/>
      <c r="L91" s="32"/>
      <c r="M91" s="32"/>
      <c r="N91" s="32"/>
      <c r="O91" s="32"/>
    </row>
    <row r="92" spans="2:15" x14ac:dyDescent="0.25">
      <c r="B92" s="32"/>
      <c r="C92" s="32"/>
      <c r="D92" s="32"/>
      <c r="E92" s="32"/>
      <c r="F92" s="32"/>
      <c r="G92" s="32"/>
      <c r="H92" s="32"/>
      <c r="I92" s="32"/>
      <c r="J92" s="32"/>
      <c r="K92" s="32"/>
      <c r="L92" s="32"/>
      <c r="M92" s="32"/>
      <c r="N92" s="32"/>
      <c r="O92" s="32"/>
    </row>
    <row r="93" spans="2:15" x14ac:dyDescent="0.25">
      <c r="B93" s="32"/>
      <c r="C93" s="32"/>
      <c r="D93" s="32"/>
      <c r="E93" s="32"/>
      <c r="F93" s="32"/>
      <c r="G93" s="32"/>
      <c r="H93" s="32"/>
      <c r="I93" s="32"/>
      <c r="J93" s="32"/>
      <c r="K93" s="32"/>
      <c r="L93" s="32"/>
      <c r="M93" s="32"/>
      <c r="N93" s="32"/>
      <c r="O93" s="32"/>
    </row>
    <row r="94" spans="2:15" x14ac:dyDescent="0.25">
      <c r="B94" s="32"/>
      <c r="C94" s="32"/>
      <c r="D94" s="32"/>
      <c r="E94" s="32"/>
      <c r="F94" s="32"/>
      <c r="G94" s="32"/>
      <c r="H94" s="32"/>
      <c r="I94" s="32"/>
      <c r="J94" s="32"/>
      <c r="K94" s="32"/>
      <c r="L94" s="32"/>
      <c r="M94" s="32"/>
      <c r="N94" s="32"/>
      <c r="O94" s="32"/>
    </row>
    <row r="95" spans="2:15" x14ac:dyDescent="0.25">
      <c r="B95" s="32"/>
      <c r="C95" s="32"/>
      <c r="D95" s="32"/>
      <c r="E95" s="32"/>
      <c r="F95" s="32"/>
      <c r="G95" s="32"/>
      <c r="H95" s="32"/>
      <c r="I95" s="32"/>
      <c r="J95" s="32"/>
      <c r="K95" s="32"/>
      <c r="L95" s="32"/>
      <c r="M95" s="32"/>
      <c r="N95" s="32"/>
      <c r="O95" s="32"/>
    </row>
    <row r="96" spans="2:15" x14ac:dyDescent="0.25">
      <c r="B96" s="32"/>
      <c r="C96" s="32"/>
      <c r="D96" s="32"/>
      <c r="E96" s="32"/>
      <c r="F96" s="32"/>
      <c r="G96" s="32"/>
      <c r="H96" s="32"/>
      <c r="I96" s="32"/>
      <c r="J96" s="32"/>
      <c r="K96" s="32"/>
      <c r="L96" s="32"/>
      <c r="M96" s="32"/>
      <c r="N96" s="32"/>
      <c r="O96" s="32"/>
    </row>
    <row r="97" spans="2:15" x14ac:dyDescent="0.25">
      <c r="B97" s="32"/>
      <c r="C97" s="32"/>
      <c r="D97" s="32"/>
      <c r="E97" s="32"/>
      <c r="F97" s="32"/>
      <c r="G97" s="32"/>
      <c r="H97" s="32"/>
      <c r="I97" s="32"/>
      <c r="J97" s="32"/>
      <c r="K97" s="32"/>
      <c r="L97" s="32"/>
      <c r="M97" s="32"/>
      <c r="N97" s="32"/>
      <c r="O97" s="32"/>
    </row>
    <row r="98" spans="2:15" x14ac:dyDescent="0.25">
      <c r="B98" s="32"/>
      <c r="C98" s="32"/>
      <c r="D98" s="32"/>
      <c r="E98" s="32"/>
      <c r="F98" s="32"/>
      <c r="G98" s="32"/>
      <c r="H98" s="32"/>
      <c r="I98" s="32"/>
      <c r="J98" s="32"/>
      <c r="K98" s="32"/>
      <c r="L98" s="32"/>
      <c r="M98" s="32"/>
      <c r="N98" s="32"/>
      <c r="O98" s="32"/>
    </row>
    <row r="99" spans="2:15" x14ac:dyDescent="0.25">
      <c r="B99" s="32"/>
      <c r="C99" s="32"/>
      <c r="D99" s="32"/>
      <c r="E99" s="32"/>
      <c r="F99" s="32"/>
      <c r="G99" s="32"/>
      <c r="H99" s="32"/>
      <c r="I99" s="32"/>
      <c r="J99" s="32"/>
      <c r="K99" s="32"/>
      <c r="L99" s="32"/>
      <c r="M99" s="32"/>
      <c r="N99" s="32"/>
      <c r="O99" s="32"/>
    </row>
    <row r="100" spans="2:15" x14ac:dyDescent="0.25">
      <c r="B100" s="32"/>
      <c r="C100" s="32"/>
      <c r="D100" s="32"/>
      <c r="E100" s="32"/>
      <c r="F100" s="32"/>
      <c r="G100" s="32"/>
      <c r="H100" s="32"/>
      <c r="I100" s="32"/>
      <c r="J100" s="32"/>
      <c r="K100" s="32"/>
      <c r="L100" s="32"/>
      <c r="M100" s="32"/>
      <c r="N100" s="32"/>
      <c r="O100" s="32"/>
    </row>
    <row r="101" spans="2:15" x14ac:dyDescent="0.25">
      <c r="B101" s="32"/>
      <c r="C101" s="32"/>
      <c r="D101" s="32"/>
      <c r="E101" s="32"/>
      <c r="F101" s="32"/>
      <c r="G101" s="32"/>
      <c r="H101" s="32"/>
      <c r="I101" s="32"/>
      <c r="J101" s="32"/>
      <c r="K101" s="32"/>
      <c r="L101" s="32"/>
      <c r="M101" s="32"/>
      <c r="N101" s="32"/>
      <c r="O101" s="32"/>
    </row>
    <row r="102" spans="2:15" x14ac:dyDescent="0.25">
      <c r="B102" s="32"/>
      <c r="C102" s="32"/>
      <c r="D102" s="32"/>
      <c r="E102" s="32"/>
      <c r="F102" s="32"/>
      <c r="G102" s="32"/>
      <c r="H102" s="32"/>
      <c r="I102" s="32"/>
      <c r="J102" s="32"/>
      <c r="K102" s="32"/>
      <c r="L102" s="32"/>
      <c r="M102" s="32"/>
      <c r="N102" s="32"/>
      <c r="O102" s="32"/>
    </row>
    <row r="103" spans="2:15" x14ac:dyDescent="0.25">
      <c r="B103" s="32"/>
      <c r="C103" s="32"/>
      <c r="D103" s="32"/>
      <c r="E103" s="32"/>
      <c r="F103" s="32"/>
      <c r="G103" s="32"/>
      <c r="H103" s="32"/>
      <c r="I103" s="32"/>
      <c r="J103" s="32"/>
      <c r="K103" s="32"/>
      <c r="L103" s="32"/>
      <c r="M103" s="32"/>
      <c r="N103" s="32"/>
      <c r="O103" s="32"/>
    </row>
    <row r="104" spans="2:15" x14ac:dyDescent="0.25">
      <c r="B104" s="32"/>
      <c r="C104" s="32"/>
      <c r="D104" s="32"/>
      <c r="E104" s="32"/>
      <c r="F104" s="32"/>
      <c r="G104" s="32"/>
      <c r="H104" s="32"/>
      <c r="I104" s="32"/>
      <c r="J104" s="32"/>
      <c r="K104" s="32"/>
      <c r="L104" s="32"/>
      <c r="M104" s="32"/>
      <c r="N104" s="32"/>
      <c r="O104" s="32"/>
    </row>
    <row r="105" spans="2:15" x14ac:dyDescent="0.25">
      <c r="B105" s="32"/>
      <c r="C105" s="32"/>
      <c r="D105" s="32"/>
      <c r="E105" s="32"/>
      <c r="F105" s="32"/>
      <c r="G105" s="32"/>
      <c r="H105" s="32"/>
      <c r="I105" s="32"/>
      <c r="J105" s="32"/>
      <c r="K105" s="32"/>
      <c r="L105" s="32"/>
      <c r="M105" s="32"/>
      <c r="N105" s="32"/>
      <c r="O105" s="32"/>
    </row>
    <row r="106" spans="2:15" x14ac:dyDescent="0.25">
      <c r="B106" s="32"/>
      <c r="C106" s="32"/>
      <c r="D106" s="32"/>
      <c r="E106" s="32"/>
      <c r="F106" s="32"/>
      <c r="G106" s="32"/>
      <c r="H106" s="32"/>
      <c r="I106" s="32"/>
      <c r="J106" s="32"/>
      <c r="K106" s="32"/>
      <c r="L106" s="32"/>
      <c r="M106" s="32"/>
      <c r="N106" s="32"/>
      <c r="O106" s="32"/>
    </row>
    <row r="107" spans="2:15" x14ac:dyDescent="0.25">
      <c r="B107" s="32"/>
      <c r="C107" s="32"/>
      <c r="D107" s="32"/>
      <c r="E107" s="32"/>
      <c r="F107" s="32"/>
      <c r="G107" s="32"/>
      <c r="H107" s="32"/>
      <c r="I107" s="32"/>
      <c r="J107" s="32"/>
      <c r="K107" s="32"/>
      <c r="L107" s="32"/>
      <c r="M107" s="32"/>
      <c r="N107" s="32"/>
      <c r="O107" s="32"/>
    </row>
    <row r="108" spans="2:15" x14ac:dyDescent="0.25">
      <c r="B108" s="32"/>
      <c r="C108" s="32"/>
      <c r="D108" s="32"/>
      <c r="E108" s="32"/>
      <c r="F108" s="32"/>
      <c r="G108" s="32"/>
      <c r="H108" s="32"/>
      <c r="I108" s="32"/>
      <c r="J108" s="32"/>
      <c r="K108" s="32"/>
      <c r="L108" s="32"/>
      <c r="M108" s="32"/>
      <c r="N108" s="32"/>
      <c r="O108" s="32"/>
    </row>
    <row r="109" spans="2:15" x14ac:dyDescent="0.25">
      <c r="B109" s="32"/>
      <c r="C109" s="32"/>
      <c r="D109" s="32"/>
      <c r="E109" s="32"/>
      <c r="F109" s="32"/>
      <c r="G109" s="32"/>
      <c r="H109" s="32"/>
      <c r="I109" s="32"/>
      <c r="J109" s="32"/>
      <c r="K109" s="32"/>
      <c r="L109" s="32"/>
      <c r="M109" s="32"/>
      <c r="N109" s="32"/>
      <c r="O109" s="32"/>
    </row>
    <row r="110" spans="2:15" x14ac:dyDescent="0.25">
      <c r="B110" s="32"/>
      <c r="C110" s="32"/>
      <c r="D110" s="32"/>
      <c r="E110" s="32"/>
      <c r="F110" s="32"/>
      <c r="G110" s="32"/>
      <c r="H110" s="32"/>
      <c r="I110" s="32"/>
      <c r="J110" s="32"/>
      <c r="K110" s="32"/>
      <c r="L110" s="32"/>
      <c r="M110" s="32"/>
      <c r="N110" s="32"/>
      <c r="O110" s="32"/>
    </row>
    <row r="111" spans="2:15" x14ac:dyDescent="0.25">
      <c r="B111" s="32"/>
      <c r="C111" s="32"/>
      <c r="D111" s="32"/>
      <c r="E111" s="32"/>
      <c r="F111" s="32"/>
      <c r="G111" s="32"/>
      <c r="H111" s="32"/>
      <c r="I111" s="32"/>
      <c r="J111" s="32"/>
      <c r="K111" s="32"/>
      <c r="L111" s="32"/>
      <c r="M111" s="32"/>
      <c r="N111" s="32"/>
      <c r="O111" s="32"/>
    </row>
    <row r="112" spans="2:15" x14ac:dyDescent="0.25">
      <c r="B112" s="32"/>
      <c r="C112" s="32"/>
      <c r="D112" s="32"/>
      <c r="E112" s="32"/>
      <c r="F112" s="32"/>
      <c r="G112" s="32"/>
      <c r="H112" s="32"/>
      <c r="I112" s="32"/>
      <c r="J112" s="32"/>
      <c r="K112" s="32"/>
      <c r="L112" s="32"/>
      <c r="M112" s="32"/>
      <c r="N112" s="32"/>
      <c r="O112" s="32"/>
    </row>
    <row r="113" spans="2:15" x14ac:dyDescent="0.25">
      <c r="B113" s="32"/>
      <c r="C113" s="32"/>
      <c r="D113" s="32"/>
      <c r="E113" s="32"/>
      <c r="F113" s="32"/>
      <c r="G113" s="32"/>
      <c r="H113" s="32"/>
      <c r="I113" s="32"/>
      <c r="J113" s="32"/>
      <c r="K113" s="32"/>
      <c r="L113" s="32"/>
      <c r="M113" s="32"/>
      <c r="N113" s="32"/>
      <c r="O113" s="32"/>
    </row>
    <row r="114" spans="2:15" x14ac:dyDescent="0.25">
      <c r="B114" s="32"/>
      <c r="C114" s="32"/>
      <c r="D114" s="32"/>
      <c r="E114" s="32"/>
      <c r="F114" s="32"/>
      <c r="G114" s="32"/>
      <c r="H114" s="32"/>
      <c r="I114" s="32"/>
      <c r="J114" s="32"/>
      <c r="K114" s="32"/>
      <c r="L114" s="32"/>
      <c r="M114" s="32"/>
      <c r="N114" s="32"/>
      <c r="O114" s="32"/>
    </row>
    <row r="115" spans="2:15" x14ac:dyDescent="0.25">
      <c r="B115" s="32"/>
      <c r="C115" s="32"/>
      <c r="D115" s="32"/>
      <c r="E115" s="32"/>
      <c r="F115" s="32"/>
      <c r="G115" s="32"/>
      <c r="H115" s="32"/>
      <c r="I115" s="32"/>
      <c r="J115" s="32"/>
      <c r="K115" s="32"/>
      <c r="L115" s="32"/>
      <c r="M115" s="32"/>
      <c r="N115" s="32"/>
      <c r="O115" s="32"/>
    </row>
    <row r="116" spans="2:15" x14ac:dyDescent="0.25">
      <c r="B116" s="32"/>
      <c r="C116" s="32"/>
      <c r="D116" s="32"/>
      <c r="E116" s="32"/>
      <c r="F116" s="32"/>
      <c r="G116" s="32"/>
      <c r="H116" s="32"/>
      <c r="I116" s="32"/>
      <c r="J116" s="32"/>
      <c r="K116" s="32"/>
      <c r="L116" s="32"/>
      <c r="M116" s="32"/>
      <c r="N116" s="32"/>
      <c r="O116" s="32"/>
    </row>
    <row r="117" spans="2:15" x14ac:dyDescent="0.25">
      <c r="B117" s="32"/>
      <c r="C117" s="32"/>
      <c r="D117" s="32"/>
      <c r="E117" s="32"/>
      <c r="F117" s="32"/>
      <c r="G117" s="32"/>
      <c r="H117" s="32"/>
      <c r="I117" s="32"/>
      <c r="J117" s="32"/>
      <c r="K117" s="32"/>
      <c r="L117" s="32"/>
      <c r="M117" s="32"/>
      <c r="N117" s="32"/>
      <c r="O117" s="32"/>
    </row>
    <row r="118" spans="2:15" x14ac:dyDescent="0.25">
      <c r="B118" s="32"/>
      <c r="C118" s="32"/>
      <c r="D118" s="32"/>
      <c r="E118" s="32"/>
      <c r="F118" s="32"/>
      <c r="G118" s="32"/>
      <c r="H118" s="32"/>
      <c r="I118" s="32"/>
      <c r="J118" s="32"/>
      <c r="K118" s="32"/>
      <c r="L118" s="32"/>
      <c r="M118" s="32"/>
      <c r="N118" s="32"/>
      <c r="O118" s="32"/>
    </row>
    <row r="119" spans="2:15" x14ac:dyDescent="0.25">
      <c r="B119" s="32"/>
      <c r="C119" s="32"/>
      <c r="D119" s="32"/>
      <c r="E119" s="32"/>
      <c r="F119" s="32"/>
      <c r="G119" s="32"/>
      <c r="H119" s="32"/>
      <c r="I119" s="32"/>
      <c r="J119" s="32"/>
      <c r="K119" s="32"/>
      <c r="L119" s="32"/>
      <c r="M119" s="32"/>
      <c r="N119" s="32"/>
      <c r="O119" s="32"/>
    </row>
    <row r="120" spans="2:15" x14ac:dyDescent="0.25">
      <c r="B120" s="32"/>
      <c r="C120" s="32"/>
      <c r="D120" s="32"/>
      <c r="E120" s="32"/>
      <c r="F120" s="32"/>
      <c r="G120" s="32"/>
      <c r="H120" s="32"/>
      <c r="I120" s="32"/>
      <c r="J120" s="32"/>
      <c r="K120" s="32"/>
      <c r="L120" s="32"/>
      <c r="M120" s="32"/>
      <c r="N120" s="32"/>
      <c r="O120" s="32"/>
    </row>
    <row r="121" spans="2:15" x14ac:dyDescent="0.25">
      <c r="B121" s="32"/>
      <c r="C121" s="32"/>
      <c r="D121" s="32"/>
      <c r="E121" s="32"/>
      <c r="F121" s="32"/>
      <c r="G121" s="32"/>
      <c r="H121" s="32"/>
      <c r="I121" s="32"/>
      <c r="J121" s="32"/>
      <c r="K121" s="32"/>
      <c r="L121" s="32"/>
      <c r="M121" s="32"/>
      <c r="N121" s="32"/>
      <c r="O121" s="32"/>
    </row>
    <row r="122" spans="2:15" x14ac:dyDescent="0.25">
      <c r="B122" s="32"/>
      <c r="C122" s="32"/>
      <c r="D122" s="32"/>
      <c r="E122" s="32"/>
      <c r="F122" s="32"/>
      <c r="G122" s="32"/>
      <c r="H122" s="32"/>
      <c r="I122" s="32"/>
      <c r="J122" s="32"/>
      <c r="K122" s="32"/>
      <c r="L122" s="32"/>
      <c r="M122" s="32"/>
      <c r="N122" s="32"/>
      <c r="O122" s="32"/>
    </row>
    <row r="123" spans="2:15" x14ac:dyDescent="0.25">
      <c r="B123" s="32"/>
      <c r="C123" s="32"/>
      <c r="D123" s="32"/>
      <c r="E123" s="32"/>
      <c r="F123" s="32"/>
      <c r="G123" s="32"/>
      <c r="H123" s="32"/>
      <c r="I123" s="32"/>
      <c r="J123" s="32"/>
      <c r="K123" s="32"/>
      <c r="L123" s="32"/>
      <c r="M123" s="32"/>
      <c r="N123" s="32"/>
      <c r="O123" s="32"/>
    </row>
    <row r="124" spans="2:15" x14ac:dyDescent="0.25">
      <c r="B124" s="32"/>
      <c r="C124" s="32"/>
      <c r="D124" s="32"/>
      <c r="E124" s="32"/>
      <c r="F124" s="32"/>
      <c r="G124" s="32"/>
      <c r="H124" s="32"/>
      <c r="I124" s="32"/>
      <c r="J124" s="32"/>
      <c r="K124" s="32"/>
      <c r="L124" s="32"/>
      <c r="M124" s="32"/>
      <c r="N124" s="32"/>
      <c r="O124" s="32"/>
    </row>
    <row r="125" spans="2:15" x14ac:dyDescent="0.25">
      <c r="B125" s="32"/>
      <c r="C125" s="32"/>
      <c r="D125" s="32"/>
      <c r="E125" s="32"/>
      <c r="F125" s="32"/>
      <c r="G125" s="32"/>
      <c r="H125" s="32"/>
      <c r="I125" s="32"/>
      <c r="J125" s="32"/>
      <c r="K125" s="32"/>
      <c r="L125" s="32"/>
      <c r="M125" s="32"/>
      <c r="N125" s="32"/>
      <c r="O125" s="32"/>
    </row>
    <row r="126" spans="2:15" x14ac:dyDescent="0.25">
      <c r="B126" s="32"/>
      <c r="C126" s="32"/>
      <c r="D126" s="32"/>
      <c r="E126" s="32"/>
      <c r="F126" s="32"/>
      <c r="G126" s="32"/>
      <c r="H126" s="32"/>
      <c r="I126" s="32"/>
      <c r="J126" s="32"/>
      <c r="K126" s="32"/>
      <c r="L126" s="32"/>
      <c r="M126" s="32"/>
      <c r="N126" s="32"/>
      <c r="O126" s="32"/>
    </row>
    <row r="127" spans="2:15" x14ac:dyDescent="0.25">
      <c r="B127" s="32"/>
      <c r="C127" s="32"/>
      <c r="D127" s="32"/>
      <c r="E127" s="32"/>
      <c r="F127" s="32"/>
      <c r="G127" s="32"/>
      <c r="H127" s="32"/>
      <c r="I127" s="32"/>
      <c r="J127" s="32"/>
      <c r="K127" s="32"/>
      <c r="L127" s="32"/>
      <c r="M127" s="32"/>
      <c r="N127" s="32"/>
      <c r="O127" s="32"/>
    </row>
    <row r="128" spans="2:15" x14ac:dyDescent="0.25">
      <c r="B128" s="32"/>
      <c r="C128" s="32"/>
      <c r="D128" s="32"/>
      <c r="E128" s="32"/>
      <c r="F128" s="32"/>
      <c r="G128" s="32"/>
      <c r="H128" s="32"/>
      <c r="I128" s="32"/>
      <c r="J128" s="32"/>
      <c r="K128" s="32"/>
      <c r="L128" s="32"/>
      <c r="M128" s="32"/>
      <c r="N128" s="32"/>
      <c r="O128" s="32"/>
    </row>
    <row r="129" spans="2:15" x14ac:dyDescent="0.25">
      <c r="B129" s="32"/>
      <c r="C129" s="32"/>
      <c r="D129" s="32"/>
      <c r="E129" s="32"/>
      <c r="F129" s="32"/>
      <c r="G129" s="32"/>
      <c r="H129" s="32"/>
      <c r="I129" s="32"/>
      <c r="J129" s="32"/>
      <c r="K129" s="32"/>
      <c r="L129" s="32"/>
      <c r="M129" s="32"/>
      <c r="N129" s="32"/>
      <c r="O129" s="32"/>
    </row>
    <row r="130" spans="2:15" x14ac:dyDescent="0.25">
      <c r="B130" s="32"/>
      <c r="C130" s="32"/>
      <c r="D130" s="32"/>
      <c r="E130" s="32"/>
      <c r="F130" s="32"/>
      <c r="G130" s="32"/>
      <c r="H130" s="32"/>
      <c r="I130" s="32"/>
      <c r="J130" s="32"/>
      <c r="K130" s="32"/>
      <c r="L130" s="32"/>
      <c r="M130" s="32"/>
      <c r="N130" s="32"/>
      <c r="O130" s="32"/>
    </row>
    <row r="131" spans="2:15" x14ac:dyDescent="0.25">
      <c r="B131" s="32"/>
      <c r="C131" s="32"/>
      <c r="D131" s="32"/>
      <c r="E131" s="32"/>
      <c r="F131" s="32"/>
      <c r="G131" s="32"/>
      <c r="H131" s="32"/>
      <c r="I131" s="32"/>
      <c r="J131" s="32"/>
      <c r="K131" s="32"/>
      <c r="L131" s="32"/>
      <c r="M131" s="32"/>
      <c r="N131" s="32"/>
      <c r="O131" s="32"/>
    </row>
    <row r="132" spans="2:15" x14ac:dyDescent="0.25">
      <c r="B132" s="32"/>
      <c r="C132" s="32"/>
      <c r="D132" s="32"/>
      <c r="E132" s="32"/>
      <c r="F132" s="32"/>
      <c r="G132" s="32"/>
      <c r="H132" s="32"/>
      <c r="I132" s="32"/>
      <c r="J132" s="32"/>
      <c r="K132" s="32"/>
      <c r="L132" s="32"/>
      <c r="M132" s="32"/>
      <c r="N132" s="32"/>
      <c r="O132" s="32"/>
    </row>
    <row r="133" spans="2:15" x14ac:dyDescent="0.25">
      <c r="B133" s="32"/>
      <c r="C133" s="32"/>
      <c r="D133" s="32"/>
      <c r="E133" s="32"/>
      <c r="F133" s="32"/>
      <c r="G133" s="32"/>
      <c r="H133" s="32"/>
      <c r="I133" s="32"/>
      <c r="J133" s="32"/>
      <c r="K133" s="32"/>
      <c r="L133" s="32"/>
      <c r="M133" s="32"/>
      <c r="N133" s="32"/>
      <c r="O133" s="32"/>
    </row>
    <row r="134" spans="2:15" x14ac:dyDescent="0.25">
      <c r="B134" s="32"/>
      <c r="C134" s="32"/>
      <c r="D134" s="32"/>
      <c r="E134" s="32"/>
      <c r="F134" s="32"/>
      <c r="G134" s="32"/>
      <c r="H134" s="32"/>
      <c r="I134" s="32"/>
      <c r="J134" s="32"/>
      <c r="K134" s="32"/>
      <c r="L134" s="32"/>
      <c r="M134" s="32"/>
      <c r="N134" s="32"/>
      <c r="O134" s="32"/>
    </row>
    <row r="135" spans="2:15" x14ac:dyDescent="0.25">
      <c r="B135" s="32"/>
      <c r="C135" s="32"/>
      <c r="D135" s="32"/>
      <c r="E135" s="32"/>
      <c r="F135" s="32"/>
      <c r="G135" s="32"/>
      <c r="H135" s="32"/>
      <c r="I135" s="32"/>
      <c r="J135" s="32"/>
      <c r="K135" s="32"/>
      <c r="L135" s="32"/>
      <c r="M135" s="32"/>
      <c r="N135" s="32"/>
      <c r="O135" s="32"/>
    </row>
    <row r="136" spans="2:15" x14ac:dyDescent="0.25">
      <c r="B136" s="32"/>
      <c r="C136" s="32"/>
      <c r="D136" s="32"/>
      <c r="E136" s="32"/>
      <c r="F136" s="32"/>
      <c r="G136" s="32"/>
      <c r="H136" s="32"/>
      <c r="I136" s="32"/>
      <c r="J136" s="32"/>
      <c r="K136" s="32"/>
      <c r="L136" s="32"/>
      <c r="M136" s="32"/>
      <c r="N136" s="32"/>
      <c r="O136" s="32"/>
    </row>
    <row r="137" spans="2:15" x14ac:dyDescent="0.25">
      <c r="B137" s="32"/>
      <c r="C137" s="32"/>
      <c r="D137" s="32"/>
      <c r="E137" s="32"/>
      <c r="F137" s="32"/>
      <c r="G137" s="32"/>
      <c r="H137" s="32"/>
      <c r="I137" s="32"/>
      <c r="J137" s="32"/>
      <c r="K137" s="32"/>
      <c r="L137" s="32"/>
      <c r="M137" s="32"/>
      <c r="N137" s="32"/>
      <c r="O137" s="32"/>
    </row>
    <row r="138" spans="2:15" x14ac:dyDescent="0.25">
      <c r="B138" s="32"/>
      <c r="C138" s="32"/>
      <c r="D138" s="32"/>
      <c r="E138" s="32"/>
      <c r="F138" s="32"/>
      <c r="G138" s="32"/>
      <c r="H138" s="32"/>
      <c r="I138" s="32"/>
      <c r="J138" s="32"/>
      <c r="K138" s="32"/>
      <c r="L138" s="32"/>
      <c r="M138" s="32"/>
      <c r="N138" s="32"/>
      <c r="O138" s="32"/>
    </row>
    <row r="139" spans="2:15" x14ac:dyDescent="0.25">
      <c r="B139" s="32"/>
      <c r="C139" s="32"/>
      <c r="D139" s="32"/>
      <c r="E139" s="32"/>
      <c r="F139" s="32"/>
      <c r="G139" s="32"/>
      <c r="H139" s="32"/>
      <c r="I139" s="32"/>
      <c r="J139" s="32"/>
      <c r="K139" s="32"/>
      <c r="L139" s="32"/>
      <c r="M139" s="32"/>
      <c r="N139" s="32"/>
      <c r="O139" s="32"/>
    </row>
    <row r="140" spans="2:15" x14ac:dyDescent="0.25">
      <c r="B140" s="32"/>
      <c r="C140" s="32"/>
      <c r="D140" s="32"/>
      <c r="E140" s="32"/>
      <c r="F140" s="32"/>
      <c r="G140" s="32"/>
      <c r="H140" s="32"/>
      <c r="I140" s="32"/>
      <c r="J140" s="32"/>
      <c r="K140" s="32"/>
      <c r="L140" s="32"/>
      <c r="M140" s="32"/>
      <c r="N140" s="32"/>
      <c r="O140" s="32"/>
    </row>
    <row r="141" spans="2:15" x14ac:dyDescent="0.25">
      <c r="B141" s="32"/>
      <c r="C141" s="32"/>
      <c r="D141" s="32"/>
      <c r="E141" s="32"/>
      <c r="F141" s="32"/>
      <c r="G141" s="32"/>
      <c r="H141" s="32"/>
      <c r="I141" s="32"/>
      <c r="J141" s="32"/>
      <c r="K141" s="32"/>
      <c r="L141" s="32"/>
      <c r="M141" s="32"/>
      <c r="N141" s="32"/>
      <c r="O141" s="32"/>
    </row>
    <row r="142" spans="2:15" x14ac:dyDescent="0.25">
      <c r="B142" s="32"/>
      <c r="C142" s="32"/>
      <c r="D142" s="32"/>
      <c r="E142" s="32"/>
      <c r="F142" s="32"/>
      <c r="G142" s="32"/>
      <c r="H142" s="32"/>
      <c r="I142" s="32"/>
      <c r="J142" s="32"/>
      <c r="K142" s="32"/>
      <c r="L142" s="32"/>
      <c r="M142" s="32"/>
      <c r="N142" s="32"/>
      <c r="O142" s="32"/>
    </row>
    <row r="143" spans="2:15" x14ac:dyDescent="0.25">
      <c r="B143" s="32"/>
      <c r="C143" s="32"/>
      <c r="D143" s="32"/>
      <c r="E143" s="32"/>
      <c r="F143" s="32"/>
      <c r="G143" s="32"/>
      <c r="H143" s="32"/>
      <c r="I143" s="32"/>
      <c r="J143" s="32"/>
      <c r="K143" s="32"/>
      <c r="L143" s="32"/>
      <c r="M143" s="32"/>
      <c r="N143" s="32"/>
      <c r="O143" s="32"/>
    </row>
    <row r="144" spans="2:15" x14ac:dyDescent="0.25">
      <c r="B144" s="32"/>
      <c r="C144" s="32"/>
      <c r="D144" s="32"/>
      <c r="E144" s="32"/>
      <c r="F144" s="32"/>
      <c r="G144" s="32"/>
      <c r="H144" s="32"/>
      <c r="I144" s="32"/>
      <c r="J144" s="32"/>
      <c r="K144" s="32"/>
      <c r="L144" s="32"/>
      <c r="M144" s="32"/>
      <c r="N144" s="32"/>
      <c r="O144" s="32"/>
    </row>
    <row r="145" spans="2:15" x14ac:dyDescent="0.25">
      <c r="B145" s="32"/>
      <c r="C145" s="32"/>
      <c r="D145" s="32"/>
      <c r="E145" s="32"/>
      <c r="F145" s="32"/>
      <c r="G145" s="32"/>
      <c r="H145" s="32"/>
      <c r="I145" s="32"/>
      <c r="J145" s="32"/>
      <c r="K145" s="32"/>
      <c r="L145" s="32"/>
      <c r="M145" s="32"/>
      <c r="N145" s="32"/>
      <c r="O145" s="32"/>
    </row>
    <row r="146" spans="2:15" x14ac:dyDescent="0.25">
      <c r="B146" s="32"/>
      <c r="C146" s="32"/>
      <c r="D146" s="32"/>
      <c r="E146" s="32"/>
      <c r="F146" s="32"/>
      <c r="G146" s="32"/>
      <c r="H146" s="32"/>
      <c r="I146" s="32"/>
      <c r="J146" s="32"/>
      <c r="K146" s="32"/>
      <c r="L146" s="32"/>
      <c r="M146" s="32"/>
      <c r="N146" s="32"/>
      <c r="O146" s="32"/>
    </row>
    <row r="147" spans="2:15" x14ac:dyDescent="0.25">
      <c r="B147" s="32"/>
      <c r="C147" s="32"/>
      <c r="D147" s="32"/>
      <c r="E147" s="32"/>
      <c r="F147" s="32"/>
      <c r="G147" s="32"/>
      <c r="H147" s="32"/>
      <c r="I147" s="32"/>
      <c r="J147" s="32"/>
      <c r="K147" s="32"/>
      <c r="L147" s="32"/>
      <c r="M147" s="32"/>
      <c r="N147" s="32"/>
      <c r="O147" s="32"/>
    </row>
    <row r="148" spans="2:15" x14ac:dyDescent="0.25">
      <c r="B148" s="32"/>
      <c r="C148" s="32"/>
      <c r="D148" s="32"/>
      <c r="E148" s="32"/>
      <c r="F148" s="32"/>
      <c r="G148" s="32"/>
      <c r="H148" s="32"/>
      <c r="I148" s="32"/>
      <c r="J148" s="32"/>
      <c r="K148" s="32"/>
      <c r="L148" s="32"/>
      <c r="M148" s="32"/>
      <c r="N148" s="32"/>
      <c r="O148" s="32"/>
    </row>
    <row r="149" spans="2:15" x14ac:dyDescent="0.25">
      <c r="B149" s="32"/>
      <c r="C149" s="32"/>
      <c r="D149" s="32"/>
      <c r="E149" s="32"/>
      <c r="F149" s="32"/>
      <c r="G149" s="32"/>
      <c r="H149" s="32"/>
      <c r="I149" s="32"/>
      <c r="J149" s="32"/>
      <c r="K149" s="32"/>
      <c r="L149" s="32"/>
      <c r="M149" s="32"/>
      <c r="N149" s="32"/>
      <c r="O149" s="32"/>
    </row>
    <row r="150" spans="2:15" x14ac:dyDescent="0.25">
      <c r="B150" s="32"/>
      <c r="C150" s="32"/>
      <c r="D150" s="32"/>
      <c r="E150" s="32"/>
      <c r="F150" s="32"/>
      <c r="G150" s="32"/>
      <c r="H150" s="32"/>
      <c r="I150" s="32"/>
      <c r="J150" s="32"/>
      <c r="K150" s="32"/>
      <c r="L150" s="32"/>
      <c r="M150" s="32"/>
      <c r="N150" s="32"/>
      <c r="O150" s="32"/>
    </row>
    <row r="151" spans="2:15" x14ac:dyDescent="0.25">
      <c r="B151" s="32"/>
      <c r="C151" s="32"/>
      <c r="D151" s="32"/>
      <c r="E151" s="32"/>
      <c r="F151" s="32"/>
      <c r="G151" s="32"/>
      <c r="H151" s="32"/>
      <c r="I151" s="32"/>
      <c r="J151" s="32"/>
      <c r="K151" s="32"/>
      <c r="L151" s="32"/>
      <c r="M151" s="32"/>
      <c r="N151" s="32"/>
      <c r="O151" s="32"/>
    </row>
    <row r="152" spans="2:15" x14ac:dyDescent="0.25">
      <c r="B152" s="32"/>
      <c r="C152" s="32"/>
      <c r="D152" s="32"/>
      <c r="E152" s="32"/>
      <c r="F152" s="32"/>
      <c r="G152" s="32"/>
      <c r="H152" s="32"/>
      <c r="I152" s="32"/>
      <c r="J152" s="32"/>
      <c r="K152" s="32"/>
      <c r="L152" s="32"/>
      <c r="M152" s="32"/>
      <c r="N152" s="32"/>
      <c r="O152" s="32"/>
    </row>
    <row r="153" spans="2:15" x14ac:dyDescent="0.25">
      <c r="B153" s="32"/>
      <c r="C153" s="32"/>
      <c r="D153" s="32"/>
      <c r="E153" s="32"/>
      <c r="F153" s="32"/>
      <c r="G153" s="32"/>
      <c r="H153" s="32"/>
      <c r="I153" s="32"/>
      <c r="J153" s="32"/>
      <c r="K153" s="32"/>
      <c r="L153" s="32"/>
      <c r="M153" s="32"/>
      <c r="N153" s="32"/>
      <c r="O153" s="32"/>
    </row>
    <row r="154" spans="2:15" x14ac:dyDescent="0.25">
      <c r="B154" s="32"/>
      <c r="C154" s="32"/>
      <c r="D154" s="32"/>
      <c r="E154" s="32"/>
      <c r="F154" s="32"/>
      <c r="G154" s="32"/>
      <c r="H154" s="32"/>
      <c r="I154" s="32"/>
      <c r="J154" s="32"/>
      <c r="K154" s="32"/>
      <c r="L154" s="32"/>
      <c r="M154" s="32"/>
      <c r="N154" s="32"/>
      <c r="O154" s="32"/>
    </row>
    <row r="155" spans="2:15" x14ac:dyDescent="0.25">
      <c r="B155" s="32"/>
      <c r="C155" s="32"/>
      <c r="D155" s="32"/>
      <c r="E155" s="32"/>
      <c r="F155" s="32"/>
      <c r="G155" s="32"/>
      <c r="H155" s="32"/>
      <c r="I155" s="32"/>
      <c r="J155" s="32"/>
      <c r="K155" s="32"/>
      <c r="L155" s="32"/>
      <c r="M155" s="32"/>
      <c r="N155" s="32"/>
      <c r="O155" s="32"/>
    </row>
    <row r="156" spans="2:15" x14ac:dyDescent="0.25">
      <c r="B156" s="32"/>
      <c r="C156" s="32"/>
      <c r="D156" s="32"/>
      <c r="E156" s="32"/>
      <c r="F156" s="32"/>
      <c r="G156" s="32"/>
      <c r="H156" s="32"/>
      <c r="I156" s="32"/>
      <c r="J156" s="32"/>
      <c r="K156" s="32"/>
      <c r="L156" s="32"/>
      <c r="M156" s="32"/>
      <c r="N156" s="32"/>
      <c r="O156" s="32"/>
    </row>
    <row r="157" spans="2:15" x14ac:dyDescent="0.25">
      <c r="B157" s="32"/>
      <c r="C157" s="32"/>
      <c r="D157" s="32"/>
      <c r="E157" s="32"/>
      <c r="F157" s="32"/>
      <c r="G157" s="32"/>
      <c r="H157" s="32"/>
      <c r="I157" s="32"/>
      <c r="J157" s="32"/>
      <c r="K157" s="32"/>
      <c r="L157" s="32"/>
      <c r="M157" s="32"/>
      <c r="N157" s="32"/>
      <c r="O157" s="32"/>
    </row>
    <row r="158" spans="2:15" x14ac:dyDescent="0.25">
      <c r="B158" s="32"/>
      <c r="C158" s="32"/>
      <c r="D158" s="32"/>
      <c r="E158" s="32"/>
      <c r="F158" s="32"/>
      <c r="G158" s="32"/>
      <c r="H158" s="32"/>
      <c r="I158" s="32"/>
      <c r="J158" s="32"/>
      <c r="K158" s="32"/>
      <c r="L158" s="32"/>
      <c r="M158" s="32"/>
      <c r="N158" s="32"/>
      <c r="O158" s="32"/>
    </row>
    <row r="159" spans="2:15" x14ac:dyDescent="0.25">
      <c r="B159" s="32"/>
      <c r="C159" s="32"/>
      <c r="D159" s="32"/>
      <c r="E159" s="32"/>
      <c r="F159" s="32"/>
      <c r="G159" s="32"/>
      <c r="H159" s="32"/>
      <c r="I159" s="32"/>
      <c r="J159" s="32"/>
      <c r="K159" s="32"/>
      <c r="L159" s="32"/>
      <c r="M159" s="32"/>
      <c r="N159" s="32"/>
      <c r="O159" s="32"/>
    </row>
    <row r="160" spans="2:15" x14ac:dyDescent="0.25">
      <c r="B160" s="32"/>
      <c r="C160" s="32"/>
      <c r="D160" s="32"/>
      <c r="E160" s="32"/>
      <c r="F160" s="32"/>
      <c r="G160" s="32"/>
      <c r="H160" s="32"/>
      <c r="I160" s="32"/>
      <c r="J160" s="32"/>
      <c r="K160" s="32"/>
      <c r="L160" s="32"/>
      <c r="M160" s="32"/>
      <c r="N160" s="32"/>
      <c r="O160" s="32"/>
    </row>
    <row r="161" spans="2:15" x14ac:dyDescent="0.25">
      <c r="B161" s="32"/>
      <c r="C161" s="32"/>
      <c r="D161" s="32"/>
      <c r="E161" s="32"/>
      <c r="F161" s="32"/>
      <c r="G161" s="32"/>
      <c r="H161" s="32"/>
      <c r="I161" s="32"/>
      <c r="J161" s="32"/>
      <c r="K161" s="32"/>
      <c r="L161" s="32"/>
      <c r="M161" s="32"/>
      <c r="N161" s="32"/>
      <c r="O161" s="32"/>
    </row>
    <row r="162" spans="2:15" x14ac:dyDescent="0.25">
      <c r="B162" s="32"/>
      <c r="C162" s="32"/>
      <c r="D162" s="32"/>
      <c r="E162" s="32"/>
      <c r="F162" s="32"/>
      <c r="G162" s="32"/>
      <c r="H162" s="32"/>
      <c r="I162" s="32"/>
      <c r="J162" s="32"/>
      <c r="K162" s="32"/>
      <c r="L162" s="32"/>
      <c r="M162" s="32"/>
      <c r="N162" s="32"/>
      <c r="O162" s="32"/>
    </row>
    <row r="163" spans="2:15" x14ac:dyDescent="0.25">
      <c r="B163" s="32"/>
      <c r="C163" s="32"/>
      <c r="D163" s="32"/>
      <c r="E163" s="32"/>
      <c r="F163" s="32"/>
      <c r="G163" s="32"/>
      <c r="H163" s="32"/>
      <c r="I163" s="32"/>
      <c r="J163" s="32"/>
      <c r="K163" s="32"/>
      <c r="L163" s="32"/>
      <c r="M163" s="32"/>
      <c r="N163" s="32"/>
      <c r="O163" s="32"/>
    </row>
    <row r="164" spans="2:15" x14ac:dyDescent="0.25">
      <c r="B164" s="32"/>
      <c r="C164" s="32"/>
      <c r="D164" s="32"/>
      <c r="E164" s="32"/>
      <c r="F164" s="32"/>
      <c r="G164" s="32"/>
      <c r="H164" s="32"/>
      <c r="I164" s="32"/>
      <c r="J164" s="32"/>
      <c r="K164" s="32"/>
      <c r="L164" s="32"/>
      <c r="M164" s="32"/>
      <c r="N164" s="32"/>
      <c r="O164" s="32"/>
    </row>
    <row r="165" spans="2:15" x14ac:dyDescent="0.25">
      <c r="B165" s="32"/>
      <c r="C165" s="32"/>
      <c r="D165" s="32"/>
      <c r="E165" s="32"/>
      <c r="F165" s="32"/>
      <c r="G165" s="32"/>
      <c r="H165" s="32"/>
      <c r="I165" s="32"/>
      <c r="J165" s="32"/>
      <c r="K165" s="32"/>
      <c r="L165" s="32"/>
      <c r="M165" s="32"/>
      <c r="N165" s="32"/>
      <c r="O165" s="32"/>
    </row>
    <row r="166" spans="2:15" x14ac:dyDescent="0.25">
      <c r="B166" s="32"/>
      <c r="C166" s="32"/>
      <c r="D166" s="32"/>
      <c r="E166" s="32"/>
      <c r="F166" s="32"/>
      <c r="G166" s="32"/>
      <c r="H166" s="32"/>
      <c r="I166" s="32"/>
      <c r="J166" s="32"/>
      <c r="K166" s="32"/>
      <c r="L166" s="32"/>
      <c r="M166" s="32"/>
      <c r="N166" s="32"/>
      <c r="O166" s="32"/>
    </row>
    <row r="167" spans="2:15" x14ac:dyDescent="0.25">
      <c r="B167" s="32"/>
      <c r="C167" s="32"/>
      <c r="D167" s="32"/>
      <c r="E167" s="32"/>
      <c r="F167" s="32"/>
      <c r="G167" s="32"/>
      <c r="H167" s="32"/>
      <c r="I167" s="32"/>
      <c r="J167" s="32"/>
      <c r="K167" s="32"/>
      <c r="L167" s="32"/>
      <c r="M167" s="32"/>
      <c r="N167" s="32"/>
      <c r="O167" s="32"/>
    </row>
    <row r="168" spans="2:15" x14ac:dyDescent="0.25">
      <c r="B168" s="32"/>
      <c r="C168" s="32"/>
      <c r="D168" s="32"/>
      <c r="E168" s="32"/>
      <c r="F168" s="32"/>
      <c r="G168" s="32"/>
      <c r="H168" s="32"/>
      <c r="I168" s="32"/>
      <c r="J168" s="32"/>
      <c r="K168" s="32"/>
      <c r="L168" s="32"/>
      <c r="M168" s="32"/>
      <c r="N168" s="32"/>
      <c r="O168" s="32"/>
    </row>
    <row r="169" spans="2:15" x14ac:dyDescent="0.25">
      <c r="B169" s="32"/>
      <c r="C169" s="32"/>
      <c r="D169" s="32"/>
      <c r="E169" s="32"/>
      <c r="F169" s="32"/>
      <c r="G169" s="32"/>
      <c r="H169" s="32"/>
      <c r="I169" s="32"/>
      <c r="J169" s="32"/>
      <c r="K169" s="32"/>
      <c r="L169" s="32"/>
      <c r="M169" s="32"/>
      <c r="N169" s="32"/>
      <c r="O169" s="32"/>
    </row>
    <row r="170" spans="2:15" x14ac:dyDescent="0.25">
      <c r="B170" s="32"/>
      <c r="C170" s="32"/>
      <c r="D170" s="32"/>
      <c r="E170" s="32"/>
      <c r="F170" s="32"/>
      <c r="G170" s="32"/>
      <c r="H170" s="32"/>
      <c r="I170" s="32"/>
      <c r="J170" s="32"/>
      <c r="K170" s="32"/>
      <c r="L170" s="32"/>
      <c r="M170" s="32"/>
      <c r="N170" s="32"/>
      <c r="O170" s="32"/>
    </row>
    <row r="171" spans="2:15" x14ac:dyDescent="0.25">
      <c r="B171" s="32"/>
      <c r="C171" s="32"/>
      <c r="D171" s="32"/>
      <c r="E171" s="32"/>
      <c r="F171" s="32"/>
      <c r="G171" s="32"/>
      <c r="H171" s="32"/>
      <c r="I171" s="32"/>
      <c r="J171" s="32"/>
      <c r="K171" s="32"/>
      <c r="L171" s="32"/>
      <c r="M171" s="32"/>
      <c r="N171" s="32"/>
      <c r="O171" s="32"/>
    </row>
    <row r="172" spans="2:15" x14ac:dyDescent="0.25">
      <c r="B172" s="32"/>
      <c r="C172" s="32"/>
      <c r="D172" s="32"/>
      <c r="E172" s="32"/>
      <c r="F172" s="32"/>
      <c r="G172" s="32"/>
      <c r="H172" s="32"/>
      <c r="I172" s="32"/>
      <c r="J172" s="32"/>
      <c r="K172" s="32"/>
      <c r="L172" s="32"/>
      <c r="M172" s="32"/>
      <c r="N172" s="32"/>
      <c r="O172" s="32"/>
    </row>
    <row r="173" spans="2:15" x14ac:dyDescent="0.25">
      <c r="B173" s="32"/>
      <c r="C173" s="32"/>
      <c r="D173" s="32"/>
      <c r="E173" s="32"/>
      <c r="F173" s="32"/>
      <c r="G173" s="32"/>
      <c r="H173" s="32"/>
      <c r="I173" s="32"/>
      <c r="J173" s="32"/>
      <c r="K173" s="32"/>
      <c r="L173" s="32"/>
      <c r="M173" s="32"/>
      <c r="N173" s="32"/>
      <c r="O173" s="32"/>
    </row>
    <row r="174" spans="2:15" x14ac:dyDescent="0.25">
      <c r="B174" s="32"/>
      <c r="C174" s="32"/>
      <c r="D174" s="32"/>
      <c r="E174" s="32"/>
      <c r="F174" s="32"/>
      <c r="G174" s="32"/>
      <c r="H174" s="32"/>
      <c r="I174" s="32"/>
      <c r="J174" s="32"/>
      <c r="K174" s="32"/>
      <c r="L174" s="32"/>
      <c r="M174" s="32"/>
      <c r="N174" s="32"/>
      <c r="O174" s="32"/>
    </row>
    <row r="175" spans="2:15" x14ac:dyDescent="0.25">
      <c r="B175" s="32"/>
      <c r="C175" s="32"/>
      <c r="D175" s="32"/>
      <c r="E175" s="32"/>
      <c r="F175" s="32"/>
      <c r="G175" s="32"/>
      <c r="H175" s="32"/>
      <c r="I175" s="32"/>
      <c r="J175" s="32"/>
      <c r="K175" s="32"/>
      <c r="L175" s="32"/>
      <c r="M175" s="32"/>
      <c r="N175" s="32"/>
      <c r="O175" s="32"/>
    </row>
    <row r="176" spans="2:15" x14ac:dyDescent="0.25">
      <c r="B176" s="32"/>
      <c r="C176" s="32"/>
      <c r="D176" s="32"/>
      <c r="E176" s="32"/>
      <c r="F176" s="32"/>
      <c r="G176" s="32"/>
      <c r="H176" s="32"/>
      <c r="I176" s="32"/>
      <c r="J176" s="32"/>
      <c r="K176" s="32"/>
      <c r="L176" s="32"/>
      <c r="M176" s="32"/>
      <c r="N176" s="32"/>
      <c r="O176" s="32"/>
    </row>
    <row r="177" spans="2:15" x14ac:dyDescent="0.25">
      <c r="B177" s="32"/>
      <c r="C177" s="32"/>
      <c r="D177" s="32"/>
      <c r="E177" s="32"/>
      <c r="F177" s="32"/>
      <c r="G177" s="32"/>
      <c r="H177" s="32"/>
      <c r="I177" s="32"/>
      <c r="J177" s="32"/>
      <c r="K177" s="32"/>
      <c r="L177" s="32"/>
      <c r="M177" s="32"/>
      <c r="N177" s="32"/>
      <c r="O177" s="32"/>
    </row>
    <row r="178" spans="2:15" x14ac:dyDescent="0.25">
      <c r="B178" s="32"/>
      <c r="C178" s="32"/>
      <c r="D178" s="32"/>
      <c r="E178" s="32"/>
      <c r="F178" s="32"/>
      <c r="G178" s="32"/>
      <c r="H178" s="32"/>
      <c r="I178" s="32"/>
      <c r="J178" s="32"/>
      <c r="K178" s="32"/>
      <c r="L178" s="32"/>
      <c r="M178" s="32"/>
      <c r="N178" s="32"/>
      <c r="O178" s="32"/>
    </row>
    <row r="179" spans="2:15" x14ac:dyDescent="0.25">
      <c r="B179" s="32"/>
      <c r="C179" s="32"/>
      <c r="D179" s="32"/>
      <c r="E179" s="32"/>
      <c r="F179" s="32"/>
      <c r="G179" s="32"/>
      <c r="H179" s="32"/>
      <c r="I179" s="32"/>
      <c r="J179" s="32"/>
      <c r="K179" s="32"/>
      <c r="L179" s="32"/>
      <c r="M179" s="32"/>
      <c r="N179" s="32"/>
      <c r="O179" s="32"/>
    </row>
    <row r="180" spans="2:15" x14ac:dyDescent="0.25">
      <c r="B180" s="32"/>
      <c r="C180" s="32"/>
      <c r="D180" s="32"/>
      <c r="E180" s="32"/>
      <c r="F180" s="32"/>
      <c r="G180" s="32"/>
      <c r="H180" s="32"/>
      <c r="I180" s="32"/>
      <c r="J180" s="32"/>
      <c r="K180" s="32"/>
      <c r="L180" s="32"/>
      <c r="M180" s="32"/>
      <c r="N180" s="32"/>
      <c r="O180" s="32"/>
    </row>
    <row r="181" spans="2:15" x14ac:dyDescent="0.25">
      <c r="B181" s="32"/>
      <c r="C181" s="32"/>
      <c r="D181" s="32"/>
      <c r="E181" s="32"/>
      <c r="F181" s="32"/>
      <c r="G181" s="32"/>
      <c r="H181" s="32"/>
      <c r="I181" s="32"/>
      <c r="J181" s="32"/>
      <c r="K181" s="32"/>
      <c r="L181" s="32"/>
      <c r="M181" s="32"/>
      <c r="N181" s="32"/>
      <c r="O181" s="32"/>
    </row>
    <row r="182" spans="2:15" x14ac:dyDescent="0.25">
      <c r="B182" s="32"/>
      <c r="C182" s="32"/>
      <c r="D182" s="32"/>
      <c r="E182" s="32"/>
      <c r="F182" s="32"/>
      <c r="G182" s="32"/>
      <c r="H182" s="32"/>
      <c r="I182" s="32"/>
      <c r="J182" s="32"/>
      <c r="K182" s="32"/>
      <c r="L182" s="32"/>
      <c r="M182" s="32"/>
      <c r="N182" s="32"/>
      <c r="O182" s="32"/>
    </row>
    <row r="183" spans="2:15" x14ac:dyDescent="0.25">
      <c r="B183" s="32"/>
      <c r="C183" s="32"/>
      <c r="D183" s="32"/>
      <c r="E183" s="32"/>
      <c r="F183" s="32"/>
      <c r="G183" s="32"/>
      <c r="H183" s="32"/>
      <c r="I183" s="32"/>
      <c r="J183" s="32"/>
      <c r="K183" s="32"/>
      <c r="L183" s="32"/>
      <c r="M183" s="32"/>
      <c r="N183" s="32"/>
      <c r="O183" s="32"/>
    </row>
    <row r="184" spans="2:15" x14ac:dyDescent="0.25">
      <c r="B184" s="32"/>
      <c r="C184" s="32"/>
      <c r="D184" s="32"/>
      <c r="E184" s="32"/>
      <c r="F184" s="32"/>
      <c r="G184" s="32"/>
      <c r="H184" s="32"/>
      <c r="I184" s="32"/>
      <c r="J184" s="32"/>
      <c r="K184" s="32"/>
      <c r="L184" s="32"/>
      <c r="M184" s="32"/>
      <c r="N184" s="32"/>
      <c r="O184" s="32"/>
    </row>
    <row r="185" spans="2:15" x14ac:dyDescent="0.25">
      <c r="B185" s="32"/>
      <c r="C185" s="32"/>
      <c r="D185" s="32"/>
      <c r="E185" s="32"/>
      <c r="F185" s="32"/>
      <c r="G185" s="32"/>
      <c r="H185" s="32"/>
      <c r="I185" s="32"/>
      <c r="J185" s="32"/>
      <c r="K185" s="32"/>
      <c r="L185" s="32"/>
      <c r="M185" s="32"/>
      <c r="N185" s="32"/>
      <c r="O185" s="32"/>
    </row>
    <row r="186" spans="2:15" x14ac:dyDescent="0.25">
      <c r="B186" s="32"/>
      <c r="C186" s="32"/>
      <c r="D186" s="32"/>
      <c r="E186" s="32"/>
      <c r="F186" s="32"/>
      <c r="G186" s="32"/>
      <c r="H186" s="32"/>
      <c r="I186" s="32"/>
      <c r="J186" s="32"/>
      <c r="K186" s="32"/>
      <c r="L186" s="32"/>
      <c r="M186" s="32"/>
      <c r="N186" s="32"/>
      <c r="O186" s="32"/>
    </row>
    <row r="187" spans="2:15" x14ac:dyDescent="0.25">
      <c r="B187" s="32"/>
      <c r="C187" s="32"/>
      <c r="D187" s="32"/>
      <c r="E187" s="32"/>
      <c r="F187" s="32"/>
      <c r="G187" s="32"/>
      <c r="H187" s="32"/>
      <c r="I187" s="32"/>
      <c r="J187" s="32"/>
      <c r="K187" s="32"/>
      <c r="L187" s="32"/>
      <c r="M187" s="32"/>
      <c r="N187" s="32"/>
      <c r="O187" s="32"/>
    </row>
    <row r="188" spans="2:15" x14ac:dyDescent="0.25">
      <c r="B188" s="32"/>
      <c r="C188" s="32"/>
      <c r="D188" s="32"/>
      <c r="E188" s="32"/>
      <c r="F188" s="32"/>
      <c r="G188" s="32"/>
      <c r="H188" s="32"/>
      <c r="I188" s="32"/>
      <c r="J188" s="32"/>
      <c r="K188" s="32"/>
      <c r="L188" s="32"/>
      <c r="M188" s="32"/>
      <c r="N188" s="32"/>
      <c r="O188" s="32"/>
    </row>
    <row r="189" spans="2:15" x14ac:dyDescent="0.25">
      <c r="B189" s="32"/>
      <c r="C189" s="32"/>
      <c r="D189" s="32"/>
      <c r="E189" s="32"/>
      <c r="F189" s="32"/>
      <c r="G189" s="32"/>
      <c r="H189" s="32"/>
      <c r="I189" s="32"/>
      <c r="J189" s="32"/>
      <c r="K189" s="32"/>
      <c r="L189" s="32"/>
      <c r="M189" s="32"/>
      <c r="N189" s="32"/>
      <c r="O189" s="32"/>
    </row>
    <row r="190" spans="2:15" x14ac:dyDescent="0.25">
      <c r="B190" s="32"/>
      <c r="C190" s="32"/>
      <c r="D190" s="32"/>
      <c r="E190" s="32"/>
      <c r="F190" s="32"/>
      <c r="G190" s="32"/>
      <c r="H190" s="32"/>
      <c r="I190" s="32"/>
      <c r="J190" s="32"/>
      <c r="K190" s="32"/>
      <c r="L190" s="32"/>
      <c r="M190" s="32"/>
      <c r="N190" s="32"/>
      <c r="O190" s="32"/>
    </row>
    <row r="191" spans="2:15" x14ac:dyDescent="0.25">
      <c r="B191" s="32"/>
      <c r="C191" s="32"/>
      <c r="D191" s="32"/>
      <c r="E191" s="32"/>
      <c r="F191" s="32"/>
      <c r="G191" s="32"/>
      <c r="H191" s="32"/>
      <c r="I191" s="32"/>
      <c r="J191" s="32"/>
      <c r="K191" s="32"/>
      <c r="L191" s="32"/>
      <c r="M191" s="32"/>
      <c r="N191" s="32"/>
      <c r="O191" s="32"/>
    </row>
    <row r="192" spans="2:15" x14ac:dyDescent="0.25">
      <c r="B192" s="32"/>
      <c r="C192" s="32"/>
      <c r="D192" s="32"/>
      <c r="E192" s="32"/>
      <c r="F192" s="32"/>
      <c r="G192" s="32"/>
      <c r="H192" s="32"/>
      <c r="I192" s="32"/>
      <c r="J192" s="32"/>
      <c r="K192" s="32"/>
      <c r="L192" s="32"/>
      <c r="M192" s="32"/>
      <c r="N192" s="32"/>
      <c r="O192" s="32"/>
    </row>
    <row r="193" spans="2:15" x14ac:dyDescent="0.25">
      <c r="B193" s="32"/>
      <c r="C193" s="32"/>
      <c r="D193" s="32"/>
      <c r="E193" s="32"/>
      <c r="F193" s="32"/>
      <c r="G193" s="32"/>
      <c r="H193" s="32"/>
      <c r="I193" s="32"/>
      <c r="J193" s="32"/>
      <c r="K193" s="32"/>
      <c r="L193" s="32"/>
      <c r="M193" s="32"/>
      <c r="N193" s="32"/>
      <c r="O193" s="32"/>
    </row>
    <row r="194" spans="2:15" x14ac:dyDescent="0.25">
      <c r="B194" s="32"/>
      <c r="C194" s="32"/>
      <c r="D194" s="32"/>
      <c r="E194" s="32"/>
      <c r="F194" s="32"/>
      <c r="G194" s="32"/>
      <c r="H194" s="32"/>
      <c r="I194" s="32"/>
      <c r="J194" s="32"/>
      <c r="K194" s="32"/>
      <c r="L194" s="32"/>
      <c r="M194" s="32"/>
      <c r="N194" s="32"/>
      <c r="O194" s="32"/>
    </row>
    <row r="195" spans="2:15" x14ac:dyDescent="0.25">
      <c r="B195" s="32"/>
      <c r="C195" s="32"/>
      <c r="D195" s="32"/>
      <c r="E195" s="32"/>
      <c r="F195" s="32"/>
      <c r="G195" s="32"/>
      <c r="H195" s="32"/>
      <c r="I195" s="32"/>
      <c r="J195" s="32"/>
      <c r="K195" s="32"/>
      <c r="L195" s="32"/>
      <c r="M195" s="32"/>
      <c r="N195" s="32"/>
      <c r="O195" s="32"/>
    </row>
    <row r="196" spans="2:15" x14ac:dyDescent="0.25">
      <c r="B196" s="32"/>
      <c r="C196" s="32"/>
      <c r="D196" s="32"/>
      <c r="E196" s="32"/>
      <c r="F196" s="32"/>
      <c r="G196" s="32"/>
      <c r="H196" s="32"/>
      <c r="I196" s="32"/>
      <c r="J196" s="32"/>
      <c r="K196" s="32"/>
      <c r="L196" s="32"/>
      <c r="M196" s="32"/>
      <c r="N196" s="32"/>
      <c r="O196" s="32"/>
    </row>
    <row r="197" spans="2:15" x14ac:dyDescent="0.25">
      <c r="B197" s="32"/>
      <c r="C197" s="32"/>
      <c r="D197" s="32"/>
      <c r="E197" s="32"/>
      <c r="F197" s="32"/>
      <c r="G197" s="32"/>
      <c r="H197" s="32"/>
      <c r="I197" s="32"/>
      <c r="J197" s="32"/>
      <c r="K197" s="32"/>
      <c r="L197" s="32"/>
      <c r="M197" s="32"/>
      <c r="N197" s="32"/>
      <c r="O197" s="32"/>
    </row>
    <row r="198" spans="2:15" x14ac:dyDescent="0.25">
      <c r="B198" s="32"/>
      <c r="C198" s="32"/>
      <c r="D198" s="32"/>
      <c r="E198" s="32"/>
      <c r="F198" s="32"/>
      <c r="G198" s="32"/>
      <c r="H198" s="32"/>
      <c r="I198" s="32"/>
      <c r="J198" s="32"/>
      <c r="K198" s="32"/>
      <c r="L198" s="32"/>
      <c r="M198" s="32"/>
      <c r="N198" s="32"/>
      <c r="O198" s="32"/>
    </row>
    <row r="199" spans="2:15" x14ac:dyDescent="0.25">
      <c r="B199" s="32"/>
      <c r="C199" s="32"/>
      <c r="D199" s="32"/>
      <c r="E199" s="32"/>
      <c r="F199" s="32"/>
      <c r="G199" s="32"/>
      <c r="H199" s="32"/>
      <c r="I199" s="32"/>
      <c r="J199" s="32"/>
      <c r="K199" s="32"/>
      <c r="L199" s="32"/>
      <c r="M199" s="32"/>
      <c r="N199" s="32"/>
      <c r="O199" s="32"/>
    </row>
    <row r="200" spans="2:15" x14ac:dyDescent="0.25">
      <c r="B200" s="32"/>
      <c r="C200" s="32"/>
      <c r="D200" s="32"/>
      <c r="E200" s="32"/>
      <c r="F200" s="32"/>
      <c r="G200" s="32"/>
      <c r="H200" s="32"/>
      <c r="I200" s="32"/>
      <c r="J200" s="32"/>
      <c r="K200" s="32"/>
      <c r="L200" s="32"/>
      <c r="M200" s="32"/>
      <c r="N200" s="32"/>
      <c r="O200" s="32"/>
    </row>
  </sheetData>
  <mergeCells count="11">
    <mergeCell ref="C21:G21"/>
    <mergeCell ref="J15:M21"/>
    <mergeCell ref="I4:J4"/>
    <mergeCell ref="J14:K14"/>
    <mergeCell ref="I10:J10"/>
    <mergeCell ref="I11:J11"/>
    <mergeCell ref="I5:J5"/>
    <mergeCell ref="I6:J6"/>
    <mergeCell ref="I7:J7"/>
    <mergeCell ref="I8:J8"/>
    <mergeCell ref="I9:J9"/>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'Data Validation'!$A$2:$A$13</xm:f>
          </x14:formula1>
          <xm:sqref>J14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X5292"/>
  <sheetViews>
    <sheetView showGridLines="0" topLeftCell="A86" zoomScale="70" zoomScaleNormal="70" workbookViewId="0">
      <selection activeCell="D286" sqref="D286"/>
    </sheetView>
  </sheetViews>
  <sheetFormatPr defaultColWidth="25.85546875" defaultRowHeight="13.5" thickBottom="1" x14ac:dyDescent="0.25"/>
  <cols>
    <col min="1" max="3" width="25.85546875" style="6"/>
    <col min="4" max="4" width="25.85546875" style="8"/>
    <col min="5" max="5" width="25.85546875" style="6"/>
    <col min="6" max="6" width="46.28515625" style="6" customWidth="1"/>
    <col min="7" max="7" width="25.85546875" style="8"/>
    <col min="8" max="8" width="25.85546875" style="6"/>
    <col min="9" max="9" width="25.85546875" style="8"/>
    <col min="10" max="10" width="64.5703125" style="6" customWidth="1"/>
    <col min="11" max="11" width="32.5703125" style="6" bestFit="1" customWidth="1"/>
    <col min="12" max="12" width="25.85546875" style="8"/>
    <col min="13" max="23" width="25.85546875" style="5"/>
    <col min="24" max="24" width="25.85546875" style="7"/>
    <col min="25" max="16384" width="25.85546875" style="5"/>
  </cols>
  <sheetData>
    <row r="1" spans="1:24" ht="73.5" customHeight="1" thickBot="1" x14ac:dyDescent="0.25">
      <c r="A1" s="125" t="s">
        <v>19</v>
      </c>
      <c r="B1" s="125"/>
      <c r="C1" s="125"/>
      <c r="D1" s="126"/>
      <c r="E1" s="125"/>
      <c r="F1" s="125"/>
      <c r="G1" s="126"/>
      <c r="H1" s="125"/>
      <c r="I1" s="126"/>
      <c r="J1" s="125"/>
      <c r="K1" s="125"/>
      <c r="L1" s="125"/>
      <c r="X1" s="6" t="s">
        <v>15</v>
      </c>
    </row>
    <row r="2" spans="1:24" ht="30.75" customHeight="1" thickBot="1" x14ac:dyDescent="0.25">
      <c r="A2" s="2" t="s">
        <v>0</v>
      </c>
      <c r="B2" s="2" t="s">
        <v>1</v>
      </c>
      <c r="C2" s="2" t="s">
        <v>2</v>
      </c>
      <c r="D2" s="3" t="s">
        <v>17</v>
      </c>
      <c r="E2" s="2" t="s">
        <v>3</v>
      </c>
      <c r="F2" s="2" t="s">
        <v>4</v>
      </c>
      <c r="G2" s="11" t="s">
        <v>5</v>
      </c>
      <c r="H2" s="12" t="s">
        <v>18</v>
      </c>
      <c r="I2" s="11" t="s">
        <v>6</v>
      </c>
      <c r="J2" s="13" t="s">
        <v>7</v>
      </c>
      <c r="K2" s="13" t="s">
        <v>8</v>
      </c>
      <c r="L2" s="4" t="s">
        <v>9</v>
      </c>
    </row>
    <row r="3" spans="1:24" ht="30.75" customHeight="1" thickBot="1" x14ac:dyDescent="0.25">
      <c r="A3" s="10" t="e">
        <f>'Open Order'!#REF!</f>
        <v>#REF!</v>
      </c>
      <c r="B3" s="6" t="e">
        <f>'Open Order'!#REF!</f>
        <v>#REF!</v>
      </c>
      <c r="C3" s="6" t="e">
        <f>'Open Order'!#REF!</f>
        <v>#REF!</v>
      </c>
      <c r="D3" s="8" t="e">
        <f>'Open Order'!#REF!</f>
        <v>#REF!</v>
      </c>
      <c r="E3" s="9" t="e">
        <f>'Open Order'!#REF!</f>
        <v>#REF!</v>
      </c>
      <c r="F3" s="14" t="e">
        <f>'Open Order'!#REF!</f>
        <v>#REF!</v>
      </c>
      <c r="L3" s="8" t="e">
        <f>'Open Order'!#REF!</f>
        <v>#REF!</v>
      </c>
    </row>
    <row r="4" spans="1:24" ht="30.75" customHeight="1" thickBot="1" x14ac:dyDescent="0.25">
      <c r="A4" s="10" t="e">
        <f>'Open Order'!#REF!</f>
        <v>#REF!</v>
      </c>
      <c r="B4" s="6" t="e">
        <f>'Open Order'!#REF!</f>
        <v>#REF!</v>
      </c>
      <c r="C4" s="6" t="e">
        <f>'Open Order'!#REF!</f>
        <v>#REF!</v>
      </c>
      <c r="D4" s="8" t="e">
        <f>'Open Order'!#REF!</f>
        <v>#REF!</v>
      </c>
      <c r="E4" s="9" t="e">
        <f>'Open Order'!#REF!</f>
        <v>#REF!</v>
      </c>
      <c r="F4" s="14" t="e">
        <f>'Open Order'!#REF!</f>
        <v>#REF!</v>
      </c>
      <c r="L4" s="8" t="e">
        <f>'Open Order'!#REF!</f>
        <v>#REF!</v>
      </c>
    </row>
    <row r="5" spans="1:24" ht="30.75" customHeight="1" thickBot="1" x14ac:dyDescent="0.25">
      <c r="A5" s="10" t="e">
        <f>'Open Order'!#REF!</f>
        <v>#REF!</v>
      </c>
      <c r="B5" s="6" t="e">
        <f>'Open Order'!#REF!</f>
        <v>#REF!</v>
      </c>
      <c r="C5" s="6" t="e">
        <f>'Open Order'!#REF!</f>
        <v>#REF!</v>
      </c>
      <c r="D5" s="8" t="e">
        <f>'Open Order'!#REF!</f>
        <v>#REF!</v>
      </c>
      <c r="E5" s="9" t="e">
        <f>'Open Order'!#REF!</f>
        <v>#REF!</v>
      </c>
      <c r="F5" s="14" t="e">
        <f>'Open Order'!#REF!</f>
        <v>#REF!</v>
      </c>
      <c r="L5" s="8" t="e">
        <f>'Open Order'!#REF!</f>
        <v>#REF!</v>
      </c>
    </row>
    <row r="6" spans="1:24" ht="30.75" customHeight="1" thickBot="1" x14ac:dyDescent="0.25">
      <c r="A6" s="10" t="e">
        <f>'Open Order'!#REF!</f>
        <v>#REF!</v>
      </c>
      <c r="B6" s="6" t="e">
        <f>'Open Order'!#REF!</f>
        <v>#REF!</v>
      </c>
      <c r="C6" s="6" t="e">
        <f>'Open Order'!#REF!</f>
        <v>#REF!</v>
      </c>
      <c r="D6" s="8" t="e">
        <f>'Open Order'!#REF!</f>
        <v>#REF!</v>
      </c>
      <c r="E6" s="9" t="e">
        <f>'Open Order'!#REF!</f>
        <v>#REF!</v>
      </c>
      <c r="F6" s="14" t="e">
        <f>'Open Order'!#REF!</f>
        <v>#REF!</v>
      </c>
      <c r="L6" s="8" t="e">
        <f>'Open Order'!#REF!</f>
        <v>#REF!</v>
      </c>
    </row>
    <row r="7" spans="1:24" ht="30.75" customHeight="1" thickBot="1" x14ac:dyDescent="0.25">
      <c r="A7" s="10" t="e">
        <f>'Open Order'!#REF!</f>
        <v>#REF!</v>
      </c>
      <c r="B7" s="6" t="e">
        <f>'Open Order'!#REF!</f>
        <v>#REF!</v>
      </c>
      <c r="C7" s="6" t="e">
        <f>'Open Order'!#REF!</f>
        <v>#REF!</v>
      </c>
      <c r="D7" s="8" t="e">
        <f>'Open Order'!#REF!</f>
        <v>#REF!</v>
      </c>
      <c r="E7" s="9" t="e">
        <f>'Open Order'!#REF!</f>
        <v>#REF!</v>
      </c>
      <c r="F7" s="14" t="e">
        <f>'Open Order'!#REF!</f>
        <v>#REF!</v>
      </c>
      <c r="L7" s="8" t="e">
        <f>'Open Order'!#REF!</f>
        <v>#REF!</v>
      </c>
    </row>
    <row r="8" spans="1:24" ht="30.75" customHeight="1" thickBot="1" x14ac:dyDescent="0.25">
      <c r="A8" s="10" t="e">
        <f>'Open Order'!#REF!</f>
        <v>#REF!</v>
      </c>
      <c r="B8" s="6" t="e">
        <f>'Open Order'!#REF!</f>
        <v>#REF!</v>
      </c>
      <c r="C8" s="6" t="e">
        <f>'Open Order'!#REF!</f>
        <v>#REF!</v>
      </c>
      <c r="D8" s="8" t="e">
        <f>'Open Order'!#REF!</f>
        <v>#REF!</v>
      </c>
      <c r="E8" s="9" t="e">
        <f>'Open Order'!#REF!</f>
        <v>#REF!</v>
      </c>
      <c r="F8" s="14" t="e">
        <f>'Open Order'!#REF!</f>
        <v>#REF!</v>
      </c>
      <c r="L8" s="8" t="e">
        <f>'Open Order'!#REF!</f>
        <v>#REF!</v>
      </c>
    </row>
    <row r="9" spans="1:24" ht="30.75" customHeight="1" thickBot="1" x14ac:dyDescent="0.25">
      <c r="A9" s="10" t="e">
        <f>'Open Order'!#REF!</f>
        <v>#REF!</v>
      </c>
      <c r="B9" s="6" t="e">
        <f>'Open Order'!#REF!</f>
        <v>#REF!</v>
      </c>
      <c r="C9" s="6" t="e">
        <f>'Open Order'!#REF!</f>
        <v>#REF!</v>
      </c>
      <c r="D9" s="8" t="e">
        <f>'Open Order'!#REF!</f>
        <v>#REF!</v>
      </c>
      <c r="E9" s="9" t="e">
        <f>'Open Order'!#REF!</f>
        <v>#REF!</v>
      </c>
      <c r="F9" s="14" t="e">
        <f>'Open Order'!#REF!</f>
        <v>#REF!</v>
      </c>
      <c r="L9" s="8" t="e">
        <f>'Open Order'!#REF!</f>
        <v>#REF!</v>
      </c>
    </row>
    <row r="10" spans="1:24" ht="30.75" customHeight="1" thickBot="1" x14ac:dyDescent="0.25">
      <c r="A10" s="10" t="e">
        <f>'Open Order'!#REF!</f>
        <v>#REF!</v>
      </c>
      <c r="B10" s="6" t="e">
        <f>'Open Order'!#REF!</f>
        <v>#REF!</v>
      </c>
      <c r="C10" s="6" t="e">
        <f>'Open Order'!#REF!</f>
        <v>#REF!</v>
      </c>
      <c r="D10" s="8" t="e">
        <f>'Open Order'!#REF!</f>
        <v>#REF!</v>
      </c>
      <c r="E10" s="9" t="e">
        <f>'Open Order'!#REF!</f>
        <v>#REF!</v>
      </c>
      <c r="F10" s="14" t="e">
        <f>'Open Order'!#REF!</f>
        <v>#REF!</v>
      </c>
      <c r="L10" s="8" t="e">
        <f>'Open Order'!#REF!</f>
        <v>#REF!</v>
      </c>
    </row>
    <row r="11" spans="1:24" ht="30.75" customHeight="1" thickBot="1" x14ac:dyDescent="0.25">
      <c r="A11" s="10" t="e">
        <f>'Open Order'!#REF!</f>
        <v>#REF!</v>
      </c>
      <c r="B11" s="6" t="e">
        <f>'Open Order'!#REF!</f>
        <v>#REF!</v>
      </c>
      <c r="C11" s="6" t="e">
        <f>'Open Order'!#REF!</f>
        <v>#REF!</v>
      </c>
      <c r="D11" s="8" t="e">
        <f>'Open Order'!#REF!</f>
        <v>#REF!</v>
      </c>
      <c r="E11" s="9" t="e">
        <f>'Open Order'!#REF!</f>
        <v>#REF!</v>
      </c>
      <c r="F11" s="14" t="e">
        <f>'Open Order'!#REF!</f>
        <v>#REF!</v>
      </c>
      <c r="L11" s="8" t="e">
        <f>'Open Order'!#REF!</f>
        <v>#REF!</v>
      </c>
    </row>
    <row r="12" spans="1:24" ht="30.75" customHeight="1" thickBot="1" x14ac:dyDescent="0.25">
      <c r="A12" s="10" t="e">
        <f>'Open Order'!#REF!</f>
        <v>#REF!</v>
      </c>
      <c r="B12" s="6" t="e">
        <f>'Open Order'!#REF!</f>
        <v>#REF!</v>
      </c>
      <c r="C12" s="6" t="e">
        <f>'Open Order'!#REF!</f>
        <v>#REF!</v>
      </c>
      <c r="D12" s="8" t="e">
        <f>'Open Order'!#REF!</f>
        <v>#REF!</v>
      </c>
      <c r="E12" s="9" t="e">
        <f>'Open Order'!#REF!</f>
        <v>#REF!</v>
      </c>
      <c r="F12" s="14" t="e">
        <f>'Open Order'!#REF!</f>
        <v>#REF!</v>
      </c>
      <c r="L12" s="8" t="e">
        <f>'Open Order'!#REF!</f>
        <v>#REF!</v>
      </c>
    </row>
    <row r="13" spans="1:24" ht="30.75" customHeight="1" thickBot="1" x14ac:dyDescent="0.25">
      <c r="A13" s="10" t="e">
        <f>'Open Order'!#REF!</f>
        <v>#REF!</v>
      </c>
      <c r="B13" s="6" t="e">
        <f>'Open Order'!#REF!</f>
        <v>#REF!</v>
      </c>
      <c r="C13" s="6" t="e">
        <f>'Open Order'!#REF!</f>
        <v>#REF!</v>
      </c>
      <c r="D13" s="8" t="e">
        <f>'Open Order'!#REF!</f>
        <v>#REF!</v>
      </c>
      <c r="E13" s="9" t="e">
        <f>'Open Order'!#REF!</f>
        <v>#REF!</v>
      </c>
      <c r="F13" s="14" t="e">
        <f>'Open Order'!#REF!</f>
        <v>#REF!</v>
      </c>
      <c r="L13" s="8" t="e">
        <f>'Open Order'!#REF!</f>
        <v>#REF!</v>
      </c>
    </row>
    <row r="14" spans="1:24" ht="30.75" customHeight="1" thickBot="1" x14ac:dyDescent="0.25">
      <c r="A14" s="10" t="e">
        <f>'Open Order'!#REF!</f>
        <v>#REF!</v>
      </c>
      <c r="B14" s="6" t="e">
        <f>'Open Order'!#REF!</f>
        <v>#REF!</v>
      </c>
      <c r="C14" s="6" t="e">
        <f>'Open Order'!#REF!</f>
        <v>#REF!</v>
      </c>
      <c r="D14" s="8" t="e">
        <f>'Open Order'!#REF!</f>
        <v>#REF!</v>
      </c>
      <c r="E14" s="9" t="e">
        <f>'Open Order'!#REF!</f>
        <v>#REF!</v>
      </c>
      <c r="F14" s="14" t="e">
        <f>'Open Order'!#REF!</f>
        <v>#REF!</v>
      </c>
      <c r="L14" s="8" t="e">
        <f>'Open Order'!#REF!</f>
        <v>#REF!</v>
      </c>
    </row>
    <row r="15" spans="1:24" ht="30.75" customHeight="1" thickBot="1" x14ac:dyDescent="0.25">
      <c r="A15" s="10" t="e">
        <f>'Open Order'!#REF!</f>
        <v>#REF!</v>
      </c>
      <c r="B15" s="6" t="e">
        <f>'Open Order'!#REF!</f>
        <v>#REF!</v>
      </c>
      <c r="C15" s="6" t="e">
        <f>'Open Order'!#REF!</f>
        <v>#REF!</v>
      </c>
      <c r="D15" s="8" t="e">
        <f>'Open Order'!#REF!</f>
        <v>#REF!</v>
      </c>
      <c r="E15" s="9" t="e">
        <f>'Open Order'!#REF!</f>
        <v>#REF!</v>
      </c>
      <c r="F15" s="14" t="e">
        <f>'Open Order'!#REF!</f>
        <v>#REF!</v>
      </c>
      <c r="L15" s="8" t="e">
        <f>'Open Order'!#REF!</f>
        <v>#REF!</v>
      </c>
    </row>
    <row r="16" spans="1:24" ht="30.75" customHeight="1" thickBot="1" x14ac:dyDescent="0.25">
      <c r="A16" s="10" t="e">
        <f>'Open Order'!#REF!</f>
        <v>#REF!</v>
      </c>
      <c r="B16" s="6" t="e">
        <f>'Open Order'!#REF!</f>
        <v>#REF!</v>
      </c>
      <c r="C16" s="6" t="e">
        <f>'Open Order'!#REF!</f>
        <v>#REF!</v>
      </c>
      <c r="D16" s="8" t="e">
        <f>'Open Order'!#REF!</f>
        <v>#REF!</v>
      </c>
      <c r="E16" s="9" t="e">
        <f>'Open Order'!#REF!</f>
        <v>#REF!</v>
      </c>
      <c r="F16" s="14" t="e">
        <f>'Open Order'!#REF!</f>
        <v>#REF!</v>
      </c>
      <c r="L16" s="8" t="e">
        <f>'Open Order'!#REF!</f>
        <v>#REF!</v>
      </c>
    </row>
    <row r="17" spans="1:12" ht="30.75" customHeight="1" thickBot="1" x14ac:dyDescent="0.25">
      <c r="A17" s="10" t="e">
        <f>'Open Order'!#REF!</f>
        <v>#REF!</v>
      </c>
      <c r="B17" s="6" t="e">
        <f>'Open Order'!#REF!</f>
        <v>#REF!</v>
      </c>
      <c r="C17" s="6" t="e">
        <f>'Open Order'!#REF!</f>
        <v>#REF!</v>
      </c>
      <c r="D17" s="8" t="e">
        <f>'Open Order'!#REF!</f>
        <v>#REF!</v>
      </c>
      <c r="E17" s="9" t="e">
        <f>'Open Order'!#REF!</f>
        <v>#REF!</v>
      </c>
      <c r="F17" s="14" t="e">
        <f>'Open Order'!#REF!</f>
        <v>#REF!</v>
      </c>
      <c r="L17" s="8" t="e">
        <f>'Open Order'!#REF!</f>
        <v>#REF!</v>
      </c>
    </row>
    <row r="18" spans="1:12" ht="30.75" customHeight="1" thickBot="1" x14ac:dyDescent="0.25">
      <c r="A18" s="10" t="e">
        <f>'Open Order'!#REF!</f>
        <v>#REF!</v>
      </c>
      <c r="B18" s="6" t="e">
        <f>'Open Order'!#REF!</f>
        <v>#REF!</v>
      </c>
      <c r="C18" s="6" t="e">
        <f>'Open Order'!#REF!</f>
        <v>#REF!</v>
      </c>
      <c r="D18" s="8" t="e">
        <f>'Open Order'!#REF!</f>
        <v>#REF!</v>
      </c>
      <c r="E18" s="9" t="e">
        <f>'Open Order'!#REF!</f>
        <v>#REF!</v>
      </c>
      <c r="F18" s="14" t="e">
        <f>'Open Order'!#REF!</f>
        <v>#REF!</v>
      </c>
      <c r="L18" s="8" t="e">
        <f>'Open Order'!#REF!</f>
        <v>#REF!</v>
      </c>
    </row>
    <row r="19" spans="1:12" ht="30.75" customHeight="1" thickBot="1" x14ac:dyDescent="0.25">
      <c r="A19" s="10" t="e">
        <f>'Open Order'!#REF!</f>
        <v>#REF!</v>
      </c>
      <c r="B19" s="6" t="e">
        <f>'Open Order'!#REF!</f>
        <v>#REF!</v>
      </c>
      <c r="C19" s="6" t="e">
        <f>'Open Order'!#REF!</f>
        <v>#REF!</v>
      </c>
      <c r="D19" s="8" t="e">
        <f>'Open Order'!#REF!</f>
        <v>#REF!</v>
      </c>
      <c r="E19" s="9" t="e">
        <f>'Open Order'!#REF!</f>
        <v>#REF!</v>
      </c>
      <c r="F19" s="14" t="e">
        <f>'Open Order'!#REF!</f>
        <v>#REF!</v>
      </c>
      <c r="L19" s="8" t="e">
        <f>'Open Order'!#REF!</f>
        <v>#REF!</v>
      </c>
    </row>
    <row r="20" spans="1:12" ht="30.75" customHeight="1" thickBot="1" x14ac:dyDescent="0.25">
      <c r="A20" s="10" t="e">
        <f>'Open Order'!#REF!</f>
        <v>#REF!</v>
      </c>
      <c r="B20" s="6" t="e">
        <f>'Open Order'!#REF!</f>
        <v>#REF!</v>
      </c>
      <c r="C20" s="6" t="e">
        <f>'Open Order'!#REF!</f>
        <v>#REF!</v>
      </c>
      <c r="D20" s="8" t="e">
        <f>'Open Order'!#REF!</f>
        <v>#REF!</v>
      </c>
      <c r="E20" s="9" t="e">
        <f>'Open Order'!#REF!</f>
        <v>#REF!</v>
      </c>
      <c r="F20" s="14" t="e">
        <f>'Open Order'!#REF!</f>
        <v>#REF!</v>
      </c>
      <c r="L20" s="8" t="e">
        <f>'Open Order'!#REF!</f>
        <v>#REF!</v>
      </c>
    </row>
    <row r="21" spans="1:12" ht="30.75" customHeight="1" thickBot="1" x14ac:dyDescent="0.25">
      <c r="A21" s="10" t="e">
        <f>'Open Order'!#REF!</f>
        <v>#REF!</v>
      </c>
      <c r="B21" s="6" t="e">
        <f>'Open Order'!#REF!</f>
        <v>#REF!</v>
      </c>
      <c r="C21" s="6" t="e">
        <f>'Open Order'!#REF!</f>
        <v>#REF!</v>
      </c>
      <c r="D21" s="8" t="e">
        <f>'Open Order'!#REF!</f>
        <v>#REF!</v>
      </c>
      <c r="E21" s="9" t="e">
        <f>'Open Order'!#REF!</f>
        <v>#REF!</v>
      </c>
      <c r="F21" s="14" t="e">
        <f>'Open Order'!#REF!</f>
        <v>#REF!</v>
      </c>
      <c r="L21" s="8" t="e">
        <f>'Open Order'!#REF!</f>
        <v>#REF!</v>
      </c>
    </row>
    <row r="22" spans="1:12" ht="30.75" customHeight="1" thickBot="1" x14ac:dyDescent="0.25">
      <c r="A22" s="10" t="e">
        <f>'Open Order'!#REF!</f>
        <v>#REF!</v>
      </c>
      <c r="B22" s="6" t="e">
        <f>'Open Order'!#REF!</f>
        <v>#REF!</v>
      </c>
      <c r="C22" s="6" t="e">
        <f>'Open Order'!#REF!</f>
        <v>#REF!</v>
      </c>
      <c r="D22" s="8" t="e">
        <f>'Open Order'!#REF!</f>
        <v>#REF!</v>
      </c>
      <c r="E22" s="9" t="e">
        <f>'Open Order'!#REF!</f>
        <v>#REF!</v>
      </c>
      <c r="F22" s="14" t="e">
        <f>'Open Order'!#REF!</f>
        <v>#REF!</v>
      </c>
      <c r="L22" s="8" t="e">
        <f>'Open Order'!#REF!</f>
        <v>#REF!</v>
      </c>
    </row>
    <row r="23" spans="1:12" ht="30.75" customHeight="1" thickBot="1" x14ac:dyDescent="0.25">
      <c r="A23" s="10" t="e">
        <f>'Open Order'!#REF!</f>
        <v>#REF!</v>
      </c>
      <c r="B23" s="6" t="e">
        <f>'Open Order'!#REF!</f>
        <v>#REF!</v>
      </c>
      <c r="C23" s="6" t="e">
        <f>'Open Order'!#REF!</f>
        <v>#REF!</v>
      </c>
      <c r="D23" s="8" t="e">
        <f>'Open Order'!#REF!</f>
        <v>#REF!</v>
      </c>
      <c r="E23" s="9" t="e">
        <f>'Open Order'!#REF!</f>
        <v>#REF!</v>
      </c>
      <c r="F23" s="14" t="e">
        <f>'Open Order'!#REF!</f>
        <v>#REF!</v>
      </c>
      <c r="L23" s="8" t="e">
        <f>'Open Order'!#REF!</f>
        <v>#REF!</v>
      </c>
    </row>
    <row r="24" spans="1:12" ht="30.75" customHeight="1" thickBot="1" x14ac:dyDescent="0.25">
      <c r="A24" s="10" t="e">
        <f>'Open Order'!#REF!</f>
        <v>#REF!</v>
      </c>
      <c r="B24" s="6" t="e">
        <f>'Open Order'!#REF!</f>
        <v>#REF!</v>
      </c>
      <c r="C24" s="6" t="e">
        <f>'Open Order'!#REF!</f>
        <v>#REF!</v>
      </c>
      <c r="D24" s="8" t="e">
        <f>'Open Order'!#REF!</f>
        <v>#REF!</v>
      </c>
      <c r="E24" s="9" t="e">
        <f>'Open Order'!#REF!</f>
        <v>#REF!</v>
      </c>
      <c r="F24" s="14" t="e">
        <f>'Open Order'!#REF!</f>
        <v>#REF!</v>
      </c>
      <c r="L24" s="8" t="e">
        <f>'Open Order'!#REF!</f>
        <v>#REF!</v>
      </c>
    </row>
    <row r="25" spans="1:12" ht="30.75" customHeight="1" thickBot="1" x14ac:dyDescent="0.25">
      <c r="A25" s="10" t="e">
        <f>'Open Order'!#REF!</f>
        <v>#REF!</v>
      </c>
      <c r="B25" s="6" t="e">
        <f>'Open Order'!#REF!</f>
        <v>#REF!</v>
      </c>
      <c r="C25" s="6" t="e">
        <f>'Open Order'!#REF!</f>
        <v>#REF!</v>
      </c>
      <c r="D25" s="8" t="e">
        <f>'Open Order'!#REF!</f>
        <v>#REF!</v>
      </c>
      <c r="E25" s="9" t="e">
        <f>'Open Order'!#REF!</f>
        <v>#REF!</v>
      </c>
      <c r="F25" s="14" t="e">
        <f>'Open Order'!#REF!</f>
        <v>#REF!</v>
      </c>
      <c r="L25" s="8" t="e">
        <f>'Open Order'!#REF!</f>
        <v>#REF!</v>
      </c>
    </row>
    <row r="26" spans="1:12" ht="30.75" customHeight="1" thickBot="1" x14ac:dyDescent="0.25">
      <c r="A26" s="10" t="e">
        <f>'Open Order'!#REF!</f>
        <v>#REF!</v>
      </c>
      <c r="B26" s="6" t="e">
        <f>'Open Order'!#REF!</f>
        <v>#REF!</v>
      </c>
      <c r="C26" s="6" t="e">
        <f>'Open Order'!#REF!</f>
        <v>#REF!</v>
      </c>
      <c r="D26" s="8" t="e">
        <f>'Open Order'!#REF!</f>
        <v>#REF!</v>
      </c>
      <c r="E26" s="9" t="e">
        <f>'Open Order'!#REF!</f>
        <v>#REF!</v>
      </c>
      <c r="F26" s="14" t="e">
        <f>'Open Order'!#REF!</f>
        <v>#REF!</v>
      </c>
      <c r="L26" s="8" t="e">
        <f>'Open Order'!#REF!</f>
        <v>#REF!</v>
      </c>
    </row>
    <row r="27" spans="1:12" ht="30.75" customHeight="1" thickBot="1" x14ac:dyDescent="0.25">
      <c r="A27" s="10" t="e">
        <f>'Open Order'!#REF!</f>
        <v>#REF!</v>
      </c>
      <c r="B27" s="6" t="e">
        <f>'Open Order'!#REF!</f>
        <v>#REF!</v>
      </c>
      <c r="C27" s="6" t="e">
        <f>'Open Order'!#REF!</f>
        <v>#REF!</v>
      </c>
      <c r="D27" s="8" t="e">
        <f>'Open Order'!#REF!</f>
        <v>#REF!</v>
      </c>
      <c r="E27" s="9" t="e">
        <f>'Open Order'!#REF!</f>
        <v>#REF!</v>
      </c>
      <c r="F27" s="14" t="e">
        <f>'Open Order'!#REF!</f>
        <v>#REF!</v>
      </c>
      <c r="L27" s="8" t="e">
        <f>'Open Order'!#REF!</f>
        <v>#REF!</v>
      </c>
    </row>
    <row r="28" spans="1:12" ht="30.75" customHeight="1" thickBot="1" x14ac:dyDescent="0.25">
      <c r="A28" s="10" t="e">
        <f>'Open Order'!#REF!</f>
        <v>#REF!</v>
      </c>
      <c r="B28" s="6" t="e">
        <f>'Open Order'!#REF!</f>
        <v>#REF!</v>
      </c>
      <c r="C28" s="6" t="e">
        <f>'Open Order'!#REF!</f>
        <v>#REF!</v>
      </c>
      <c r="D28" s="8" t="e">
        <f>'Open Order'!#REF!</f>
        <v>#REF!</v>
      </c>
      <c r="E28" s="9" t="e">
        <f>'Open Order'!#REF!</f>
        <v>#REF!</v>
      </c>
      <c r="F28" s="14" t="e">
        <f>'Open Order'!#REF!</f>
        <v>#REF!</v>
      </c>
      <c r="L28" s="8" t="e">
        <f>'Open Order'!#REF!</f>
        <v>#REF!</v>
      </c>
    </row>
    <row r="29" spans="1:12" ht="30.75" customHeight="1" thickBot="1" x14ac:dyDescent="0.25">
      <c r="A29" s="10" t="e">
        <f>'Open Order'!#REF!</f>
        <v>#REF!</v>
      </c>
      <c r="B29" s="6" t="e">
        <f>'Open Order'!#REF!</f>
        <v>#REF!</v>
      </c>
      <c r="C29" s="6" t="e">
        <f>'Open Order'!#REF!</f>
        <v>#REF!</v>
      </c>
      <c r="D29" s="8" t="e">
        <f>'Open Order'!#REF!</f>
        <v>#REF!</v>
      </c>
      <c r="E29" s="9" t="e">
        <f>'Open Order'!#REF!</f>
        <v>#REF!</v>
      </c>
      <c r="F29" s="14" t="e">
        <f>'Open Order'!#REF!</f>
        <v>#REF!</v>
      </c>
      <c r="L29" s="8" t="e">
        <f>'Open Order'!#REF!</f>
        <v>#REF!</v>
      </c>
    </row>
    <row r="30" spans="1:12" ht="30.75" customHeight="1" thickBot="1" x14ac:dyDescent="0.25">
      <c r="A30" s="10" t="e">
        <f>'Open Order'!#REF!</f>
        <v>#REF!</v>
      </c>
      <c r="B30" s="6" t="e">
        <f>'Open Order'!#REF!</f>
        <v>#REF!</v>
      </c>
      <c r="C30" s="6" t="e">
        <f>'Open Order'!#REF!</f>
        <v>#REF!</v>
      </c>
      <c r="D30" s="8" t="e">
        <f>'Open Order'!#REF!</f>
        <v>#REF!</v>
      </c>
      <c r="E30" s="9" t="e">
        <f>'Open Order'!#REF!</f>
        <v>#REF!</v>
      </c>
      <c r="F30" s="14" t="e">
        <f>'Open Order'!#REF!</f>
        <v>#REF!</v>
      </c>
      <c r="L30" s="8" t="e">
        <f>'Open Order'!#REF!</f>
        <v>#REF!</v>
      </c>
    </row>
    <row r="31" spans="1:12" ht="30.75" customHeight="1" thickBot="1" x14ac:dyDescent="0.25">
      <c r="A31" s="10" t="e">
        <f>'Open Order'!#REF!</f>
        <v>#REF!</v>
      </c>
      <c r="B31" s="6" t="e">
        <f>'Open Order'!#REF!</f>
        <v>#REF!</v>
      </c>
      <c r="C31" s="6" t="e">
        <f>'Open Order'!#REF!</f>
        <v>#REF!</v>
      </c>
      <c r="D31" s="8" t="e">
        <f>'Open Order'!#REF!</f>
        <v>#REF!</v>
      </c>
      <c r="E31" s="9" t="e">
        <f>'Open Order'!#REF!</f>
        <v>#REF!</v>
      </c>
      <c r="F31" s="14" t="e">
        <f>'Open Order'!#REF!</f>
        <v>#REF!</v>
      </c>
      <c r="L31" s="8" t="e">
        <f>'Open Order'!#REF!</f>
        <v>#REF!</v>
      </c>
    </row>
    <row r="32" spans="1:12" ht="30.75" customHeight="1" thickBot="1" x14ac:dyDescent="0.25">
      <c r="A32" s="10" t="e">
        <f>'Open Order'!#REF!</f>
        <v>#REF!</v>
      </c>
      <c r="B32" s="6" t="e">
        <f>'Open Order'!#REF!</f>
        <v>#REF!</v>
      </c>
      <c r="C32" s="6" t="e">
        <f>'Open Order'!#REF!</f>
        <v>#REF!</v>
      </c>
      <c r="D32" s="8" t="e">
        <f>'Open Order'!#REF!</f>
        <v>#REF!</v>
      </c>
      <c r="E32" s="9" t="e">
        <f>'Open Order'!#REF!</f>
        <v>#REF!</v>
      </c>
      <c r="F32" s="14" t="e">
        <f>'Open Order'!#REF!</f>
        <v>#REF!</v>
      </c>
      <c r="L32" s="8" t="e">
        <f>'Open Order'!#REF!</f>
        <v>#REF!</v>
      </c>
    </row>
    <row r="33" spans="1:12" ht="30.75" customHeight="1" thickBot="1" x14ac:dyDescent="0.25">
      <c r="A33" s="10" t="e">
        <f>'Open Order'!#REF!</f>
        <v>#REF!</v>
      </c>
      <c r="B33" s="6" t="e">
        <f>'Open Order'!#REF!</f>
        <v>#REF!</v>
      </c>
      <c r="C33" s="6" t="e">
        <f>'Open Order'!#REF!</f>
        <v>#REF!</v>
      </c>
      <c r="D33" s="8" t="e">
        <f>'Open Order'!#REF!</f>
        <v>#REF!</v>
      </c>
      <c r="E33" s="9" t="e">
        <f>'Open Order'!#REF!</f>
        <v>#REF!</v>
      </c>
      <c r="F33" s="14" t="e">
        <f>'Open Order'!#REF!</f>
        <v>#REF!</v>
      </c>
      <c r="L33" s="8" t="e">
        <f>'Open Order'!#REF!</f>
        <v>#REF!</v>
      </c>
    </row>
    <row r="34" spans="1:12" ht="30.75" customHeight="1" thickBot="1" x14ac:dyDescent="0.25">
      <c r="A34" s="10" t="e">
        <f>'Open Order'!#REF!</f>
        <v>#REF!</v>
      </c>
      <c r="B34" s="6" t="e">
        <f>'Open Order'!#REF!</f>
        <v>#REF!</v>
      </c>
      <c r="C34" s="6" t="e">
        <f>'Open Order'!#REF!</f>
        <v>#REF!</v>
      </c>
      <c r="D34" s="8" t="e">
        <f>'Open Order'!#REF!</f>
        <v>#REF!</v>
      </c>
      <c r="E34" s="9" t="e">
        <f>'Open Order'!#REF!</f>
        <v>#REF!</v>
      </c>
      <c r="F34" s="14" t="e">
        <f>'Open Order'!#REF!</f>
        <v>#REF!</v>
      </c>
      <c r="L34" s="8" t="e">
        <f>'Open Order'!#REF!</f>
        <v>#REF!</v>
      </c>
    </row>
    <row r="35" spans="1:12" ht="30.75" customHeight="1" thickBot="1" x14ac:dyDescent="0.25">
      <c r="A35" s="10" t="e">
        <f>'Open Order'!#REF!</f>
        <v>#REF!</v>
      </c>
      <c r="B35" s="6" t="e">
        <f>'Open Order'!#REF!</f>
        <v>#REF!</v>
      </c>
      <c r="C35" s="6" t="e">
        <f>'Open Order'!#REF!</f>
        <v>#REF!</v>
      </c>
      <c r="D35" s="8" t="e">
        <f>'Open Order'!#REF!</f>
        <v>#REF!</v>
      </c>
      <c r="E35" s="9" t="e">
        <f>'Open Order'!#REF!</f>
        <v>#REF!</v>
      </c>
      <c r="F35" s="14" t="e">
        <f>'Open Order'!#REF!</f>
        <v>#REF!</v>
      </c>
      <c r="L35" s="8" t="e">
        <f>'Open Order'!#REF!</f>
        <v>#REF!</v>
      </c>
    </row>
    <row r="36" spans="1:12" ht="30.75" customHeight="1" thickBot="1" x14ac:dyDescent="0.25">
      <c r="A36" s="10" t="e">
        <f>'Open Order'!#REF!</f>
        <v>#REF!</v>
      </c>
      <c r="B36" s="6" t="e">
        <f>'Open Order'!#REF!</f>
        <v>#REF!</v>
      </c>
      <c r="C36" s="6" t="e">
        <f>'Open Order'!#REF!</f>
        <v>#REF!</v>
      </c>
      <c r="D36" s="8" t="e">
        <f>'Open Order'!#REF!</f>
        <v>#REF!</v>
      </c>
      <c r="E36" s="9" t="e">
        <f>'Open Order'!#REF!</f>
        <v>#REF!</v>
      </c>
      <c r="F36" s="14" t="e">
        <f>'Open Order'!#REF!</f>
        <v>#REF!</v>
      </c>
      <c r="L36" s="8" t="e">
        <f>'Open Order'!#REF!</f>
        <v>#REF!</v>
      </c>
    </row>
    <row r="37" spans="1:12" ht="30.75" customHeight="1" thickBot="1" x14ac:dyDescent="0.25">
      <c r="A37" s="10" t="e">
        <f>'Open Order'!#REF!</f>
        <v>#REF!</v>
      </c>
      <c r="B37" s="6" t="e">
        <f>'Open Order'!#REF!</f>
        <v>#REF!</v>
      </c>
      <c r="C37" s="6" t="e">
        <f>'Open Order'!#REF!</f>
        <v>#REF!</v>
      </c>
      <c r="D37" s="8" t="e">
        <f>'Open Order'!#REF!</f>
        <v>#REF!</v>
      </c>
      <c r="E37" s="9" t="e">
        <f>'Open Order'!#REF!</f>
        <v>#REF!</v>
      </c>
      <c r="F37" s="14" t="e">
        <f>'Open Order'!#REF!</f>
        <v>#REF!</v>
      </c>
      <c r="L37" s="8" t="e">
        <f>'Open Order'!#REF!</f>
        <v>#REF!</v>
      </c>
    </row>
    <row r="38" spans="1:12" ht="30.75" customHeight="1" thickBot="1" x14ac:dyDescent="0.25">
      <c r="A38" s="10" t="e">
        <f>'Open Order'!#REF!</f>
        <v>#REF!</v>
      </c>
      <c r="B38" s="6" t="e">
        <f>'Open Order'!#REF!</f>
        <v>#REF!</v>
      </c>
      <c r="C38" s="6" t="e">
        <f>'Open Order'!#REF!</f>
        <v>#REF!</v>
      </c>
      <c r="D38" s="8" t="e">
        <f>'Open Order'!#REF!</f>
        <v>#REF!</v>
      </c>
      <c r="E38" s="9" t="e">
        <f>'Open Order'!#REF!</f>
        <v>#REF!</v>
      </c>
      <c r="F38" s="14" t="e">
        <f>'Open Order'!#REF!</f>
        <v>#REF!</v>
      </c>
      <c r="L38" s="8" t="e">
        <f>'Open Order'!#REF!</f>
        <v>#REF!</v>
      </c>
    </row>
    <row r="39" spans="1:12" ht="30.75" customHeight="1" thickBot="1" x14ac:dyDescent="0.25">
      <c r="A39" s="10" t="e">
        <f>'Open Order'!#REF!</f>
        <v>#REF!</v>
      </c>
      <c r="B39" s="6" t="e">
        <f>'Open Order'!#REF!</f>
        <v>#REF!</v>
      </c>
      <c r="C39" s="6" t="e">
        <f>'Open Order'!#REF!</f>
        <v>#REF!</v>
      </c>
      <c r="D39" s="8" t="e">
        <f>'Open Order'!#REF!</f>
        <v>#REF!</v>
      </c>
      <c r="E39" s="9" t="e">
        <f>'Open Order'!#REF!</f>
        <v>#REF!</v>
      </c>
      <c r="F39" s="14" t="e">
        <f>'Open Order'!#REF!</f>
        <v>#REF!</v>
      </c>
      <c r="L39" s="8" t="e">
        <f>'Open Order'!#REF!</f>
        <v>#REF!</v>
      </c>
    </row>
    <row r="40" spans="1:12" ht="30.75" customHeight="1" thickBot="1" x14ac:dyDescent="0.25">
      <c r="A40" s="10" t="e">
        <f>'Open Order'!#REF!</f>
        <v>#REF!</v>
      </c>
      <c r="B40" s="6" t="e">
        <f>'Open Order'!#REF!</f>
        <v>#REF!</v>
      </c>
      <c r="C40" s="6" t="e">
        <f>'Open Order'!#REF!</f>
        <v>#REF!</v>
      </c>
      <c r="D40" s="8" t="e">
        <f>'Open Order'!#REF!</f>
        <v>#REF!</v>
      </c>
      <c r="E40" s="9" t="e">
        <f>'Open Order'!#REF!</f>
        <v>#REF!</v>
      </c>
      <c r="F40" s="14" t="e">
        <f>'Open Order'!#REF!</f>
        <v>#REF!</v>
      </c>
      <c r="L40" s="8" t="e">
        <f>'Open Order'!#REF!</f>
        <v>#REF!</v>
      </c>
    </row>
    <row r="41" spans="1:12" ht="30.75" customHeight="1" thickBot="1" x14ac:dyDescent="0.25">
      <c r="A41" s="10" t="e">
        <f>'Open Order'!#REF!</f>
        <v>#REF!</v>
      </c>
      <c r="B41" s="6" t="e">
        <f>'Open Order'!#REF!</f>
        <v>#REF!</v>
      </c>
      <c r="C41" s="6" t="e">
        <f>'Open Order'!#REF!</f>
        <v>#REF!</v>
      </c>
      <c r="D41" s="8" t="e">
        <f>'Open Order'!#REF!</f>
        <v>#REF!</v>
      </c>
      <c r="E41" s="9" t="e">
        <f>'Open Order'!#REF!</f>
        <v>#REF!</v>
      </c>
      <c r="F41" s="14" t="e">
        <f>'Open Order'!#REF!</f>
        <v>#REF!</v>
      </c>
      <c r="L41" s="8" t="e">
        <f>'Open Order'!#REF!</f>
        <v>#REF!</v>
      </c>
    </row>
    <row r="42" spans="1:12" ht="30.75" customHeight="1" thickBot="1" x14ac:dyDescent="0.25">
      <c r="A42" s="10" t="e">
        <f>'Open Order'!#REF!</f>
        <v>#REF!</v>
      </c>
      <c r="B42" s="6" t="e">
        <f>'Open Order'!#REF!</f>
        <v>#REF!</v>
      </c>
      <c r="C42" s="6" t="e">
        <f>'Open Order'!#REF!</f>
        <v>#REF!</v>
      </c>
      <c r="D42" s="8" t="e">
        <f>'Open Order'!#REF!</f>
        <v>#REF!</v>
      </c>
      <c r="E42" s="9" t="e">
        <f>'Open Order'!#REF!</f>
        <v>#REF!</v>
      </c>
      <c r="F42" s="14" t="e">
        <f>'Open Order'!#REF!</f>
        <v>#REF!</v>
      </c>
      <c r="L42" s="8" t="e">
        <f>'Open Order'!#REF!</f>
        <v>#REF!</v>
      </c>
    </row>
    <row r="43" spans="1:12" ht="30.75" customHeight="1" thickBot="1" x14ac:dyDescent="0.25">
      <c r="A43" s="10" t="e">
        <f>'Open Order'!#REF!</f>
        <v>#REF!</v>
      </c>
      <c r="B43" s="6" t="e">
        <f>'Open Order'!#REF!</f>
        <v>#REF!</v>
      </c>
      <c r="C43" s="6" t="e">
        <f>'Open Order'!#REF!</f>
        <v>#REF!</v>
      </c>
      <c r="D43" s="8" t="e">
        <f>'Open Order'!#REF!</f>
        <v>#REF!</v>
      </c>
      <c r="E43" s="9" t="e">
        <f>'Open Order'!#REF!</f>
        <v>#REF!</v>
      </c>
      <c r="F43" s="14" t="e">
        <f>'Open Order'!#REF!</f>
        <v>#REF!</v>
      </c>
      <c r="L43" s="8" t="e">
        <f>'Open Order'!#REF!</f>
        <v>#REF!</v>
      </c>
    </row>
    <row r="44" spans="1:12" ht="30.75" customHeight="1" thickBot="1" x14ac:dyDescent="0.25">
      <c r="A44" s="10" t="e">
        <f>'Open Order'!#REF!</f>
        <v>#REF!</v>
      </c>
      <c r="B44" s="6" t="e">
        <f>'Open Order'!#REF!</f>
        <v>#REF!</v>
      </c>
      <c r="C44" s="6" t="e">
        <f>'Open Order'!#REF!</f>
        <v>#REF!</v>
      </c>
      <c r="D44" s="8" t="e">
        <f>'Open Order'!#REF!</f>
        <v>#REF!</v>
      </c>
      <c r="E44" s="9" t="e">
        <f>'Open Order'!#REF!</f>
        <v>#REF!</v>
      </c>
      <c r="F44" s="14" t="e">
        <f>'Open Order'!#REF!</f>
        <v>#REF!</v>
      </c>
      <c r="L44" s="8" t="e">
        <f>'Open Order'!#REF!</f>
        <v>#REF!</v>
      </c>
    </row>
    <row r="45" spans="1:12" ht="30.75" customHeight="1" thickBot="1" x14ac:dyDescent="0.25">
      <c r="A45" s="10" t="e">
        <f>'Open Order'!#REF!</f>
        <v>#REF!</v>
      </c>
      <c r="B45" s="6" t="e">
        <f>'Open Order'!#REF!</f>
        <v>#REF!</v>
      </c>
      <c r="C45" s="6" t="e">
        <f>'Open Order'!#REF!</f>
        <v>#REF!</v>
      </c>
      <c r="D45" s="8" t="e">
        <f>'Open Order'!#REF!</f>
        <v>#REF!</v>
      </c>
      <c r="E45" s="9" t="e">
        <f>'Open Order'!#REF!</f>
        <v>#REF!</v>
      </c>
      <c r="F45" s="14" t="e">
        <f>'Open Order'!#REF!</f>
        <v>#REF!</v>
      </c>
      <c r="L45" s="8" t="e">
        <f>'Open Order'!#REF!</f>
        <v>#REF!</v>
      </c>
    </row>
    <row r="46" spans="1:12" ht="30.75" customHeight="1" thickBot="1" x14ac:dyDescent="0.25">
      <c r="A46" s="10" t="e">
        <f>'Open Order'!#REF!</f>
        <v>#REF!</v>
      </c>
      <c r="B46" s="6" t="e">
        <f>'Open Order'!#REF!</f>
        <v>#REF!</v>
      </c>
      <c r="C46" s="6" t="e">
        <f>'Open Order'!#REF!</f>
        <v>#REF!</v>
      </c>
      <c r="D46" s="8" t="e">
        <f>'Open Order'!#REF!</f>
        <v>#REF!</v>
      </c>
      <c r="E46" s="9" t="e">
        <f>'Open Order'!#REF!</f>
        <v>#REF!</v>
      </c>
      <c r="F46" s="14" t="e">
        <f>'Open Order'!#REF!</f>
        <v>#REF!</v>
      </c>
      <c r="L46" s="8" t="e">
        <f>'Open Order'!#REF!</f>
        <v>#REF!</v>
      </c>
    </row>
    <row r="47" spans="1:12" ht="30.75" customHeight="1" thickBot="1" x14ac:dyDescent="0.25">
      <c r="A47" s="10" t="e">
        <f>'Open Order'!#REF!</f>
        <v>#REF!</v>
      </c>
      <c r="B47" s="6" t="e">
        <f>'Open Order'!#REF!</f>
        <v>#REF!</v>
      </c>
      <c r="C47" s="6" t="e">
        <f>'Open Order'!#REF!</f>
        <v>#REF!</v>
      </c>
      <c r="D47" s="8" t="e">
        <f>'Open Order'!#REF!</f>
        <v>#REF!</v>
      </c>
      <c r="E47" s="9" t="e">
        <f>'Open Order'!#REF!</f>
        <v>#REF!</v>
      </c>
      <c r="F47" s="14" t="e">
        <f>'Open Order'!#REF!</f>
        <v>#REF!</v>
      </c>
      <c r="L47" s="8" t="e">
        <f>'Open Order'!#REF!</f>
        <v>#REF!</v>
      </c>
    </row>
    <row r="48" spans="1:12" ht="30.75" customHeight="1" thickBot="1" x14ac:dyDescent="0.25">
      <c r="A48" s="10" t="e">
        <f>'Open Order'!#REF!</f>
        <v>#REF!</v>
      </c>
      <c r="B48" s="6" t="e">
        <f>'Open Order'!#REF!</f>
        <v>#REF!</v>
      </c>
      <c r="C48" s="6" t="e">
        <f>'Open Order'!#REF!</f>
        <v>#REF!</v>
      </c>
      <c r="D48" s="8" t="e">
        <f>'Open Order'!#REF!</f>
        <v>#REF!</v>
      </c>
      <c r="E48" s="9" t="e">
        <f>'Open Order'!#REF!</f>
        <v>#REF!</v>
      </c>
      <c r="F48" s="14" t="e">
        <f>'Open Order'!#REF!</f>
        <v>#REF!</v>
      </c>
      <c r="L48" s="8" t="e">
        <f>'Open Order'!#REF!</f>
        <v>#REF!</v>
      </c>
    </row>
    <row r="49" spans="1:12" ht="30.75" customHeight="1" thickBot="1" x14ac:dyDescent="0.25">
      <c r="A49" s="10" t="e">
        <f>'Open Order'!#REF!</f>
        <v>#REF!</v>
      </c>
      <c r="B49" s="6" t="e">
        <f>'Open Order'!#REF!</f>
        <v>#REF!</v>
      </c>
      <c r="C49" s="6" t="e">
        <f>'Open Order'!#REF!</f>
        <v>#REF!</v>
      </c>
      <c r="D49" s="8" t="e">
        <f>'Open Order'!#REF!</f>
        <v>#REF!</v>
      </c>
      <c r="E49" s="9" t="e">
        <f>'Open Order'!#REF!</f>
        <v>#REF!</v>
      </c>
      <c r="F49" s="14" t="e">
        <f>'Open Order'!#REF!</f>
        <v>#REF!</v>
      </c>
      <c r="L49" s="8" t="e">
        <f>'Open Order'!#REF!</f>
        <v>#REF!</v>
      </c>
    </row>
    <row r="50" spans="1:12" ht="30.75" customHeight="1" thickBot="1" x14ac:dyDescent="0.25">
      <c r="A50" s="10" t="e">
        <f>'Open Order'!#REF!</f>
        <v>#REF!</v>
      </c>
      <c r="B50" s="6" t="e">
        <f>'Open Order'!#REF!</f>
        <v>#REF!</v>
      </c>
      <c r="C50" s="6" t="e">
        <f>'Open Order'!#REF!</f>
        <v>#REF!</v>
      </c>
      <c r="D50" s="8" t="e">
        <f>'Open Order'!#REF!</f>
        <v>#REF!</v>
      </c>
      <c r="E50" s="9" t="e">
        <f>'Open Order'!#REF!</f>
        <v>#REF!</v>
      </c>
      <c r="F50" s="14" t="e">
        <f>'Open Order'!#REF!</f>
        <v>#REF!</v>
      </c>
      <c r="L50" s="8" t="e">
        <f>'Open Order'!#REF!</f>
        <v>#REF!</v>
      </c>
    </row>
    <row r="51" spans="1:12" ht="30.75" customHeight="1" thickBot="1" x14ac:dyDescent="0.25">
      <c r="A51" s="10" t="e">
        <f>'Open Order'!#REF!</f>
        <v>#REF!</v>
      </c>
      <c r="B51" s="6" t="e">
        <f>'Open Order'!#REF!</f>
        <v>#REF!</v>
      </c>
      <c r="C51" s="6" t="e">
        <f>'Open Order'!#REF!</f>
        <v>#REF!</v>
      </c>
      <c r="D51" s="8" t="e">
        <f>'Open Order'!#REF!</f>
        <v>#REF!</v>
      </c>
      <c r="E51" s="9" t="e">
        <f>'Open Order'!#REF!</f>
        <v>#REF!</v>
      </c>
      <c r="F51" s="14" t="e">
        <f>'Open Order'!#REF!</f>
        <v>#REF!</v>
      </c>
      <c r="L51" s="8" t="e">
        <f>'Open Order'!#REF!</f>
        <v>#REF!</v>
      </c>
    </row>
    <row r="52" spans="1:12" ht="30.75" customHeight="1" thickBot="1" x14ac:dyDescent="0.25">
      <c r="A52" s="10" t="e">
        <f>'Open Order'!#REF!</f>
        <v>#REF!</v>
      </c>
      <c r="B52" s="6" t="e">
        <f>'Open Order'!#REF!</f>
        <v>#REF!</v>
      </c>
      <c r="C52" s="6" t="e">
        <f>'Open Order'!#REF!</f>
        <v>#REF!</v>
      </c>
      <c r="D52" s="8" t="e">
        <f>'Open Order'!#REF!</f>
        <v>#REF!</v>
      </c>
      <c r="E52" s="9" t="e">
        <f>'Open Order'!#REF!</f>
        <v>#REF!</v>
      </c>
      <c r="F52" s="14" t="e">
        <f>'Open Order'!#REF!</f>
        <v>#REF!</v>
      </c>
      <c r="L52" s="8" t="e">
        <f>'Open Order'!#REF!</f>
        <v>#REF!</v>
      </c>
    </row>
    <row r="53" spans="1:12" ht="30.75" customHeight="1" thickBot="1" x14ac:dyDescent="0.25">
      <c r="A53" s="10" t="e">
        <f>'Open Order'!#REF!</f>
        <v>#REF!</v>
      </c>
      <c r="B53" s="6" t="e">
        <f>'Open Order'!#REF!</f>
        <v>#REF!</v>
      </c>
      <c r="C53" s="6" t="e">
        <f>'Open Order'!#REF!</f>
        <v>#REF!</v>
      </c>
      <c r="D53" s="8" t="e">
        <f>'Open Order'!#REF!</f>
        <v>#REF!</v>
      </c>
      <c r="E53" s="9" t="e">
        <f>'Open Order'!#REF!</f>
        <v>#REF!</v>
      </c>
      <c r="F53" s="14" t="e">
        <f>'Open Order'!#REF!</f>
        <v>#REF!</v>
      </c>
      <c r="L53" s="8" t="e">
        <f>'Open Order'!#REF!</f>
        <v>#REF!</v>
      </c>
    </row>
    <row r="54" spans="1:12" ht="30.75" customHeight="1" thickBot="1" x14ac:dyDescent="0.25">
      <c r="A54" s="10" t="e">
        <f>'Open Order'!#REF!</f>
        <v>#REF!</v>
      </c>
      <c r="B54" s="6" t="e">
        <f>'Open Order'!#REF!</f>
        <v>#REF!</v>
      </c>
      <c r="C54" s="6" t="e">
        <f>'Open Order'!#REF!</f>
        <v>#REF!</v>
      </c>
      <c r="D54" s="8" t="e">
        <f>'Open Order'!#REF!</f>
        <v>#REF!</v>
      </c>
      <c r="E54" s="9" t="e">
        <f>'Open Order'!#REF!</f>
        <v>#REF!</v>
      </c>
      <c r="F54" s="14" t="e">
        <f>'Open Order'!#REF!</f>
        <v>#REF!</v>
      </c>
      <c r="L54" s="8" t="e">
        <f>'Open Order'!#REF!</f>
        <v>#REF!</v>
      </c>
    </row>
    <row r="55" spans="1:12" ht="30.75" customHeight="1" thickBot="1" x14ac:dyDescent="0.25">
      <c r="A55" s="10" t="e">
        <f>'Open Order'!#REF!</f>
        <v>#REF!</v>
      </c>
      <c r="B55" s="6" t="e">
        <f>'Open Order'!#REF!</f>
        <v>#REF!</v>
      </c>
      <c r="C55" s="6" t="e">
        <f>'Open Order'!#REF!</f>
        <v>#REF!</v>
      </c>
      <c r="D55" s="8" t="e">
        <f>'Open Order'!#REF!</f>
        <v>#REF!</v>
      </c>
      <c r="E55" s="9" t="e">
        <f>'Open Order'!#REF!</f>
        <v>#REF!</v>
      </c>
      <c r="F55" s="14" t="e">
        <f>'Open Order'!#REF!</f>
        <v>#REF!</v>
      </c>
      <c r="L55" s="8" t="e">
        <f>'Open Order'!#REF!</f>
        <v>#REF!</v>
      </c>
    </row>
    <row r="56" spans="1:12" ht="30.75" customHeight="1" thickBot="1" x14ac:dyDescent="0.25">
      <c r="A56" s="10" t="e">
        <f>'Open Order'!#REF!</f>
        <v>#REF!</v>
      </c>
      <c r="B56" s="6" t="e">
        <f>'Open Order'!#REF!</f>
        <v>#REF!</v>
      </c>
      <c r="C56" s="6" t="e">
        <f>'Open Order'!#REF!</f>
        <v>#REF!</v>
      </c>
      <c r="D56" s="8" t="e">
        <f>'Open Order'!#REF!</f>
        <v>#REF!</v>
      </c>
      <c r="E56" s="9" t="e">
        <f>'Open Order'!#REF!</f>
        <v>#REF!</v>
      </c>
      <c r="F56" s="14" t="e">
        <f>'Open Order'!#REF!</f>
        <v>#REF!</v>
      </c>
      <c r="L56" s="8" t="e">
        <f>'Open Order'!#REF!</f>
        <v>#REF!</v>
      </c>
    </row>
    <row r="57" spans="1:12" ht="30.75" customHeight="1" thickBot="1" x14ac:dyDescent="0.25">
      <c r="A57" s="10" t="e">
        <f>'Open Order'!#REF!</f>
        <v>#REF!</v>
      </c>
      <c r="B57" s="6" t="e">
        <f>'Open Order'!#REF!</f>
        <v>#REF!</v>
      </c>
      <c r="C57" s="6" t="e">
        <f>'Open Order'!#REF!</f>
        <v>#REF!</v>
      </c>
      <c r="D57" s="8" t="e">
        <f>'Open Order'!#REF!</f>
        <v>#REF!</v>
      </c>
      <c r="E57" s="9" t="e">
        <f>'Open Order'!#REF!</f>
        <v>#REF!</v>
      </c>
      <c r="F57" s="14" t="e">
        <f>'Open Order'!#REF!</f>
        <v>#REF!</v>
      </c>
      <c r="L57" s="8" t="e">
        <f>'Open Order'!#REF!</f>
        <v>#REF!</v>
      </c>
    </row>
    <row r="58" spans="1:12" ht="30.75" customHeight="1" thickBot="1" x14ac:dyDescent="0.25">
      <c r="A58" s="10" t="e">
        <f>'Open Order'!#REF!</f>
        <v>#REF!</v>
      </c>
      <c r="B58" s="6" t="e">
        <f>'Open Order'!#REF!</f>
        <v>#REF!</v>
      </c>
      <c r="C58" s="6" t="e">
        <f>'Open Order'!#REF!</f>
        <v>#REF!</v>
      </c>
      <c r="D58" s="8" t="e">
        <f>'Open Order'!#REF!</f>
        <v>#REF!</v>
      </c>
      <c r="E58" s="9" t="e">
        <f>'Open Order'!#REF!</f>
        <v>#REF!</v>
      </c>
      <c r="F58" s="14" t="e">
        <f>'Open Order'!#REF!</f>
        <v>#REF!</v>
      </c>
      <c r="L58" s="8" t="e">
        <f>'Open Order'!#REF!</f>
        <v>#REF!</v>
      </c>
    </row>
    <row r="59" spans="1:12" ht="30.75" customHeight="1" thickBot="1" x14ac:dyDescent="0.25">
      <c r="A59" s="10" t="e">
        <f>'Open Order'!#REF!</f>
        <v>#REF!</v>
      </c>
      <c r="B59" s="6" t="e">
        <f>'Open Order'!#REF!</f>
        <v>#REF!</v>
      </c>
      <c r="C59" s="6" t="e">
        <f>'Open Order'!#REF!</f>
        <v>#REF!</v>
      </c>
      <c r="D59" s="8" t="e">
        <f>'Open Order'!#REF!</f>
        <v>#REF!</v>
      </c>
      <c r="E59" s="9" t="e">
        <f>'Open Order'!#REF!</f>
        <v>#REF!</v>
      </c>
      <c r="F59" s="14" t="e">
        <f>'Open Order'!#REF!</f>
        <v>#REF!</v>
      </c>
      <c r="L59" s="8" t="e">
        <f>'Open Order'!#REF!</f>
        <v>#REF!</v>
      </c>
    </row>
    <row r="60" spans="1:12" ht="30.75" customHeight="1" thickBot="1" x14ac:dyDescent="0.25">
      <c r="A60" s="10" t="e">
        <f>'Open Order'!#REF!</f>
        <v>#REF!</v>
      </c>
      <c r="B60" s="6" t="e">
        <f>'Open Order'!#REF!</f>
        <v>#REF!</v>
      </c>
      <c r="C60" s="6" t="e">
        <f>'Open Order'!#REF!</f>
        <v>#REF!</v>
      </c>
      <c r="D60" s="8" t="e">
        <f>'Open Order'!#REF!</f>
        <v>#REF!</v>
      </c>
      <c r="E60" s="9" t="e">
        <f>'Open Order'!#REF!</f>
        <v>#REF!</v>
      </c>
      <c r="F60" s="14" t="e">
        <f>'Open Order'!#REF!</f>
        <v>#REF!</v>
      </c>
      <c r="L60" s="8" t="e">
        <f>'Open Order'!#REF!</f>
        <v>#REF!</v>
      </c>
    </row>
    <row r="61" spans="1:12" ht="30.75" customHeight="1" thickBot="1" x14ac:dyDescent="0.25">
      <c r="A61" s="10" t="e">
        <f>'Open Order'!#REF!</f>
        <v>#REF!</v>
      </c>
      <c r="B61" s="6" t="e">
        <f>'Open Order'!#REF!</f>
        <v>#REF!</v>
      </c>
      <c r="C61" s="6" t="e">
        <f>'Open Order'!#REF!</f>
        <v>#REF!</v>
      </c>
      <c r="D61" s="8" t="e">
        <f>'Open Order'!#REF!</f>
        <v>#REF!</v>
      </c>
      <c r="E61" s="9" t="e">
        <f>'Open Order'!#REF!</f>
        <v>#REF!</v>
      </c>
      <c r="F61" s="14" t="e">
        <f>'Open Order'!#REF!</f>
        <v>#REF!</v>
      </c>
      <c r="L61" s="8" t="e">
        <f>'Open Order'!#REF!</f>
        <v>#REF!</v>
      </c>
    </row>
    <row r="62" spans="1:12" ht="30.75" customHeight="1" thickBot="1" x14ac:dyDescent="0.25">
      <c r="A62" s="10" t="e">
        <f>'Open Order'!#REF!</f>
        <v>#REF!</v>
      </c>
      <c r="B62" s="6" t="e">
        <f>'Open Order'!#REF!</f>
        <v>#REF!</v>
      </c>
      <c r="C62" s="6" t="e">
        <f>'Open Order'!#REF!</f>
        <v>#REF!</v>
      </c>
      <c r="D62" s="8" t="e">
        <f>'Open Order'!#REF!</f>
        <v>#REF!</v>
      </c>
      <c r="E62" s="9" t="e">
        <f>'Open Order'!#REF!</f>
        <v>#REF!</v>
      </c>
      <c r="F62" s="14" t="e">
        <f>'Open Order'!#REF!</f>
        <v>#REF!</v>
      </c>
      <c r="L62" s="8" t="e">
        <f>'Open Order'!#REF!</f>
        <v>#REF!</v>
      </c>
    </row>
    <row r="63" spans="1:12" ht="30.75" customHeight="1" thickBot="1" x14ac:dyDescent="0.25">
      <c r="A63" s="10" t="e">
        <f>'Open Order'!#REF!</f>
        <v>#REF!</v>
      </c>
      <c r="B63" s="6" t="e">
        <f>'Open Order'!#REF!</f>
        <v>#REF!</v>
      </c>
      <c r="C63" s="6" t="e">
        <f>'Open Order'!#REF!</f>
        <v>#REF!</v>
      </c>
      <c r="D63" s="8" t="e">
        <f>'Open Order'!#REF!</f>
        <v>#REF!</v>
      </c>
      <c r="E63" s="9" t="e">
        <f>'Open Order'!#REF!</f>
        <v>#REF!</v>
      </c>
      <c r="F63" s="14" t="e">
        <f>'Open Order'!#REF!</f>
        <v>#REF!</v>
      </c>
      <c r="L63" s="8" t="e">
        <f>'Open Order'!#REF!</f>
        <v>#REF!</v>
      </c>
    </row>
    <row r="64" spans="1:12" ht="30.75" customHeight="1" thickBot="1" x14ac:dyDescent="0.25">
      <c r="A64" s="10" t="e">
        <f>'Open Order'!#REF!</f>
        <v>#REF!</v>
      </c>
      <c r="B64" s="6" t="e">
        <f>'Open Order'!#REF!</f>
        <v>#REF!</v>
      </c>
      <c r="C64" s="6" t="e">
        <f>'Open Order'!#REF!</f>
        <v>#REF!</v>
      </c>
      <c r="D64" s="8" t="e">
        <f>'Open Order'!#REF!</f>
        <v>#REF!</v>
      </c>
      <c r="E64" s="9" t="e">
        <f>'Open Order'!#REF!</f>
        <v>#REF!</v>
      </c>
      <c r="F64" s="14" t="e">
        <f>'Open Order'!#REF!</f>
        <v>#REF!</v>
      </c>
      <c r="L64" s="8" t="e">
        <f>'Open Order'!#REF!</f>
        <v>#REF!</v>
      </c>
    </row>
    <row r="65" spans="1:12" ht="30.75" customHeight="1" thickBot="1" x14ac:dyDescent="0.25">
      <c r="A65" s="10" t="e">
        <f>'Open Order'!#REF!</f>
        <v>#REF!</v>
      </c>
      <c r="B65" s="6" t="e">
        <f>'Open Order'!#REF!</f>
        <v>#REF!</v>
      </c>
      <c r="C65" s="6" t="e">
        <f>'Open Order'!#REF!</f>
        <v>#REF!</v>
      </c>
      <c r="D65" s="8" t="e">
        <f>'Open Order'!#REF!</f>
        <v>#REF!</v>
      </c>
      <c r="E65" s="9" t="e">
        <f>'Open Order'!#REF!</f>
        <v>#REF!</v>
      </c>
      <c r="F65" s="14" t="e">
        <f>'Open Order'!#REF!</f>
        <v>#REF!</v>
      </c>
      <c r="L65" s="8" t="e">
        <f>'Open Order'!#REF!</f>
        <v>#REF!</v>
      </c>
    </row>
    <row r="66" spans="1:12" ht="30.75" customHeight="1" thickBot="1" x14ac:dyDescent="0.25">
      <c r="A66" s="10" t="e">
        <f>'Open Order'!#REF!</f>
        <v>#REF!</v>
      </c>
      <c r="B66" s="6" t="e">
        <f>'Open Order'!#REF!</f>
        <v>#REF!</v>
      </c>
      <c r="C66" s="6" t="e">
        <f>'Open Order'!#REF!</f>
        <v>#REF!</v>
      </c>
      <c r="D66" s="8" t="e">
        <f>'Open Order'!#REF!</f>
        <v>#REF!</v>
      </c>
      <c r="E66" s="9" t="e">
        <f>'Open Order'!#REF!</f>
        <v>#REF!</v>
      </c>
      <c r="F66" s="14" t="e">
        <f>'Open Order'!#REF!</f>
        <v>#REF!</v>
      </c>
      <c r="L66" s="8" t="e">
        <f>'Open Order'!#REF!</f>
        <v>#REF!</v>
      </c>
    </row>
    <row r="67" spans="1:12" ht="30.75" customHeight="1" thickBot="1" x14ac:dyDescent="0.25">
      <c r="A67" s="10" t="e">
        <f>'Open Order'!#REF!</f>
        <v>#REF!</v>
      </c>
      <c r="B67" s="6" t="e">
        <f>'Open Order'!#REF!</f>
        <v>#REF!</v>
      </c>
      <c r="C67" s="6" t="e">
        <f>'Open Order'!#REF!</f>
        <v>#REF!</v>
      </c>
      <c r="D67" s="8" t="e">
        <f>'Open Order'!#REF!</f>
        <v>#REF!</v>
      </c>
      <c r="E67" s="9" t="e">
        <f>'Open Order'!#REF!</f>
        <v>#REF!</v>
      </c>
      <c r="F67" s="14" t="e">
        <f>'Open Order'!#REF!</f>
        <v>#REF!</v>
      </c>
      <c r="L67" s="8" t="e">
        <f>'Open Order'!#REF!</f>
        <v>#REF!</v>
      </c>
    </row>
    <row r="68" spans="1:12" ht="30.75" customHeight="1" thickBot="1" x14ac:dyDescent="0.25">
      <c r="A68" s="10" t="e">
        <f>'Open Order'!#REF!</f>
        <v>#REF!</v>
      </c>
      <c r="B68" s="6" t="e">
        <f>'Open Order'!#REF!</f>
        <v>#REF!</v>
      </c>
      <c r="C68" s="6" t="e">
        <f>'Open Order'!#REF!</f>
        <v>#REF!</v>
      </c>
      <c r="D68" s="8" t="e">
        <f>'Open Order'!#REF!</f>
        <v>#REF!</v>
      </c>
      <c r="E68" s="9" t="e">
        <f>'Open Order'!#REF!</f>
        <v>#REF!</v>
      </c>
      <c r="F68" s="14" t="e">
        <f>'Open Order'!#REF!</f>
        <v>#REF!</v>
      </c>
      <c r="L68" s="8" t="e">
        <f>'Open Order'!#REF!</f>
        <v>#REF!</v>
      </c>
    </row>
    <row r="69" spans="1:12" ht="30.75" customHeight="1" thickBot="1" x14ac:dyDescent="0.25">
      <c r="A69" s="10" t="e">
        <f>'Open Order'!#REF!</f>
        <v>#REF!</v>
      </c>
      <c r="B69" s="6" t="e">
        <f>'Open Order'!#REF!</f>
        <v>#REF!</v>
      </c>
      <c r="C69" s="6" t="e">
        <f>'Open Order'!#REF!</f>
        <v>#REF!</v>
      </c>
      <c r="D69" s="8" t="e">
        <f>'Open Order'!#REF!</f>
        <v>#REF!</v>
      </c>
      <c r="E69" s="9" t="e">
        <f>'Open Order'!#REF!</f>
        <v>#REF!</v>
      </c>
      <c r="F69" s="14" t="e">
        <f>'Open Order'!#REF!</f>
        <v>#REF!</v>
      </c>
      <c r="L69" s="8" t="e">
        <f>'Open Order'!#REF!</f>
        <v>#REF!</v>
      </c>
    </row>
    <row r="70" spans="1:12" ht="30.75" customHeight="1" thickBot="1" x14ac:dyDescent="0.25">
      <c r="A70" s="10" t="e">
        <f>'Open Order'!#REF!</f>
        <v>#REF!</v>
      </c>
      <c r="B70" s="6" t="e">
        <f>'Open Order'!#REF!</f>
        <v>#REF!</v>
      </c>
      <c r="C70" s="6" t="e">
        <f>'Open Order'!#REF!</f>
        <v>#REF!</v>
      </c>
      <c r="D70" s="8" t="e">
        <f>'Open Order'!#REF!</f>
        <v>#REF!</v>
      </c>
      <c r="E70" s="9" t="e">
        <f>'Open Order'!#REF!</f>
        <v>#REF!</v>
      </c>
      <c r="F70" s="14" t="e">
        <f>'Open Order'!#REF!</f>
        <v>#REF!</v>
      </c>
      <c r="L70" s="8" t="e">
        <f>'Open Order'!#REF!</f>
        <v>#REF!</v>
      </c>
    </row>
    <row r="71" spans="1:12" ht="30.75" customHeight="1" thickBot="1" x14ac:dyDescent="0.25">
      <c r="A71" s="10" t="e">
        <f>'Open Order'!#REF!</f>
        <v>#REF!</v>
      </c>
      <c r="B71" s="6" t="e">
        <f>'Open Order'!#REF!</f>
        <v>#REF!</v>
      </c>
      <c r="C71" s="6" t="e">
        <f>'Open Order'!#REF!</f>
        <v>#REF!</v>
      </c>
      <c r="D71" s="8" t="e">
        <f>'Open Order'!#REF!</f>
        <v>#REF!</v>
      </c>
      <c r="E71" s="9" t="e">
        <f>'Open Order'!#REF!</f>
        <v>#REF!</v>
      </c>
      <c r="F71" s="14" t="e">
        <f>'Open Order'!#REF!</f>
        <v>#REF!</v>
      </c>
      <c r="L71" s="8" t="e">
        <f>'Open Order'!#REF!</f>
        <v>#REF!</v>
      </c>
    </row>
    <row r="72" spans="1:12" ht="30.75" customHeight="1" thickBot="1" x14ac:dyDescent="0.25">
      <c r="A72" s="10" t="e">
        <f>'Open Order'!#REF!</f>
        <v>#REF!</v>
      </c>
      <c r="B72" s="6" t="e">
        <f>'Open Order'!#REF!</f>
        <v>#REF!</v>
      </c>
      <c r="C72" s="6" t="e">
        <f>'Open Order'!#REF!</f>
        <v>#REF!</v>
      </c>
      <c r="D72" s="8" t="e">
        <f>'Open Order'!#REF!</f>
        <v>#REF!</v>
      </c>
      <c r="E72" s="9" t="e">
        <f>'Open Order'!#REF!</f>
        <v>#REF!</v>
      </c>
      <c r="F72" s="14" t="e">
        <f>'Open Order'!#REF!</f>
        <v>#REF!</v>
      </c>
      <c r="L72" s="8" t="e">
        <f>'Open Order'!#REF!</f>
        <v>#REF!</v>
      </c>
    </row>
    <row r="73" spans="1:12" ht="30.75" customHeight="1" thickBot="1" x14ac:dyDescent="0.25">
      <c r="A73" s="10" t="e">
        <f>'Open Order'!#REF!</f>
        <v>#REF!</v>
      </c>
      <c r="B73" s="6" t="e">
        <f>'Open Order'!#REF!</f>
        <v>#REF!</v>
      </c>
      <c r="C73" s="6" t="e">
        <f>'Open Order'!#REF!</f>
        <v>#REF!</v>
      </c>
      <c r="D73" s="8" t="e">
        <f>'Open Order'!#REF!</f>
        <v>#REF!</v>
      </c>
      <c r="E73" s="9" t="e">
        <f>'Open Order'!#REF!</f>
        <v>#REF!</v>
      </c>
      <c r="F73" s="14" t="e">
        <f>'Open Order'!#REF!</f>
        <v>#REF!</v>
      </c>
      <c r="L73" s="8" t="e">
        <f>'Open Order'!#REF!</f>
        <v>#REF!</v>
      </c>
    </row>
    <row r="74" spans="1:12" ht="30.75" customHeight="1" thickBot="1" x14ac:dyDescent="0.25">
      <c r="A74" s="10" t="e">
        <f>'Open Order'!#REF!</f>
        <v>#REF!</v>
      </c>
      <c r="B74" s="6" t="e">
        <f>'Open Order'!#REF!</f>
        <v>#REF!</v>
      </c>
      <c r="C74" s="6" t="e">
        <f>'Open Order'!#REF!</f>
        <v>#REF!</v>
      </c>
      <c r="D74" s="8" t="e">
        <f>'Open Order'!#REF!</f>
        <v>#REF!</v>
      </c>
      <c r="E74" s="9" t="e">
        <f>'Open Order'!#REF!</f>
        <v>#REF!</v>
      </c>
      <c r="F74" s="14" t="e">
        <f>'Open Order'!#REF!</f>
        <v>#REF!</v>
      </c>
      <c r="L74" s="8" t="e">
        <f>'Open Order'!#REF!</f>
        <v>#REF!</v>
      </c>
    </row>
    <row r="75" spans="1:12" ht="30.75" customHeight="1" thickBot="1" x14ac:dyDescent="0.25">
      <c r="A75" s="10" t="e">
        <f>'Open Order'!#REF!</f>
        <v>#REF!</v>
      </c>
      <c r="B75" s="6" t="e">
        <f>'Open Order'!#REF!</f>
        <v>#REF!</v>
      </c>
      <c r="C75" s="6" t="e">
        <f>'Open Order'!#REF!</f>
        <v>#REF!</v>
      </c>
      <c r="D75" s="8" t="e">
        <f>'Open Order'!#REF!</f>
        <v>#REF!</v>
      </c>
      <c r="E75" s="9" t="e">
        <f>'Open Order'!#REF!</f>
        <v>#REF!</v>
      </c>
      <c r="F75" s="14" t="e">
        <f>'Open Order'!#REF!</f>
        <v>#REF!</v>
      </c>
      <c r="L75" s="8" t="e">
        <f>'Open Order'!#REF!</f>
        <v>#REF!</v>
      </c>
    </row>
    <row r="76" spans="1:12" ht="30.75" customHeight="1" thickBot="1" x14ac:dyDescent="0.25">
      <c r="A76" s="10" t="e">
        <f>'Open Order'!#REF!</f>
        <v>#REF!</v>
      </c>
      <c r="B76" s="6" t="e">
        <f>'Open Order'!#REF!</f>
        <v>#REF!</v>
      </c>
      <c r="C76" s="6" t="e">
        <f>'Open Order'!#REF!</f>
        <v>#REF!</v>
      </c>
      <c r="D76" s="8" t="e">
        <f>'Open Order'!#REF!</f>
        <v>#REF!</v>
      </c>
      <c r="E76" s="9" t="e">
        <f>'Open Order'!#REF!</f>
        <v>#REF!</v>
      </c>
      <c r="F76" s="14" t="e">
        <f>'Open Order'!#REF!</f>
        <v>#REF!</v>
      </c>
      <c r="L76" s="8" t="e">
        <f>'Open Order'!#REF!</f>
        <v>#REF!</v>
      </c>
    </row>
    <row r="77" spans="1:12" ht="30.75" customHeight="1" thickBot="1" x14ac:dyDescent="0.25">
      <c r="A77" s="10" t="e">
        <f>'Open Order'!#REF!</f>
        <v>#REF!</v>
      </c>
      <c r="B77" s="6" t="e">
        <f>'Open Order'!#REF!</f>
        <v>#REF!</v>
      </c>
      <c r="C77" s="6" t="e">
        <f>'Open Order'!#REF!</f>
        <v>#REF!</v>
      </c>
      <c r="D77" s="8" t="e">
        <f>'Open Order'!#REF!</f>
        <v>#REF!</v>
      </c>
      <c r="E77" s="9" t="e">
        <f>'Open Order'!#REF!</f>
        <v>#REF!</v>
      </c>
      <c r="F77" s="14" t="e">
        <f>'Open Order'!#REF!</f>
        <v>#REF!</v>
      </c>
      <c r="L77" s="8" t="e">
        <f>'Open Order'!#REF!</f>
        <v>#REF!</v>
      </c>
    </row>
    <row r="78" spans="1:12" ht="30.75" customHeight="1" thickBot="1" x14ac:dyDescent="0.25">
      <c r="A78" s="10" t="e">
        <f>'Open Order'!#REF!</f>
        <v>#REF!</v>
      </c>
      <c r="B78" s="6" t="e">
        <f>'Open Order'!#REF!</f>
        <v>#REF!</v>
      </c>
      <c r="C78" s="6" t="e">
        <f>'Open Order'!#REF!</f>
        <v>#REF!</v>
      </c>
      <c r="D78" s="8" t="e">
        <f>'Open Order'!#REF!</f>
        <v>#REF!</v>
      </c>
      <c r="E78" s="9" t="e">
        <f>'Open Order'!#REF!</f>
        <v>#REF!</v>
      </c>
      <c r="F78" s="14" t="e">
        <f>'Open Order'!#REF!</f>
        <v>#REF!</v>
      </c>
      <c r="L78" s="8" t="e">
        <f>'Open Order'!#REF!</f>
        <v>#REF!</v>
      </c>
    </row>
    <row r="79" spans="1:12" ht="30.75" customHeight="1" thickBot="1" x14ac:dyDescent="0.25">
      <c r="A79" s="10" t="e">
        <f>'Open Order'!#REF!</f>
        <v>#REF!</v>
      </c>
      <c r="B79" s="6" t="e">
        <f>'Open Order'!#REF!</f>
        <v>#REF!</v>
      </c>
      <c r="C79" s="6" t="e">
        <f>'Open Order'!#REF!</f>
        <v>#REF!</v>
      </c>
      <c r="D79" s="8" t="e">
        <f>'Open Order'!#REF!</f>
        <v>#REF!</v>
      </c>
      <c r="E79" s="9" t="e">
        <f>'Open Order'!#REF!</f>
        <v>#REF!</v>
      </c>
      <c r="F79" s="14" t="e">
        <f>'Open Order'!#REF!</f>
        <v>#REF!</v>
      </c>
      <c r="L79" s="8" t="e">
        <f>'Open Order'!#REF!</f>
        <v>#REF!</v>
      </c>
    </row>
    <row r="80" spans="1:12" ht="30.75" customHeight="1" thickBot="1" x14ac:dyDescent="0.25">
      <c r="A80" s="10" t="e">
        <f>'Open Order'!#REF!</f>
        <v>#REF!</v>
      </c>
      <c r="B80" s="6" t="e">
        <f>'Open Order'!#REF!</f>
        <v>#REF!</v>
      </c>
      <c r="C80" s="6" t="e">
        <f>'Open Order'!#REF!</f>
        <v>#REF!</v>
      </c>
      <c r="D80" s="8" t="e">
        <f>'Open Order'!#REF!</f>
        <v>#REF!</v>
      </c>
      <c r="E80" s="9" t="e">
        <f>'Open Order'!#REF!</f>
        <v>#REF!</v>
      </c>
      <c r="F80" s="14" t="e">
        <f>'Open Order'!#REF!</f>
        <v>#REF!</v>
      </c>
      <c r="L80" s="8" t="e">
        <f>'Open Order'!#REF!</f>
        <v>#REF!</v>
      </c>
    </row>
    <row r="81" spans="1:12" ht="30.75" customHeight="1" thickBot="1" x14ac:dyDescent="0.25">
      <c r="A81" s="10" t="e">
        <f>'Open Order'!#REF!</f>
        <v>#REF!</v>
      </c>
      <c r="B81" s="6" t="e">
        <f>'Open Order'!#REF!</f>
        <v>#REF!</v>
      </c>
      <c r="C81" s="6" t="e">
        <f>'Open Order'!#REF!</f>
        <v>#REF!</v>
      </c>
      <c r="D81" s="8" t="e">
        <f>'Open Order'!#REF!</f>
        <v>#REF!</v>
      </c>
      <c r="E81" s="9" t="e">
        <f>'Open Order'!#REF!</f>
        <v>#REF!</v>
      </c>
      <c r="F81" s="14" t="e">
        <f>'Open Order'!#REF!</f>
        <v>#REF!</v>
      </c>
      <c r="L81" s="8" t="e">
        <f>'Open Order'!#REF!</f>
        <v>#REF!</v>
      </c>
    </row>
    <row r="82" spans="1:12" ht="30.75" customHeight="1" thickBot="1" x14ac:dyDescent="0.25">
      <c r="A82" s="10" t="e">
        <f>'Open Order'!#REF!</f>
        <v>#REF!</v>
      </c>
      <c r="B82" s="6" t="e">
        <f>'Open Order'!#REF!</f>
        <v>#REF!</v>
      </c>
      <c r="C82" s="6" t="e">
        <f>'Open Order'!#REF!</f>
        <v>#REF!</v>
      </c>
      <c r="D82" s="8" t="e">
        <f>'Open Order'!#REF!</f>
        <v>#REF!</v>
      </c>
      <c r="E82" s="9" t="e">
        <f>'Open Order'!#REF!</f>
        <v>#REF!</v>
      </c>
      <c r="F82" s="14" t="e">
        <f>'Open Order'!#REF!</f>
        <v>#REF!</v>
      </c>
      <c r="L82" s="8" t="e">
        <f>'Open Order'!#REF!</f>
        <v>#REF!</v>
      </c>
    </row>
    <row r="83" spans="1:12" ht="30.75" customHeight="1" thickBot="1" x14ac:dyDescent="0.25">
      <c r="A83" s="10" t="e">
        <f>'Open Order'!#REF!</f>
        <v>#REF!</v>
      </c>
      <c r="B83" s="6" t="e">
        <f>'Open Order'!#REF!</f>
        <v>#REF!</v>
      </c>
      <c r="C83" s="6" t="e">
        <f>'Open Order'!#REF!</f>
        <v>#REF!</v>
      </c>
      <c r="D83" s="8" t="e">
        <f>'Open Order'!#REF!</f>
        <v>#REF!</v>
      </c>
      <c r="E83" s="9" t="e">
        <f>'Open Order'!#REF!</f>
        <v>#REF!</v>
      </c>
      <c r="F83" s="14" t="e">
        <f>'Open Order'!#REF!</f>
        <v>#REF!</v>
      </c>
      <c r="L83" s="8" t="e">
        <f>'Open Order'!#REF!</f>
        <v>#REF!</v>
      </c>
    </row>
    <row r="84" spans="1:12" ht="30.75" customHeight="1" thickBot="1" x14ac:dyDescent="0.25">
      <c r="A84" s="10" t="e">
        <f>'Open Order'!#REF!</f>
        <v>#REF!</v>
      </c>
      <c r="B84" s="6" t="e">
        <f>'Open Order'!#REF!</f>
        <v>#REF!</v>
      </c>
      <c r="C84" s="6" t="e">
        <f>'Open Order'!#REF!</f>
        <v>#REF!</v>
      </c>
      <c r="D84" s="8" t="e">
        <f>'Open Order'!#REF!</f>
        <v>#REF!</v>
      </c>
      <c r="E84" s="9" t="e">
        <f>'Open Order'!#REF!</f>
        <v>#REF!</v>
      </c>
      <c r="F84" s="14" t="e">
        <f>'Open Order'!#REF!</f>
        <v>#REF!</v>
      </c>
      <c r="L84" s="8" t="e">
        <f>'Open Order'!#REF!</f>
        <v>#REF!</v>
      </c>
    </row>
    <row r="85" spans="1:12" ht="30.75" customHeight="1" thickBot="1" x14ac:dyDescent="0.25">
      <c r="A85" s="10" t="e">
        <f>'Open Order'!#REF!</f>
        <v>#REF!</v>
      </c>
      <c r="B85" s="6" t="e">
        <f>'Open Order'!#REF!</f>
        <v>#REF!</v>
      </c>
      <c r="C85" s="6" t="e">
        <f>'Open Order'!#REF!</f>
        <v>#REF!</v>
      </c>
      <c r="D85" s="8" t="e">
        <f>'Open Order'!#REF!</f>
        <v>#REF!</v>
      </c>
      <c r="E85" s="9" t="e">
        <f>'Open Order'!#REF!</f>
        <v>#REF!</v>
      </c>
      <c r="F85" s="14" t="e">
        <f>'Open Order'!#REF!</f>
        <v>#REF!</v>
      </c>
      <c r="L85" s="8" t="e">
        <f>'Open Order'!#REF!</f>
        <v>#REF!</v>
      </c>
    </row>
    <row r="86" spans="1:12" ht="30.75" customHeight="1" thickBot="1" x14ac:dyDescent="0.25">
      <c r="A86" s="10" t="e">
        <f>'Open Order'!#REF!</f>
        <v>#REF!</v>
      </c>
      <c r="B86" s="6" t="e">
        <f>'Open Order'!#REF!</f>
        <v>#REF!</v>
      </c>
      <c r="C86" s="6" t="e">
        <f>'Open Order'!#REF!</f>
        <v>#REF!</v>
      </c>
      <c r="D86" s="8" t="e">
        <f>'Open Order'!#REF!</f>
        <v>#REF!</v>
      </c>
      <c r="E86" s="9" t="e">
        <f>'Open Order'!#REF!</f>
        <v>#REF!</v>
      </c>
      <c r="F86" s="14" t="e">
        <f>'Open Order'!#REF!</f>
        <v>#REF!</v>
      </c>
      <c r="L86" s="8" t="e">
        <f>'Open Order'!#REF!</f>
        <v>#REF!</v>
      </c>
    </row>
    <row r="87" spans="1:12" ht="30.75" customHeight="1" thickBot="1" x14ac:dyDescent="0.25">
      <c r="A87" s="10" t="e">
        <f>'Open Order'!#REF!</f>
        <v>#REF!</v>
      </c>
      <c r="B87" s="6" t="e">
        <f>'Open Order'!#REF!</f>
        <v>#REF!</v>
      </c>
      <c r="C87" s="6" t="e">
        <f>'Open Order'!#REF!</f>
        <v>#REF!</v>
      </c>
      <c r="D87" s="8" t="e">
        <f>'Open Order'!#REF!</f>
        <v>#REF!</v>
      </c>
      <c r="E87" s="9" t="e">
        <f>'Open Order'!#REF!</f>
        <v>#REF!</v>
      </c>
      <c r="F87" s="14" t="e">
        <f>'Open Order'!#REF!</f>
        <v>#REF!</v>
      </c>
      <c r="L87" s="8" t="e">
        <f>'Open Order'!#REF!</f>
        <v>#REF!</v>
      </c>
    </row>
    <row r="88" spans="1:12" ht="30.75" customHeight="1" thickBot="1" x14ac:dyDescent="0.25">
      <c r="A88" s="10" t="e">
        <f>'Open Order'!#REF!</f>
        <v>#REF!</v>
      </c>
      <c r="B88" s="6" t="e">
        <f>'Open Order'!#REF!</f>
        <v>#REF!</v>
      </c>
      <c r="C88" s="6" t="e">
        <f>'Open Order'!#REF!</f>
        <v>#REF!</v>
      </c>
      <c r="D88" s="8" t="e">
        <f>'Open Order'!#REF!</f>
        <v>#REF!</v>
      </c>
      <c r="E88" s="9" t="e">
        <f>'Open Order'!#REF!</f>
        <v>#REF!</v>
      </c>
      <c r="F88" s="14" t="e">
        <f>'Open Order'!#REF!</f>
        <v>#REF!</v>
      </c>
      <c r="L88" s="8" t="e">
        <f>'Open Order'!#REF!</f>
        <v>#REF!</v>
      </c>
    </row>
    <row r="89" spans="1:12" ht="30.75" customHeight="1" thickBot="1" x14ac:dyDescent="0.25">
      <c r="A89" s="10" t="e">
        <f>'Open Order'!#REF!</f>
        <v>#REF!</v>
      </c>
      <c r="B89" s="6" t="e">
        <f>'Open Order'!#REF!</f>
        <v>#REF!</v>
      </c>
      <c r="C89" s="6" t="e">
        <f>'Open Order'!#REF!</f>
        <v>#REF!</v>
      </c>
      <c r="D89" s="8" t="e">
        <f>'Open Order'!#REF!</f>
        <v>#REF!</v>
      </c>
      <c r="E89" s="9" t="e">
        <f>'Open Order'!#REF!</f>
        <v>#REF!</v>
      </c>
      <c r="F89" s="14" t="e">
        <f>'Open Order'!#REF!</f>
        <v>#REF!</v>
      </c>
      <c r="L89" s="8" t="e">
        <f>'Open Order'!#REF!</f>
        <v>#REF!</v>
      </c>
    </row>
    <row r="90" spans="1:12" ht="30.75" customHeight="1" thickBot="1" x14ac:dyDescent="0.25">
      <c r="A90" s="10" t="e">
        <f>'Open Order'!#REF!</f>
        <v>#REF!</v>
      </c>
      <c r="B90" s="6" t="e">
        <f>'Open Order'!#REF!</f>
        <v>#REF!</v>
      </c>
      <c r="C90" s="6" t="e">
        <f>'Open Order'!#REF!</f>
        <v>#REF!</v>
      </c>
      <c r="D90" s="8" t="e">
        <f>'Open Order'!#REF!</f>
        <v>#REF!</v>
      </c>
      <c r="E90" s="9" t="e">
        <f>'Open Order'!#REF!</f>
        <v>#REF!</v>
      </c>
      <c r="F90" s="14" t="e">
        <f>'Open Order'!#REF!</f>
        <v>#REF!</v>
      </c>
      <c r="L90" s="8" t="e">
        <f>'Open Order'!#REF!</f>
        <v>#REF!</v>
      </c>
    </row>
    <row r="91" spans="1:12" ht="30.75" customHeight="1" thickBot="1" x14ac:dyDescent="0.25">
      <c r="A91" s="10" t="e">
        <f>'Open Order'!#REF!</f>
        <v>#REF!</v>
      </c>
      <c r="B91" s="6" t="e">
        <f>'Open Order'!#REF!</f>
        <v>#REF!</v>
      </c>
      <c r="C91" s="6" t="e">
        <f>'Open Order'!#REF!</f>
        <v>#REF!</v>
      </c>
      <c r="D91" s="8" t="e">
        <f>'Open Order'!#REF!</f>
        <v>#REF!</v>
      </c>
      <c r="E91" s="9" t="e">
        <f>'Open Order'!#REF!</f>
        <v>#REF!</v>
      </c>
      <c r="F91" s="14" t="e">
        <f>'Open Order'!#REF!</f>
        <v>#REF!</v>
      </c>
      <c r="L91" s="8" t="e">
        <f>'Open Order'!#REF!</f>
        <v>#REF!</v>
      </c>
    </row>
    <row r="92" spans="1:12" ht="30.75" customHeight="1" thickBot="1" x14ac:dyDescent="0.25">
      <c r="A92" s="10" t="e">
        <f>'Open Order'!#REF!</f>
        <v>#REF!</v>
      </c>
      <c r="B92" s="6" t="e">
        <f>'Open Order'!#REF!</f>
        <v>#REF!</v>
      </c>
      <c r="C92" s="6" t="e">
        <f>'Open Order'!#REF!</f>
        <v>#REF!</v>
      </c>
      <c r="D92" s="8" t="e">
        <f>'Open Order'!#REF!</f>
        <v>#REF!</v>
      </c>
      <c r="E92" s="9" t="e">
        <f>'Open Order'!#REF!</f>
        <v>#REF!</v>
      </c>
      <c r="F92" s="14" t="e">
        <f>'Open Order'!#REF!</f>
        <v>#REF!</v>
      </c>
      <c r="L92" s="8" t="e">
        <f>'Open Order'!#REF!</f>
        <v>#REF!</v>
      </c>
    </row>
    <row r="93" spans="1:12" ht="30.75" customHeight="1" thickBot="1" x14ac:dyDescent="0.25">
      <c r="A93" s="10" t="e">
        <f>'Open Order'!#REF!</f>
        <v>#REF!</v>
      </c>
      <c r="B93" s="6" t="e">
        <f>'Open Order'!#REF!</f>
        <v>#REF!</v>
      </c>
      <c r="C93" s="6" t="e">
        <f>'Open Order'!#REF!</f>
        <v>#REF!</v>
      </c>
      <c r="D93" s="8" t="e">
        <f>'Open Order'!#REF!</f>
        <v>#REF!</v>
      </c>
      <c r="E93" s="9" t="e">
        <f>'Open Order'!#REF!</f>
        <v>#REF!</v>
      </c>
      <c r="F93" s="14" t="e">
        <f>'Open Order'!#REF!</f>
        <v>#REF!</v>
      </c>
      <c r="L93" s="8" t="e">
        <f>'Open Order'!#REF!</f>
        <v>#REF!</v>
      </c>
    </row>
    <row r="94" spans="1:12" ht="30.75" customHeight="1" thickBot="1" x14ac:dyDescent="0.25">
      <c r="A94" s="10" t="e">
        <f>'Open Order'!#REF!</f>
        <v>#REF!</v>
      </c>
      <c r="B94" s="6" t="e">
        <f>'Open Order'!#REF!</f>
        <v>#REF!</v>
      </c>
      <c r="C94" s="6" t="e">
        <f>'Open Order'!#REF!</f>
        <v>#REF!</v>
      </c>
      <c r="D94" s="8" t="e">
        <f>'Open Order'!#REF!</f>
        <v>#REF!</v>
      </c>
      <c r="E94" s="9" t="e">
        <f>'Open Order'!#REF!</f>
        <v>#REF!</v>
      </c>
      <c r="F94" s="14" t="e">
        <f>'Open Order'!#REF!</f>
        <v>#REF!</v>
      </c>
      <c r="L94" s="8" t="e">
        <f>'Open Order'!#REF!</f>
        <v>#REF!</v>
      </c>
    </row>
    <row r="95" spans="1:12" ht="30.75" customHeight="1" thickBot="1" x14ac:dyDescent="0.25">
      <c r="A95" s="10" t="e">
        <f>'Open Order'!#REF!</f>
        <v>#REF!</v>
      </c>
      <c r="B95" s="6" t="e">
        <f>'Open Order'!#REF!</f>
        <v>#REF!</v>
      </c>
      <c r="C95" s="6" t="e">
        <f>'Open Order'!#REF!</f>
        <v>#REF!</v>
      </c>
      <c r="D95" s="8" t="e">
        <f>'Open Order'!#REF!</f>
        <v>#REF!</v>
      </c>
      <c r="E95" s="9" t="e">
        <f>'Open Order'!#REF!</f>
        <v>#REF!</v>
      </c>
      <c r="F95" s="14" t="e">
        <f>'Open Order'!#REF!</f>
        <v>#REF!</v>
      </c>
      <c r="L95" s="8" t="e">
        <f>'Open Order'!#REF!</f>
        <v>#REF!</v>
      </c>
    </row>
    <row r="96" spans="1:12" ht="30.75" customHeight="1" thickBot="1" x14ac:dyDescent="0.25">
      <c r="A96" s="10" t="e">
        <f>'Open Order'!#REF!</f>
        <v>#REF!</v>
      </c>
      <c r="B96" s="6" t="e">
        <f>'Open Order'!#REF!</f>
        <v>#REF!</v>
      </c>
      <c r="C96" s="6" t="e">
        <f>'Open Order'!#REF!</f>
        <v>#REF!</v>
      </c>
      <c r="D96" s="8" t="e">
        <f>'Open Order'!#REF!</f>
        <v>#REF!</v>
      </c>
      <c r="E96" s="9" t="e">
        <f>'Open Order'!#REF!</f>
        <v>#REF!</v>
      </c>
      <c r="F96" s="14" t="e">
        <f>'Open Order'!#REF!</f>
        <v>#REF!</v>
      </c>
      <c r="L96" s="8" t="e">
        <f>'Open Order'!#REF!</f>
        <v>#REF!</v>
      </c>
    </row>
    <row r="97" spans="1:12" ht="30.75" customHeight="1" thickBot="1" x14ac:dyDescent="0.25">
      <c r="A97" s="10" t="e">
        <f>'Open Order'!#REF!</f>
        <v>#REF!</v>
      </c>
      <c r="B97" s="6" t="e">
        <f>'Open Order'!#REF!</f>
        <v>#REF!</v>
      </c>
      <c r="C97" s="6" t="e">
        <f>'Open Order'!#REF!</f>
        <v>#REF!</v>
      </c>
      <c r="D97" s="8" t="e">
        <f>'Open Order'!#REF!</f>
        <v>#REF!</v>
      </c>
      <c r="E97" s="9" t="e">
        <f>'Open Order'!#REF!</f>
        <v>#REF!</v>
      </c>
      <c r="F97" s="14" t="e">
        <f>'Open Order'!#REF!</f>
        <v>#REF!</v>
      </c>
      <c r="L97" s="8" t="e">
        <f>'Open Order'!#REF!</f>
        <v>#REF!</v>
      </c>
    </row>
    <row r="98" spans="1:12" ht="30.75" customHeight="1" thickBot="1" x14ac:dyDescent="0.25">
      <c r="A98" s="10" t="e">
        <f>'Open Order'!#REF!</f>
        <v>#REF!</v>
      </c>
      <c r="B98" s="6" t="e">
        <f>'Open Order'!#REF!</f>
        <v>#REF!</v>
      </c>
      <c r="C98" s="6" t="e">
        <f>'Open Order'!#REF!</f>
        <v>#REF!</v>
      </c>
      <c r="D98" s="8" t="e">
        <f>'Open Order'!#REF!</f>
        <v>#REF!</v>
      </c>
      <c r="E98" s="9" t="e">
        <f>'Open Order'!#REF!</f>
        <v>#REF!</v>
      </c>
      <c r="F98" s="14" t="e">
        <f>'Open Order'!#REF!</f>
        <v>#REF!</v>
      </c>
      <c r="L98" s="8" t="e">
        <f>'Open Order'!#REF!</f>
        <v>#REF!</v>
      </c>
    </row>
    <row r="99" spans="1:12" ht="30.75" customHeight="1" thickBot="1" x14ac:dyDescent="0.25">
      <c r="A99" s="10" t="e">
        <f>'Open Order'!#REF!</f>
        <v>#REF!</v>
      </c>
      <c r="B99" s="6" t="e">
        <f>'Open Order'!#REF!</f>
        <v>#REF!</v>
      </c>
      <c r="C99" s="6" t="e">
        <f>'Open Order'!#REF!</f>
        <v>#REF!</v>
      </c>
      <c r="D99" s="8" t="e">
        <f>'Open Order'!#REF!</f>
        <v>#REF!</v>
      </c>
      <c r="E99" s="9" t="e">
        <f>'Open Order'!#REF!</f>
        <v>#REF!</v>
      </c>
      <c r="F99" s="14" t="e">
        <f>'Open Order'!#REF!</f>
        <v>#REF!</v>
      </c>
      <c r="L99" s="8" t="e">
        <f>'Open Order'!#REF!</f>
        <v>#REF!</v>
      </c>
    </row>
    <row r="100" spans="1:12" ht="30.75" customHeight="1" thickBot="1" x14ac:dyDescent="0.25">
      <c r="A100" s="10" t="e">
        <f>'Open Order'!#REF!</f>
        <v>#REF!</v>
      </c>
      <c r="B100" s="6" t="e">
        <f>'Open Order'!#REF!</f>
        <v>#REF!</v>
      </c>
      <c r="C100" s="6" t="e">
        <f>'Open Order'!#REF!</f>
        <v>#REF!</v>
      </c>
      <c r="D100" s="8" t="e">
        <f>'Open Order'!#REF!</f>
        <v>#REF!</v>
      </c>
      <c r="E100" s="9" t="e">
        <f>'Open Order'!#REF!</f>
        <v>#REF!</v>
      </c>
      <c r="F100" s="14" t="e">
        <f>'Open Order'!#REF!</f>
        <v>#REF!</v>
      </c>
      <c r="L100" s="8" t="e">
        <f>'Open Order'!#REF!</f>
        <v>#REF!</v>
      </c>
    </row>
    <row r="101" spans="1:12" ht="30.75" customHeight="1" thickBot="1" x14ac:dyDescent="0.25">
      <c r="A101" s="10" t="e">
        <f>'Open Order'!#REF!</f>
        <v>#REF!</v>
      </c>
      <c r="B101" s="6" t="e">
        <f>'Open Order'!#REF!</f>
        <v>#REF!</v>
      </c>
      <c r="C101" s="6" t="e">
        <f>'Open Order'!#REF!</f>
        <v>#REF!</v>
      </c>
      <c r="D101" s="8" t="e">
        <f>'Open Order'!#REF!</f>
        <v>#REF!</v>
      </c>
      <c r="E101" s="9" t="e">
        <f>'Open Order'!#REF!</f>
        <v>#REF!</v>
      </c>
      <c r="F101" s="14" t="e">
        <f>'Open Order'!#REF!</f>
        <v>#REF!</v>
      </c>
      <c r="L101" s="8" t="e">
        <f>'Open Order'!#REF!</f>
        <v>#REF!</v>
      </c>
    </row>
    <row r="102" spans="1:12" ht="30.75" customHeight="1" thickBot="1" x14ac:dyDescent="0.25">
      <c r="A102" s="10" t="e">
        <f>'Open Order'!#REF!</f>
        <v>#REF!</v>
      </c>
      <c r="B102" s="6" t="e">
        <f>'Open Order'!#REF!</f>
        <v>#REF!</v>
      </c>
      <c r="C102" s="6" t="e">
        <f>'Open Order'!#REF!</f>
        <v>#REF!</v>
      </c>
      <c r="D102" s="8" t="e">
        <f>'Open Order'!#REF!</f>
        <v>#REF!</v>
      </c>
      <c r="E102" s="9" t="e">
        <f>'Open Order'!#REF!</f>
        <v>#REF!</v>
      </c>
      <c r="F102" s="14" t="e">
        <f>'Open Order'!#REF!</f>
        <v>#REF!</v>
      </c>
      <c r="L102" s="8" t="e">
        <f>'Open Order'!#REF!</f>
        <v>#REF!</v>
      </c>
    </row>
    <row r="103" spans="1:12" ht="30.75" customHeight="1" thickBot="1" x14ac:dyDescent="0.25">
      <c r="A103" s="10" t="e">
        <f>'Open Order'!#REF!</f>
        <v>#REF!</v>
      </c>
      <c r="B103" s="6" t="e">
        <f>'Open Order'!#REF!</f>
        <v>#REF!</v>
      </c>
      <c r="C103" s="6" t="e">
        <f>'Open Order'!#REF!</f>
        <v>#REF!</v>
      </c>
      <c r="D103" s="8" t="e">
        <f>'Open Order'!#REF!</f>
        <v>#REF!</v>
      </c>
      <c r="E103" s="9" t="e">
        <f>'Open Order'!#REF!</f>
        <v>#REF!</v>
      </c>
      <c r="F103" s="14" t="e">
        <f>'Open Order'!#REF!</f>
        <v>#REF!</v>
      </c>
      <c r="L103" s="8" t="e">
        <f>'Open Order'!#REF!</f>
        <v>#REF!</v>
      </c>
    </row>
    <row r="104" spans="1:12" ht="30.75" customHeight="1" thickBot="1" x14ac:dyDescent="0.25">
      <c r="A104" s="10" t="e">
        <f>'Open Order'!#REF!</f>
        <v>#REF!</v>
      </c>
      <c r="B104" s="6" t="e">
        <f>'Open Order'!#REF!</f>
        <v>#REF!</v>
      </c>
      <c r="C104" s="6" t="e">
        <f>'Open Order'!#REF!</f>
        <v>#REF!</v>
      </c>
      <c r="D104" s="8" t="e">
        <f>'Open Order'!#REF!</f>
        <v>#REF!</v>
      </c>
      <c r="E104" s="9" t="e">
        <f>'Open Order'!#REF!</f>
        <v>#REF!</v>
      </c>
      <c r="F104" s="14" t="e">
        <f>'Open Order'!#REF!</f>
        <v>#REF!</v>
      </c>
      <c r="L104" s="8" t="e">
        <f>'Open Order'!#REF!</f>
        <v>#REF!</v>
      </c>
    </row>
    <row r="105" spans="1:12" ht="30.75" customHeight="1" thickBot="1" x14ac:dyDescent="0.25">
      <c r="A105" s="10" t="e">
        <f>'Open Order'!#REF!</f>
        <v>#REF!</v>
      </c>
      <c r="B105" s="6" t="e">
        <f>'Open Order'!#REF!</f>
        <v>#REF!</v>
      </c>
      <c r="C105" s="6" t="e">
        <f>'Open Order'!#REF!</f>
        <v>#REF!</v>
      </c>
      <c r="D105" s="8" t="e">
        <f>'Open Order'!#REF!</f>
        <v>#REF!</v>
      </c>
      <c r="E105" s="9" t="e">
        <f>'Open Order'!#REF!</f>
        <v>#REF!</v>
      </c>
      <c r="F105" s="14" t="e">
        <f>'Open Order'!#REF!</f>
        <v>#REF!</v>
      </c>
      <c r="L105" s="8" t="e">
        <f>'Open Order'!#REF!</f>
        <v>#REF!</v>
      </c>
    </row>
    <row r="106" spans="1:12" ht="30.75" customHeight="1" thickBot="1" x14ac:dyDescent="0.25">
      <c r="A106" s="10" t="e">
        <f>'Open Order'!#REF!</f>
        <v>#REF!</v>
      </c>
      <c r="B106" s="6" t="e">
        <f>'Open Order'!#REF!</f>
        <v>#REF!</v>
      </c>
      <c r="C106" s="6" t="e">
        <f>'Open Order'!#REF!</f>
        <v>#REF!</v>
      </c>
      <c r="D106" s="8" t="e">
        <f>'Open Order'!#REF!</f>
        <v>#REF!</v>
      </c>
      <c r="E106" s="9" t="e">
        <f>'Open Order'!#REF!</f>
        <v>#REF!</v>
      </c>
      <c r="F106" s="14" t="e">
        <f>'Open Order'!#REF!</f>
        <v>#REF!</v>
      </c>
      <c r="L106" s="8" t="e">
        <f>'Open Order'!#REF!</f>
        <v>#REF!</v>
      </c>
    </row>
    <row r="107" spans="1:12" ht="30.75" customHeight="1" thickBot="1" x14ac:dyDescent="0.25">
      <c r="A107" s="10" t="e">
        <f>'Open Order'!#REF!</f>
        <v>#REF!</v>
      </c>
      <c r="B107" s="6" t="e">
        <f>'Open Order'!#REF!</f>
        <v>#REF!</v>
      </c>
      <c r="C107" s="6" t="e">
        <f>'Open Order'!#REF!</f>
        <v>#REF!</v>
      </c>
      <c r="D107" s="8" t="e">
        <f>'Open Order'!#REF!</f>
        <v>#REF!</v>
      </c>
      <c r="E107" s="9" t="e">
        <f>'Open Order'!#REF!</f>
        <v>#REF!</v>
      </c>
      <c r="F107" s="14" t="e">
        <f>'Open Order'!#REF!</f>
        <v>#REF!</v>
      </c>
      <c r="L107" s="8" t="e">
        <f>'Open Order'!#REF!</f>
        <v>#REF!</v>
      </c>
    </row>
    <row r="108" spans="1:12" ht="30.75" customHeight="1" thickBot="1" x14ac:dyDescent="0.25">
      <c r="A108" s="10" t="e">
        <f>'Open Order'!#REF!</f>
        <v>#REF!</v>
      </c>
      <c r="B108" s="6" t="e">
        <f>'Open Order'!#REF!</f>
        <v>#REF!</v>
      </c>
      <c r="C108" s="6" t="e">
        <f>'Open Order'!#REF!</f>
        <v>#REF!</v>
      </c>
      <c r="D108" s="8" t="e">
        <f>'Open Order'!#REF!</f>
        <v>#REF!</v>
      </c>
      <c r="E108" s="9" t="e">
        <f>'Open Order'!#REF!</f>
        <v>#REF!</v>
      </c>
      <c r="F108" s="14" t="e">
        <f>'Open Order'!#REF!</f>
        <v>#REF!</v>
      </c>
      <c r="L108" s="8" t="e">
        <f>'Open Order'!#REF!</f>
        <v>#REF!</v>
      </c>
    </row>
    <row r="109" spans="1:12" ht="30.75" customHeight="1" thickBot="1" x14ac:dyDescent="0.25">
      <c r="A109" s="10" t="e">
        <f>'Open Order'!#REF!</f>
        <v>#REF!</v>
      </c>
      <c r="B109" s="6" t="e">
        <f>'Open Order'!#REF!</f>
        <v>#REF!</v>
      </c>
      <c r="C109" s="6" t="e">
        <f>'Open Order'!#REF!</f>
        <v>#REF!</v>
      </c>
      <c r="D109" s="8" t="e">
        <f>'Open Order'!#REF!</f>
        <v>#REF!</v>
      </c>
      <c r="E109" s="9" t="e">
        <f>'Open Order'!#REF!</f>
        <v>#REF!</v>
      </c>
      <c r="F109" s="14" t="e">
        <f>'Open Order'!#REF!</f>
        <v>#REF!</v>
      </c>
      <c r="L109" s="8" t="e">
        <f>'Open Order'!#REF!</f>
        <v>#REF!</v>
      </c>
    </row>
    <row r="110" spans="1:12" ht="30.75" customHeight="1" thickBot="1" x14ac:dyDescent="0.25">
      <c r="A110" s="10" t="e">
        <f>'Open Order'!#REF!</f>
        <v>#REF!</v>
      </c>
      <c r="B110" s="6" t="e">
        <f>'Open Order'!#REF!</f>
        <v>#REF!</v>
      </c>
      <c r="C110" s="6" t="e">
        <f>'Open Order'!#REF!</f>
        <v>#REF!</v>
      </c>
      <c r="D110" s="8" t="e">
        <f>'Open Order'!#REF!</f>
        <v>#REF!</v>
      </c>
      <c r="E110" s="9" t="e">
        <f>'Open Order'!#REF!</f>
        <v>#REF!</v>
      </c>
      <c r="F110" s="14" t="e">
        <f>'Open Order'!#REF!</f>
        <v>#REF!</v>
      </c>
      <c r="L110" s="8" t="e">
        <f>'Open Order'!#REF!</f>
        <v>#REF!</v>
      </c>
    </row>
    <row r="111" spans="1:12" ht="30.75" customHeight="1" thickBot="1" x14ac:dyDescent="0.25">
      <c r="A111" s="10" t="e">
        <f>'Open Order'!#REF!</f>
        <v>#REF!</v>
      </c>
      <c r="B111" s="6" t="e">
        <f>'Open Order'!#REF!</f>
        <v>#REF!</v>
      </c>
      <c r="C111" s="6" t="e">
        <f>'Open Order'!#REF!</f>
        <v>#REF!</v>
      </c>
      <c r="D111" s="8" t="e">
        <f>'Open Order'!#REF!</f>
        <v>#REF!</v>
      </c>
      <c r="E111" s="9" t="e">
        <f>'Open Order'!#REF!</f>
        <v>#REF!</v>
      </c>
      <c r="F111" s="14" t="e">
        <f>'Open Order'!#REF!</f>
        <v>#REF!</v>
      </c>
      <c r="L111" s="8" t="e">
        <f>'Open Order'!#REF!</f>
        <v>#REF!</v>
      </c>
    </row>
    <row r="112" spans="1:12" ht="30.75" customHeight="1" thickBot="1" x14ac:dyDescent="0.25">
      <c r="A112" s="10" t="e">
        <f>'Open Order'!#REF!</f>
        <v>#REF!</v>
      </c>
      <c r="B112" s="6" t="e">
        <f>'Open Order'!#REF!</f>
        <v>#REF!</v>
      </c>
      <c r="C112" s="6" t="e">
        <f>'Open Order'!#REF!</f>
        <v>#REF!</v>
      </c>
      <c r="D112" s="8" t="e">
        <f>'Open Order'!#REF!</f>
        <v>#REF!</v>
      </c>
      <c r="E112" s="9" t="e">
        <f>'Open Order'!#REF!</f>
        <v>#REF!</v>
      </c>
      <c r="F112" s="14" t="e">
        <f>'Open Order'!#REF!</f>
        <v>#REF!</v>
      </c>
      <c r="L112" s="8" t="e">
        <f>'Open Order'!#REF!</f>
        <v>#REF!</v>
      </c>
    </row>
    <row r="113" spans="1:12" ht="30.75" customHeight="1" thickBot="1" x14ac:dyDescent="0.25">
      <c r="A113" s="10" t="e">
        <f>'Open Order'!#REF!</f>
        <v>#REF!</v>
      </c>
      <c r="B113" s="6" t="e">
        <f>'Open Order'!#REF!</f>
        <v>#REF!</v>
      </c>
      <c r="C113" s="6" t="e">
        <f>'Open Order'!#REF!</f>
        <v>#REF!</v>
      </c>
      <c r="D113" s="8" t="e">
        <f>'Open Order'!#REF!</f>
        <v>#REF!</v>
      </c>
      <c r="E113" s="9" t="e">
        <f>'Open Order'!#REF!</f>
        <v>#REF!</v>
      </c>
      <c r="F113" s="14" t="e">
        <f>'Open Order'!#REF!</f>
        <v>#REF!</v>
      </c>
      <c r="L113" s="8" t="e">
        <f>'Open Order'!#REF!</f>
        <v>#REF!</v>
      </c>
    </row>
    <row r="114" spans="1:12" ht="30.75" customHeight="1" thickBot="1" x14ac:dyDescent="0.25">
      <c r="A114" s="10" t="e">
        <f>'Open Order'!#REF!</f>
        <v>#REF!</v>
      </c>
      <c r="B114" s="6" t="e">
        <f>'Open Order'!#REF!</f>
        <v>#REF!</v>
      </c>
      <c r="C114" s="6" t="e">
        <f>'Open Order'!#REF!</f>
        <v>#REF!</v>
      </c>
      <c r="D114" s="8" t="e">
        <f>'Open Order'!#REF!</f>
        <v>#REF!</v>
      </c>
      <c r="E114" s="9" t="e">
        <f>'Open Order'!#REF!</f>
        <v>#REF!</v>
      </c>
      <c r="F114" s="14" t="e">
        <f>'Open Order'!#REF!</f>
        <v>#REF!</v>
      </c>
      <c r="L114" s="8" t="e">
        <f>'Open Order'!#REF!</f>
        <v>#REF!</v>
      </c>
    </row>
    <row r="115" spans="1:12" ht="30.75" customHeight="1" thickBot="1" x14ac:dyDescent="0.25">
      <c r="A115" s="10" t="e">
        <f>'Open Order'!#REF!</f>
        <v>#REF!</v>
      </c>
      <c r="B115" s="6" t="e">
        <f>'Open Order'!#REF!</f>
        <v>#REF!</v>
      </c>
      <c r="C115" s="6" t="e">
        <f>'Open Order'!#REF!</f>
        <v>#REF!</v>
      </c>
      <c r="D115" s="8" t="e">
        <f>'Open Order'!#REF!</f>
        <v>#REF!</v>
      </c>
      <c r="E115" s="9" t="e">
        <f>'Open Order'!#REF!</f>
        <v>#REF!</v>
      </c>
      <c r="F115" s="14" t="e">
        <f>'Open Order'!#REF!</f>
        <v>#REF!</v>
      </c>
      <c r="L115" s="8" t="e">
        <f>'Open Order'!#REF!</f>
        <v>#REF!</v>
      </c>
    </row>
    <row r="116" spans="1:12" ht="30.75" customHeight="1" thickBot="1" x14ac:dyDescent="0.25">
      <c r="A116" s="10" t="e">
        <f>'Open Order'!#REF!</f>
        <v>#REF!</v>
      </c>
      <c r="B116" s="6" t="e">
        <f>'Open Order'!#REF!</f>
        <v>#REF!</v>
      </c>
      <c r="C116" s="6" t="e">
        <f>'Open Order'!#REF!</f>
        <v>#REF!</v>
      </c>
      <c r="D116" s="8" t="e">
        <f>'Open Order'!#REF!</f>
        <v>#REF!</v>
      </c>
      <c r="E116" s="9" t="e">
        <f>'Open Order'!#REF!</f>
        <v>#REF!</v>
      </c>
      <c r="F116" s="14" t="e">
        <f>'Open Order'!#REF!</f>
        <v>#REF!</v>
      </c>
      <c r="L116" s="8" t="e">
        <f>'Open Order'!#REF!</f>
        <v>#REF!</v>
      </c>
    </row>
    <row r="117" spans="1:12" ht="30.75" customHeight="1" thickBot="1" x14ac:dyDescent="0.25">
      <c r="A117" s="10" t="e">
        <f>'Open Order'!#REF!</f>
        <v>#REF!</v>
      </c>
      <c r="B117" s="6" t="e">
        <f>'Open Order'!#REF!</f>
        <v>#REF!</v>
      </c>
      <c r="C117" s="6" t="e">
        <f>'Open Order'!#REF!</f>
        <v>#REF!</v>
      </c>
      <c r="D117" s="8" t="e">
        <f>'Open Order'!#REF!</f>
        <v>#REF!</v>
      </c>
      <c r="E117" s="9" t="e">
        <f>'Open Order'!#REF!</f>
        <v>#REF!</v>
      </c>
      <c r="F117" s="14" t="e">
        <f>'Open Order'!#REF!</f>
        <v>#REF!</v>
      </c>
      <c r="L117" s="8" t="e">
        <f>'Open Order'!#REF!</f>
        <v>#REF!</v>
      </c>
    </row>
    <row r="118" spans="1:12" ht="30.75" customHeight="1" thickBot="1" x14ac:dyDescent="0.25">
      <c r="A118" s="10" t="e">
        <f>'Open Order'!#REF!</f>
        <v>#REF!</v>
      </c>
      <c r="B118" s="6" t="e">
        <f>'Open Order'!#REF!</f>
        <v>#REF!</v>
      </c>
      <c r="C118" s="6" t="e">
        <f>'Open Order'!#REF!</f>
        <v>#REF!</v>
      </c>
      <c r="D118" s="8" t="e">
        <f>'Open Order'!#REF!</f>
        <v>#REF!</v>
      </c>
      <c r="E118" s="9" t="e">
        <f>'Open Order'!#REF!</f>
        <v>#REF!</v>
      </c>
      <c r="F118" s="14" t="e">
        <f>'Open Order'!#REF!</f>
        <v>#REF!</v>
      </c>
      <c r="L118" s="8" t="e">
        <f>'Open Order'!#REF!</f>
        <v>#REF!</v>
      </c>
    </row>
    <row r="119" spans="1:12" ht="30.75" customHeight="1" thickBot="1" x14ac:dyDescent="0.25">
      <c r="A119" s="10" t="e">
        <f>'Open Order'!#REF!</f>
        <v>#REF!</v>
      </c>
      <c r="B119" s="6" t="e">
        <f>'Open Order'!#REF!</f>
        <v>#REF!</v>
      </c>
      <c r="C119" s="6" t="e">
        <f>'Open Order'!#REF!</f>
        <v>#REF!</v>
      </c>
      <c r="D119" s="8" t="e">
        <f>'Open Order'!#REF!</f>
        <v>#REF!</v>
      </c>
      <c r="E119" s="9" t="e">
        <f>'Open Order'!#REF!</f>
        <v>#REF!</v>
      </c>
      <c r="F119" s="14" t="e">
        <f>'Open Order'!#REF!</f>
        <v>#REF!</v>
      </c>
      <c r="L119" s="8" t="e">
        <f>'Open Order'!#REF!</f>
        <v>#REF!</v>
      </c>
    </row>
    <row r="120" spans="1:12" ht="30.75" customHeight="1" thickBot="1" x14ac:dyDescent="0.25">
      <c r="A120" s="10" t="e">
        <f>'Open Order'!#REF!</f>
        <v>#REF!</v>
      </c>
      <c r="B120" s="6" t="e">
        <f>'Open Order'!#REF!</f>
        <v>#REF!</v>
      </c>
      <c r="C120" s="6" t="e">
        <f>'Open Order'!#REF!</f>
        <v>#REF!</v>
      </c>
      <c r="D120" s="8" t="e">
        <f>'Open Order'!#REF!</f>
        <v>#REF!</v>
      </c>
      <c r="E120" s="9" t="e">
        <f>'Open Order'!#REF!</f>
        <v>#REF!</v>
      </c>
      <c r="F120" s="14" t="e">
        <f>'Open Order'!#REF!</f>
        <v>#REF!</v>
      </c>
      <c r="L120" s="8" t="e">
        <f>'Open Order'!#REF!</f>
        <v>#REF!</v>
      </c>
    </row>
    <row r="121" spans="1:12" ht="30.75" customHeight="1" thickBot="1" x14ac:dyDescent="0.25">
      <c r="A121" s="10" t="e">
        <f>'Open Order'!#REF!</f>
        <v>#REF!</v>
      </c>
      <c r="B121" s="6" t="e">
        <f>'Open Order'!#REF!</f>
        <v>#REF!</v>
      </c>
      <c r="C121" s="6" t="e">
        <f>'Open Order'!#REF!</f>
        <v>#REF!</v>
      </c>
      <c r="D121" s="8" t="e">
        <f>'Open Order'!#REF!</f>
        <v>#REF!</v>
      </c>
      <c r="E121" s="9" t="e">
        <f>'Open Order'!#REF!</f>
        <v>#REF!</v>
      </c>
      <c r="F121" s="14" t="e">
        <f>'Open Order'!#REF!</f>
        <v>#REF!</v>
      </c>
      <c r="L121" s="8" t="e">
        <f>'Open Order'!#REF!</f>
        <v>#REF!</v>
      </c>
    </row>
    <row r="122" spans="1:12" ht="30.75" customHeight="1" thickBot="1" x14ac:dyDescent="0.25">
      <c r="A122" s="10" t="e">
        <f>'Open Order'!#REF!</f>
        <v>#REF!</v>
      </c>
      <c r="B122" s="6" t="e">
        <f>'Open Order'!#REF!</f>
        <v>#REF!</v>
      </c>
      <c r="C122" s="6" t="e">
        <f>'Open Order'!#REF!</f>
        <v>#REF!</v>
      </c>
      <c r="D122" s="8" t="e">
        <f>'Open Order'!#REF!</f>
        <v>#REF!</v>
      </c>
      <c r="E122" s="9" t="e">
        <f>'Open Order'!#REF!</f>
        <v>#REF!</v>
      </c>
      <c r="F122" s="14" t="e">
        <f>'Open Order'!#REF!</f>
        <v>#REF!</v>
      </c>
      <c r="L122" s="8" t="e">
        <f>'Open Order'!#REF!</f>
        <v>#REF!</v>
      </c>
    </row>
    <row r="123" spans="1:12" ht="30.75" customHeight="1" thickBot="1" x14ac:dyDescent="0.25">
      <c r="A123" s="10" t="e">
        <f>'Open Order'!#REF!</f>
        <v>#REF!</v>
      </c>
      <c r="B123" s="6" t="e">
        <f>'Open Order'!#REF!</f>
        <v>#REF!</v>
      </c>
      <c r="C123" s="6" t="e">
        <f>'Open Order'!#REF!</f>
        <v>#REF!</v>
      </c>
      <c r="D123" s="8" t="e">
        <f>'Open Order'!#REF!</f>
        <v>#REF!</v>
      </c>
      <c r="E123" s="9" t="e">
        <f>'Open Order'!#REF!</f>
        <v>#REF!</v>
      </c>
      <c r="F123" s="14" t="e">
        <f>'Open Order'!#REF!</f>
        <v>#REF!</v>
      </c>
      <c r="L123" s="8" t="e">
        <f>'Open Order'!#REF!</f>
        <v>#REF!</v>
      </c>
    </row>
    <row r="124" spans="1:12" ht="30.75" customHeight="1" thickBot="1" x14ac:dyDescent="0.25">
      <c r="A124" s="10" t="e">
        <f>'Open Order'!#REF!</f>
        <v>#REF!</v>
      </c>
      <c r="B124" s="6" t="e">
        <f>'Open Order'!#REF!</f>
        <v>#REF!</v>
      </c>
      <c r="C124" s="6" t="e">
        <f>'Open Order'!#REF!</f>
        <v>#REF!</v>
      </c>
      <c r="D124" s="8" t="e">
        <f>'Open Order'!#REF!</f>
        <v>#REF!</v>
      </c>
      <c r="E124" s="9" t="e">
        <f>'Open Order'!#REF!</f>
        <v>#REF!</v>
      </c>
      <c r="F124" s="14" t="e">
        <f>'Open Order'!#REF!</f>
        <v>#REF!</v>
      </c>
      <c r="L124" s="8" t="e">
        <f>'Open Order'!#REF!</f>
        <v>#REF!</v>
      </c>
    </row>
    <row r="125" spans="1:12" ht="30.75" customHeight="1" thickBot="1" x14ac:dyDescent="0.25">
      <c r="A125" s="10" t="e">
        <f>'Open Order'!#REF!</f>
        <v>#REF!</v>
      </c>
      <c r="B125" s="6" t="e">
        <f>'Open Order'!#REF!</f>
        <v>#REF!</v>
      </c>
      <c r="C125" s="6" t="e">
        <f>'Open Order'!#REF!</f>
        <v>#REF!</v>
      </c>
      <c r="D125" s="8" t="e">
        <f>'Open Order'!#REF!</f>
        <v>#REF!</v>
      </c>
      <c r="E125" s="9" t="e">
        <f>'Open Order'!#REF!</f>
        <v>#REF!</v>
      </c>
      <c r="F125" s="14" t="e">
        <f>'Open Order'!#REF!</f>
        <v>#REF!</v>
      </c>
      <c r="L125" s="8" t="e">
        <f>'Open Order'!#REF!</f>
        <v>#REF!</v>
      </c>
    </row>
    <row r="126" spans="1:12" ht="30.75" customHeight="1" thickBot="1" x14ac:dyDescent="0.25">
      <c r="A126" s="10" t="e">
        <f>'Open Order'!#REF!</f>
        <v>#REF!</v>
      </c>
      <c r="B126" s="6" t="e">
        <f>'Open Order'!#REF!</f>
        <v>#REF!</v>
      </c>
      <c r="C126" s="6" t="e">
        <f>'Open Order'!#REF!</f>
        <v>#REF!</v>
      </c>
      <c r="D126" s="8" t="e">
        <f>'Open Order'!#REF!</f>
        <v>#REF!</v>
      </c>
      <c r="E126" s="9" t="e">
        <f>'Open Order'!#REF!</f>
        <v>#REF!</v>
      </c>
      <c r="F126" s="14" t="e">
        <f>'Open Order'!#REF!</f>
        <v>#REF!</v>
      </c>
      <c r="L126" s="8" t="e">
        <f>'Open Order'!#REF!</f>
        <v>#REF!</v>
      </c>
    </row>
    <row r="127" spans="1:12" ht="30.75" customHeight="1" thickBot="1" x14ac:dyDescent="0.25">
      <c r="A127" s="10" t="e">
        <f>'Open Order'!#REF!</f>
        <v>#REF!</v>
      </c>
      <c r="B127" s="6" t="e">
        <f>'Open Order'!#REF!</f>
        <v>#REF!</v>
      </c>
      <c r="C127" s="6" t="e">
        <f>'Open Order'!#REF!</f>
        <v>#REF!</v>
      </c>
      <c r="D127" s="8" t="e">
        <f>'Open Order'!#REF!</f>
        <v>#REF!</v>
      </c>
      <c r="E127" s="9" t="e">
        <f>'Open Order'!#REF!</f>
        <v>#REF!</v>
      </c>
      <c r="F127" s="14" t="e">
        <f>'Open Order'!#REF!</f>
        <v>#REF!</v>
      </c>
      <c r="L127" s="8" t="e">
        <f>'Open Order'!#REF!</f>
        <v>#REF!</v>
      </c>
    </row>
    <row r="128" spans="1:12" ht="30.75" customHeight="1" thickBot="1" x14ac:dyDescent="0.25">
      <c r="A128" s="10" t="e">
        <f>'Open Order'!#REF!</f>
        <v>#REF!</v>
      </c>
      <c r="B128" s="6" t="e">
        <f>'Open Order'!#REF!</f>
        <v>#REF!</v>
      </c>
      <c r="C128" s="6" t="e">
        <f>'Open Order'!#REF!</f>
        <v>#REF!</v>
      </c>
      <c r="D128" s="8" t="e">
        <f>'Open Order'!#REF!</f>
        <v>#REF!</v>
      </c>
      <c r="E128" s="9" t="e">
        <f>'Open Order'!#REF!</f>
        <v>#REF!</v>
      </c>
      <c r="F128" s="14" t="e">
        <f>'Open Order'!#REF!</f>
        <v>#REF!</v>
      </c>
      <c r="L128" s="8" t="e">
        <f>'Open Order'!#REF!</f>
        <v>#REF!</v>
      </c>
    </row>
    <row r="129" spans="1:12" ht="30.75" customHeight="1" thickBot="1" x14ac:dyDescent="0.25">
      <c r="A129" s="10" t="e">
        <f>'Open Order'!#REF!</f>
        <v>#REF!</v>
      </c>
      <c r="B129" s="6" t="e">
        <f>'Open Order'!#REF!</f>
        <v>#REF!</v>
      </c>
      <c r="C129" s="6" t="e">
        <f>'Open Order'!#REF!</f>
        <v>#REF!</v>
      </c>
      <c r="D129" s="8" t="e">
        <f>'Open Order'!#REF!</f>
        <v>#REF!</v>
      </c>
      <c r="E129" s="9" t="e">
        <f>'Open Order'!#REF!</f>
        <v>#REF!</v>
      </c>
      <c r="F129" s="14" t="e">
        <f>'Open Order'!#REF!</f>
        <v>#REF!</v>
      </c>
      <c r="L129" s="8" t="e">
        <f>'Open Order'!#REF!</f>
        <v>#REF!</v>
      </c>
    </row>
    <row r="130" spans="1:12" ht="30.75" customHeight="1" thickBot="1" x14ac:dyDescent="0.25">
      <c r="A130" s="10" t="e">
        <f>'Open Order'!#REF!</f>
        <v>#REF!</v>
      </c>
      <c r="B130" s="6" t="e">
        <f>'Open Order'!#REF!</f>
        <v>#REF!</v>
      </c>
      <c r="C130" s="6" t="e">
        <f>'Open Order'!#REF!</f>
        <v>#REF!</v>
      </c>
      <c r="D130" s="8" t="e">
        <f>'Open Order'!#REF!</f>
        <v>#REF!</v>
      </c>
      <c r="E130" s="9" t="e">
        <f>'Open Order'!#REF!</f>
        <v>#REF!</v>
      </c>
      <c r="F130" s="14" t="e">
        <f>'Open Order'!#REF!</f>
        <v>#REF!</v>
      </c>
      <c r="L130" s="8" t="e">
        <f>'Open Order'!#REF!</f>
        <v>#REF!</v>
      </c>
    </row>
    <row r="131" spans="1:12" ht="30.75" customHeight="1" thickBot="1" x14ac:dyDescent="0.25">
      <c r="A131" s="10" t="e">
        <f>'Open Order'!#REF!</f>
        <v>#REF!</v>
      </c>
      <c r="B131" s="6" t="e">
        <f>'Open Order'!#REF!</f>
        <v>#REF!</v>
      </c>
      <c r="C131" s="6" t="e">
        <f>'Open Order'!#REF!</f>
        <v>#REF!</v>
      </c>
      <c r="D131" s="8" t="e">
        <f>'Open Order'!#REF!</f>
        <v>#REF!</v>
      </c>
      <c r="E131" s="9" t="e">
        <f>'Open Order'!#REF!</f>
        <v>#REF!</v>
      </c>
      <c r="F131" s="14" t="e">
        <f>'Open Order'!#REF!</f>
        <v>#REF!</v>
      </c>
      <c r="L131" s="8" t="e">
        <f>'Open Order'!#REF!</f>
        <v>#REF!</v>
      </c>
    </row>
    <row r="132" spans="1:12" ht="30.75" customHeight="1" thickBot="1" x14ac:dyDescent="0.25">
      <c r="A132" s="10" t="e">
        <f>'Open Order'!#REF!</f>
        <v>#REF!</v>
      </c>
      <c r="B132" s="6" t="e">
        <f>'Open Order'!#REF!</f>
        <v>#REF!</v>
      </c>
      <c r="C132" s="6" t="e">
        <f>'Open Order'!#REF!</f>
        <v>#REF!</v>
      </c>
      <c r="D132" s="8" t="e">
        <f>'Open Order'!#REF!</f>
        <v>#REF!</v>
      </c>
      <c r="E132" s="9" t="e">
        <f>'Open Order'!#REF!</f>
        <v>#REF!</v>
      </c>
      <c r="F132" s="14" t="e">
        <f>'Open Order'!#REF!</f>
        <v>#REF!</v>
      </c>
      <c r="L132" s="8" t="e">
        <f>'Open Order'!#REF!</f>
        <v>#REF!</v>
      </c>
    </row>
    <row r="133" spans="1:12" ht="30.75" customHeight="1" thickBot="1" x14ac:dyDescent="0.25">
      <c r="A133" s="10" t="e">
        <f>'Open Order'!#REF!</f>
        <v>#REF!</v>
      </c>
      <c r="B133" s="6" t="e">
        <f>'Open Order'!#REF!</f>
        <v>#REF!</v>
      </c>
      <c r="C133" s="6" t="e">
        <f>'Open Order'!#REF!</f>
        <v>#REF!</v>
      </c>
      <c r="D133" s="8" t="e">
        <f>'Open Order'!#REF!</f>
        <v>#REF!</v>
      </c>
      <c r="E133" s="9" t="e">
        <f>'Open Order'!#REF!</f>
        <v>#REF!</v>
      </c>
      <c r="F133" s="14" t="e">
        <f>'Open Order'!#REF!</f>
        <v>#REF!</v>
      </c>
      <c r="L133" s="8" t="e">
        <f>'Open Order'!#REF!</f>
        <v>#REF!</v>
      </c>
    </row>
    <row r="134" spans="1:12" ht="30.75" customHeight="1" thickBot="1" x14ac:dyDescent="0.25">
      <c r="A134" s="10" t="e">
        <f>'Open Order'!#REF!</f>
        <v>#REF!</v>
      </c>
      <c r="B134" s="6" t="e">
        <f>'Open Order'!#REF!</f>
        <v>#REF!</v>
      </c>
      <c r="C134" s="6" t="e">
        <f>'Open Order'!#REF!</f>
        <v>#REF!</v>
      </c>
      <c r="D134" s="8" t="e">
        <f>'Open Order'!#REF!</f>
        <v>#REF!</v>
      </c>
      <c r="E134" s="9" t="e">
        <f>'Open Order'!#REF!</f>
        <v>#REF!</v>
      </c>
      <c r="F134" s="14" t="e">
        <f>'Open Order'!#REF!</f>
        <v>#REF!</v>
      </c>
      <c r="L134" s="8" t="e">
        <f>'Open Order'!#REF!</f>
        <v>#REF!</v>
      </c>
    </row>
    <row r="135" spans="1:12" ht="30.75" customHeight="1" thickBot="1" x14ac:dyDescent="0.25">
      <c r="A135" s="10" t="e">
        <f>'Open Order'!#REF!</f>
        <v>#REF!</v>
      </c>
      <c r="B135" s="6" t="e">
        <f>'Open Order'!#REF!</f>
        <v>#REF!</v>
      </c>
      <c r="C135" s="6" t="e">
        <f>'Open Order'!#REF!</f>
        <v>#REF!</v>
      </c>
      <c r="D135" s="8" t="e">
        <f>'Open Order'!#REF!</f>
        <v>#REF!</v>
      </c>
      <c r="E135" s="9" t="e">
        <f>'Open Order'!#REF!</f>
        <v>#REF!</v>
      </c>
      <c r="F135" s="14" t="e">
        <f>'Open Order'!#REF!</f>
        <v>#REF!</v>
      </c>
      <c r="L135" s="8" t="e">
        <f>'Open Order'!#REF!</f>
        <v>#REF!</v>
      </c>
    </row>
    <row r="136" spans="1:12" ht="30.75" customHeight="1" thickBot="1" x14ac:dyDescent="0.25">
      <c r="A136" s="10" t="e">
        <f>'Open Order'!#REF!</f>
        <v>#REF!</v>
      </c>
      <c r="B136" s="6" t="e">
        <f>'Open Order'!#REF!</f>
        <v>#REF!</v>
      </c>
      <c r="C136" s="6" t="e">
        <f>'Open Order'!#REF!</f>
        <v>#REF!</v>
      </c>
      <c r="D136" s="8" t="e">
        <f>'Open Order'!#REF!</f>
        <v>#REF!</v>
      </c>
      <c r="E136" s="9" t="e">
        <f>'Open Order'!#REF!</f>
        <v>#REF!</v>
      </c>
      <c r="F136" s="14" t="e">
        <f>'Open Order'!#REF!</f>
        <v>#REF!</v>
      </c>
      <c r="L136" s="8" t="e">
        <f>'Open Order'!#REF!</f>
        <v>#REF!</v>
      </c>
    </row>
    <row r="137" spans="1:12" ht="30.75" customHeight="1" thickBot="1" x14ac:dyDescent="0.25">
      <c r="A137" s="10" t="e">
        <f>'Open Order'!#REF!</f>
        <v>#REF!</v>
      </c>
      <c r="B137" s="6" t="e">
        <f>'Open Order'!#REF!</f>
        <v>#REF!</v>
      </c>
      <c r="C137" s="6" t="e">
        <f>'Open Order'!#REF!</f>
        <v>#REF!</v>
      </c>
      <c r="D137" s="8" t="e">
        <f>'Open Order'!#REF!</f>
        <v>#REF!</v>
      </c>
      <c r="E137" s="9" t="e">
        <f>'Open Order'!#REF!</f>
        <v>#REF!</v>
      </c>
      <c r="F137" s="14" t="e">
        <f>'Open Order'!#REF!</f>
        <v>#REF!</v>
      </c>
      <c r="L137" s="8" t="e">
        <f>'Open Order'!#REF!</f>
        <v>#REF!</v>
      </c>
    </row>
    <row r="138" spans="1:12" ht="30.75" customHeight="1" thickBot="1" x14ac:dyDescent="0.25">
      <c r="A138" s="10" t="e">
        <f>'Open Order'!#REF!</f>
        <v>#REF!</v>
      </c>
      <c r="B138" s="6" t="e">
        <f>'Open Order'!#REF!</f>
        <v>#REF!</v>
      </c>
      <c r="C138" s="6" t="e">
        <f>'Open Order'!#REF!</f>
        <v>#REF!</v>
      </c>
      <c r="D138" s="8" t="e">
        <f>'Open Order'!#REF!</f>
        <v>#REF!</v>
      </c>
      <c r="E138" s="9" t="e">
        <f>'Open Order'!#REF!</f>
        <v>#REF!</v>
      </c>
      <c r="F138" s="14" t="e">
        <f>'Open Order'!#REF!</f>
        <v>#REF!</v>
      </c>
      <c r="L138" s="8" t="e">
        <f>'Open Order'!#REF!</f>
        <v>#REF!</v>
      </c>
    </row>
    <row r="139" spans="1:12" ht="30.75" customHeight="1" thickBot="1" x14ac:dyDescent="0.25">
      <c r="A139" s="10" t="e">
        <f>'Open Order'!#REF!</f>
        <v>#REF!</v>
      </c>
      <c r="B139" s="6" t="e">
        <f>'Open Order'!#REF!</f>
        <v>#REF!</v>
      </c>
      <c r="C139" s="6" t="e">
        <f>'Open Order'!#REF!</f>
        <v>#REF!</v>
      </c>
      <c r="D139" s="8" t="e">
        <f>'Open Order'!#REF!</f>
        <v>#REF!</v>
      </c>
      <c r="E139" s="9" t="e">
        <f>'Open Order'!#REF!</f>
        <v>#REF!</v>
      </c>
      <c r="F139" s="14" t="e">
        <f>'Open Order'!#REF!</f>
        <v>#REF!</v>
      </c>
      <c r="L139" s="8" t="e">
        <f>'Open Order'!#REF!</f>
        <v>#REF!</v>
      </c>
    </row>
    <row r="140" spans="1:12" ht="30.75" customHeight="1" thickBot="1" x14ac:dyDescent="0.25">
      <c r="A140" s="10" t="e">
        <f>'Open Order'!#REF!</f>
        <v>#REF!</v>
      </c>
      <c r="B140" s="6" t="e">
        <f>'Open Order'!#REF!</f>
        <v>#REF!</v>
      </c>
      <c r="C140" s="6" t="e">
        <f>'Open Order'!#REF!</f>
        <v>#REF!</v>
      </c>
      <c r="D140" s="8" t="e">
        <f>'Open Order'!#REF!</f>
        <v>#REF!</v>
      </c>
      <c r="E140" s="9" t="e">
        <f>'Open Order'!#REF!</f>
        <v>#REF!</v>
      </c>
      <c r="F140" s="14" t="e">
        <f>'Open Order'!#REF!</f>
        <v>#REF!</v>
      </c>
      <c r="L140" s="8" t="e">
        <f>'Open Order'!#REF!</f>
        <v>#REF!</v>
      </c>
    </row>
    <row r="141" spans="1:12" ht="30.75" customHeight="1" thickBot="1" x14ac:dyDescent="0.25">
      <c r="A141" s="10" t="e">
        <f>'Open Order'!#REF!</f>
        <v>#REF!</v>
      </c>
      <c r="B141" s="6" t="e">
        <f>'Open Order'!#REF!</f>
        <v>#REF!</v>
      </c>
      <c r="C141" s="6" t="e">
        <f>'Open Order'!#REF!</f>
        <v>#REF!</v>
      </c>
      <c r="D141" s="8" t="e">
        <f>'Open Order'!#REF!</f>
        <v>#REF!</v>
      </c>
      <c r="E141" s="9" t="e">
        <f>'Open Order'!#REF!</f>
        <v>#REF!</v>
      </c>
      <c r="F141" s="14" t="e">
        <f>'Open Order'!#REF!</f>
        <v>#REF!</v>
      </c>
      <c r="L141" s="8" t="e">
        <f>'Open Order'!#REF!</f>
        <v>#REF!</v>
      </c>
    </row>
    <row r="142" spans="1:12" ht="30.75" customHeight="1" thickBot="1" x14ac:dyDescent="0.25">
      <c r="A142" s="10" t="e">
        <f>'Open Order'!#REF!</f>
        <v>#REF!</v>
      </c>
      <c r="B142" s="6" t="e">
        <f>'Open Order'!#REF!</f>
        <v>#REF!</v>
      </c>
      <c r="C142" s="6" t="e">
        <f>'Open Order'!#REF!</f>
        <v>#REF!</v>
      </c>
      <c r="D142" s="8" t="e">
        <f>'Open Order'!#REF!</f>
        <v>#REF!</v>
      </c>
      <c r="E142" s="9" t="e">
        <f>'Open Order'!#REF!</f>
        <v>#REF!</v>
      </c>
      <c r="F142" s="14" t="e">
        <f>'Open Order'!#REF!</f>
        <v>#REF!</v>
      </c>
      <c r="L142" s="8" t="e">
        <f>'Open Order'!#REF!</f>
        <v>#REF!</v>
      </c>
    </row>
    <row r="143" spans="1:12" ht="30.75" customHeight="1" thickBot="1" x14ac:dyDescent="0.25">
      <c r="A143" s="10" t="e">
        <f>'Open Order'!#REF!</f>
        <v>#REF!</v>
      </c>
      <c r="B143" s="6" t="e">
        <f>'Open Order'!#REF!</f>
        <v>#REF!</v>
      </c>
      <c r="C143" s="6" t="e">
        <f>'Open Order'!#REF!</f>
        <v>#REF!</v>
      </c>
      <c r="D143" s="8" t="e">
        <f>'Open Order'!#REF!</f>
        <v>#REF!</v>
      </c>
      <c r="E143" s="9" t="e">
        <f>'Open Order'!#REF!</f>
        <v>#REF!</v>
      </c>
      <c r="F143" s="14" t="e">
        <f>'Open Order'!#REF!</f>
        <v>#REF!</v>
      </c>
      <c r="L143" s="8" t="e">
        <f>'Open Order'!#REF!</f>
        <v>#REF!</v>
      </c>
    </row>
    <row r="144" spans="1:12" ht="30.75" customHeight="1" thickBot="1" x14ac:dyDescent="0.25">
      <c r="A144" s="10" t="e">
        <f>'Open Order'!#REF!</f>
        <v>#REF!</v>
      </c>
      <c r="B144" s="6" t="e">
        <f>'Open Order'!#REF!</f>
        <v>#REF!</v>
      </c>
      <c r="C144" s="6" t="e">
        <f>'Open Order'!#REF!</f>
        <v>#REF!</v>
      </c>
      <c r="D144" s="8" t="e">
        <f>'Open Order'!#REF!</f>
        <v>#REF!</v>
      </c>
      <c r="E144" s="9" t="e">
        <f>'Open Order'!#REF!</f>
        <v>#REF!</v>
      </c>
      <c r="F144" s="14" t="e">
        <f>'Open Order'!#REF!</f>
        <v>#REF!</v>
      </c>
      <c r="L144" s="8" t="e">
        <f>'Open Order'!#REF!</f>
        <v>#REF!</v>
      </c>
    </row>
    <row r="145" spans="1:12" ht="30.75" customHeight="1" thickBot="1" x14ac:dyDescent="0.25">
      <c r="A145" s="10" t="e">
        <f>'Open Order'!#REF!</f>
        <v>#REF!</v>
      </c>
      <c r="B145" s="6" t="e">
        <f>'Open Order'!#REF!</f>
        <v>#REF!</v>
      </c>
      <c r="C145" s="6" t="e">
        <f>'Open Order'!#REF!</f>
        <v>#REF!</v>
      </c>
      <c r="D145" s="8" t="e">
        <f>'Open Order'!#REF!</f>
        <v>#REF!</v>
      </c>
      <c r="E145" s="9" t="e">
        <f>'Open Order'!#REF!</f>
        <v>#REF!</v>
      </c>
      <c r="F145" s="14" t="e">
        <f>'Open Order'!#REF!</f>
        <v>#REF!</v>
      </c>
      <c r="L145" s="8" t="e">
        <f>'Open Order'!#REF!</f>
        <v>#REF!</v>
      </c>
    </row>
    <row r="146" spans="1:12" ht="30.75" customHeight="1" thickBot="1" x14ac:dyDescent="0.25">
      <c r="A146" s="10" t="e">
        <f>'Open Order'!#REF!</f>
        <v>#REF!</v>
      </c>
      <c r="B146" s="6" t="e">
        <f>'Open Order'!#REF!</f>
        <v>#REF!</v>
      </c>
      <c r="C146" s="6" t="e">
        <f>'Open Order'!#REF!</f>
        <v>#REF!</v>
      </c>
      <c r="D146" s="8" t="e">
        <f>'Open Order'!#REF!</f>
        <v>#REF!</v>
      </c>
      <c r="E146" s="9" t="e">
        <f>'Open Order'!#REF!</f>
        <v>#REF!</v>
      </c>
      <c r="F146" s="14" t="e">
        <f>'Open Order'!#REF!</f>
        <v>#REF!</v>
      </c>
      <c r="L146" s="8" t="e">
        <f>'Open Order'!#REF!</f>
        <v>#REF!</v>
      </c>
    </row>
    <row r="147" spans="1:12" ht="30.75" customHeight="1" thickBot="1" x14ac:dyDescent="0.25">
      <c r="A147" s="10" t="e">
        <f>'Open Order'!#REF!</f>
        <v>#REF!</v>
      </c>
      <c r="B147" s="6" t="e">
        <f>'Open Order'!#REF!</f>
        <v>#REF!</v>
      </c>
      <c r="C147" s="6" t="e">
        <f>'Open Order'!#REF!</f>
        <v>#REF!</v>
      </c>
      <c r="D147" s="8" t="e">
        <f>'Open Order'!#REF!</f>
        <v>#REF!</v>
      </c>
      <c r="E147" s="9" t="e">
        <f>'Open Order'!#REF!</f>
        <v>#REF!</v>
      </c>
      <c r="F147" s="14" t="e">
        <f>'Open Order'!#REF!</f>
        <v>#REF!</v>
      </c>
      <c r="L147" s="8" t="e">
        <f>'Open Order'!#REF!</f>
        <v>#REF!</v>
      </c>
    </row>
    <row r="148" spans="1:12" ht="30.75" customHeight="1" thickBot="1" x14ac:dyDescent="0.25">
      <c r="A148" s="10" t="e">
        <f>'Open Order'!#REF!</f>
        <v>#REF!</v>
      </c>
      <c r="B148" s="6" t="e">
        <f>'Open Order'!#REF!</f>
        <v>#REF!</v>
      </c>
      <c r="C148" s="6" t="e">
        <f>'Open Order'!#REF!</f>
        <v>#REF!</v>
      </c>
      <c r="D148" s="8" t="e">
        <f>'Open Order'!#REF!</f>
        <v>#REF!</v>
      </c>
      <c r="E148" s="9" t="e">
        <f>'Open Order'!#REF!</f>
        <v>#REF!</v>
      </c>
      <c r="F148" s="14" t="e">
        <f>'Open Order'!#REF!</f>
        <v>#REF!</v>
      </c>
      <c r="L148" s="8" t="e">
        <f>'Open Order'!#REF!</f>
        <v>#REF!</v>
      </c>
    </row>
    <row r="149" spans="1:12" ht="30.75" customHeight="1" thickBot="1" x14ac:dyDescent="0.25">
      <c r="A149" s="10" t="e">
        <f>'Open Order'!#REF!</f>
        <v>#REF!</v>
      </c>
      <c r="B149" s="6" t="e">
        <f>'Open Order'!#REF!</f>
        <v>#REF!</v>
      </c>
      <c r="C149" s="6" t="e">
        <f>'Open Order'!#REF!</f>
        <v>#REF!</v>
      </c>
      <c r="D149" s="8" t="e">
        <f>'Open Order'!#REF!</f>
        <v>#REF!</v>
      </c>
      <c r="E149" s="9" t="e">
        <f>'Open Order'!#REF!</f>
        <v>#REF!</v>
      </c>
      <c r="F149" s="14" t="e">
        <f>'Open Order'!#REF!</f>
        <v>#REF!</v>
      </c>
      <c r="L149" s="8" t="e">
        <f>'Open Order'!#REF!</f>
        <v>#REF!</v>
      </c>
    </row>
    <row r="150" spans="1:12" ht="30.75" customHeight="1" thickBot="1" x14ac:dyDescent="0.25">
      <c r="A150" s="10" t="e">
        <f>'Open Order'!#REF!</f>
        <v>#REF!</v>
      </c>
      <c r="B150" s="6" t="e">
        <f>'Open Order'!#REF!</f>
        <v>#REF!</v>
      </c>
      <c r="C150" s="6" t="e">
        <f>'Open Order'!#REF!</f>
        <v>#REF!</v>
      </c>
      <c r="D150" s="8" t="e">
        <f>'Open Order'!#REF!</f>
        <v>#REF!</v>
      </c>
      <c r="E150" s="9" t="e">
        <f>'Open Order'!#REF!</f>
        <v>#REF!</v>
      </c>
      <c r="F150" s="14" t="e">
        <f>'Open Order'!#REF!</f>
        <v>#REF!</v>
      </c>
      <c r="L150" s="8" t="e">
        <f>'Open Order'!#REF!</f>
        <v>#REF!</v>
      </c>
    </row>
    <row r="151" spans="1:12" ht="30.75" customHeight="1" thickBot="1" x14ac:dyDescent="0.25">
      <c r="A151" s="10" t="e">
        <f>'Open Order'!#REF!</f>
        <v>#REF!</v>
      </c>
      <c r="B151" s="6" t="e">
        <f>'Open Order'!#REF!</f>
        <v>#REF!</v>
      </c>
      <c r="C151" s="6" t="e">
        <f>'Open Order'!#REF!</f>
        <v>#REF!</v>
      </c>
      <c r="D151" s="8" t="e">
        <f>'Open Order'!#REF!</f>
        <v>#REF!</v>
      </c>
      <c r="E151" s="9" t="e">
        <f>'Open Order'!#REF!</f>
        <v>#REF!</v>
      </c>
      <c r="F151" s="14" t="e">
        <f>'Open Order'!#REF!</f>
        <v>#REF!</v>
      </c>
      <c r="L151" s="8" t="e">
        <f>'Open Order'!#REF!</f>
        <v>#REF!</v>
      </c>
    </row>
    <row r="152" spans="1:12" ht="30.75" customHeight="1" thickBot="1" x14ac:dyDescent="0.25">
      <c r="A152" s="10" t="e">
        <f>'Open Order'!#REF!</f>
        <v>#REF!</v>
      </c>
      <c r="B152" s="6" t="e">
        <f>'Open Order'!#REF!</f>
        <v>#REF!</v>
      </c>
      <c r="C152" s="6" t="e">
        <f>'Open Order'!#REF!</f>
        <v>#REF!</v>
      </c>
      <c r="D152" s="8" t="e">
        <f>'Open Order'!#REF!</f>
        <v>#REF!</v>
      </c>
      <c r="E152" s="9" t="e">
        <f>'Open Order'!#REF!</f>
        <v>#REF!</v>
      </c>
      <c r="F152" s="14" t="e">
        <f>'Open Order'!#REF!</f>
        <v>#REF!</v>
      </c>
      <c r="L152" s="8" t="e">
        <f>'Open Order'!#REF!</f>
        <v>#REF!</v>
      </c>
    </row>
    <row r="153" spans="1:12" ht="30.75" customHeight="1" thickBot="1" x14ac:dyDescent="0.25">
      <c r="A153" s="10" t="e">
        <f>'Open Order'!#REF!</f>
        <v>#REF!</v>
      </c>
      <c r="B153" s="6" t="e">
        <f>'Open Order'!#REF!</f>
        <v>#REF!</v>
      </c>
      <c r="C153" s="6" t="e">
        <f>'Open Order'!#REF!</f>
        <v>#REF!</v>
      </c>
      <c r="D153" s="8" t="e">
        <f>'Open Order'!#REF!</f>
        <v>#REF!</v>
      </c>
      <c r="E153" s="9" t="e">
        <f>'Open Order'!#REF!</f>
        <v>#REF!</v>
      </c>
      <c r="F153" s="14" t="e">
        <f>'Open Order'!#REF!</f>
        <v>#REF!</v>
      </c>
      <c r="L153" s="8" t="e">
        <f>'Open Order'!#REF!</f>
        <v>#REF!</v>
      </c>
    </row>
    <row r="154" spans="1:12" ht="30.75" customHeight="1" thickBot="1" x14ac:dyDescent="0.25">
      <c r="A154" s="10" t="e">
        <f>'Open Order'!#REF!</f>
        <v>#REF!</v>
      </c>
      <c r="B154" s="6" t="e">
        <f>'Open Order'!#REF!</f>
        <v>#REF!</v>
      </c>
      <c r="C154" s="6" t="e">
        <f>'Open Order'!#REF!</f>
        <v>#REF!</v>
      </c>
      <c r="D154" s="8" t="e">
        <f>'Open Order'!#REF!</f>
        <v>#REF!</v>
      </c>
      <c r="E154" s="9" t="e">
        <f>'Open Order'!#REF!</f>
        <v>#REF!</v>
      </c>
      <c r="F154" s="14" t="e">
        <f>'Open Order'!#REF!</f>
        <v>#REF!</v>
      </c>
      <c r="L154" s="8" t="e">
        <f>'Open Order'!#REF!</f>
        <v>#REF!</v>
      </c>
    </row>
    <row r="155" spans="1:12" ht="30.75" customHeight="1" thickBot="1" x14ac:dyDescent="0.25">
      <c r="A155" s="10" t="e">
        <f>'Open Order'!#REF!</f>
        <v>#REF!</v>
      </c>
      <c r="B155" s="6" t="e">
        <f>'Open Order'!#REF!</f>
        <v>#REF!</v>
      </c>
      <c r="C155" s="6" t="e">
        <f>'Open Order'!#REF!</f>
        <v>#REF!</v>
      </c>
      <c r="D155" s="8" t="e">
        <f>'Open Order'!#REF!</f>
        <v>#REF!</v>
      </c>
      <c r="E155" s="9" t="e">
        <f>'Open Order'!#REF!</f>
        <v>#REF!</v>
      </c>
      <c r="F155" s="14" t="e">
        <f>'Open Order'!#REF!</f>
        <v>#REF!</v>
      </c>
      <c r="L155" s="8" t="e">
        <f>'Open Order'!#REF!</f>
        <v>#REF!</v>
      </c>
    </row>
    <row r="156" spans="1:12" ht="30.75" customHeight="1" thickBot="1" x14ac:dyDescent="0.25">
      <c r="A156" s="10" t="e">
        <f>'Open Order'!#REF!</f>
        <v>#REF!</v>
      </c>
      <c r="B156" s="6" t="e">
        <f>'Open Order'!#REF!</f>
        <v>#REF!</v>
      </c>
      <c r="C156" s="6" t="e">
        <f>'Open Order'!#REF!</f>
        <v>#REF!</v>
      </c>
      <c r="D156" s="8" t="e">
        <f>'Open Order'!#REF!</f>
        <v>#REF!</v>
      </c>
      <c r="E156" s="9" t="e">
        <f>'Open Order'!#REF!</f>
        <v>#REF!</v>
      </c>
      <c r="F156" s="14" t="e">
        <f>'Open Order'!#REF!</f>
        <v>#REF!</v>
      </c>
      <c r="L156" s="8" t="e">
        <f>'Open Order'!#REF!</f>
        <v>#REF!</v>
      </c>
    </row>
    <row r="157" spans="1:12" ht="30.75" customHeight="1" thickBot="1" x14ac:dyDescent="0.25">
      <c r="A157" s="10" t="e">
        <f>'Open Order'!#REF!</f>
        <v>#REF!</v>
      </c>
      <c r="B157" s="6" t="e">
        <f>'Open Order'!#REF!</f>
        <v>#REF!</v>
      </c>
      <c r="C157" s="6" t="e">
        <f>'Open Order'!#REF!</f>
        <v>#REF!</v>
      </c>
      <c r="D157" s="8" t="e">
        <f>'Open Order'!#REF!</f>
        <v>#REF!</v>
      </c>
      <c r="E157" s="9" t="e">
        <f>'Open Order'!#REF!</f>
        <v>#REF!</v>
      </c>
      <c r="F157" s="14" t="e">
        <f>'Open Order'!#REF!</f>
        <v>#REF!</v>
      </c>
      <c r="L157" s="8" t="e">
        <f>'Open Order'!#REF!</f>
        <v>#REF!</v>
      </c>
    </row>
    <row r="158" spans="1:12" ht="30.75" customHeight="1" thickBot="1" x14ac:dyDescent="0.25">
      <c r="A158" s="10" t="e">
        <f>'Open Order'!#REF!</f>
        <v>#REF!</v>
      </c>
      <c r="B158" s="6" t="e">
        <f>'Open Order'!#REF!</f>
        <v>#REF!</v>
      </c>
      <c r="C158" s="6" t="e">
        <f>'Open Order'!#REF!</f>
        <v>#REF!</v>
      </c>
      <c r="D158" s="8" t="e">
        <f>'Open Order'!#REF!</f>
        <v>#REF!</v>
      </c>
      <c r="E158" s="9" t="e">
        <f>'Open Order'!#REF!</f>
        <v>#REF!</v>
      </c>
      <c r="F158" s="14" t="e">
        <f>'Open Order'!#REF!</f>
        <v>#REF!</v>
      </c>
      <c r="L158" s="8" t="e">
        <f>'Open Order'!#REF!</f>
        <v>#REF!</v>
      </c>
    </row>
    <row r="159" spans="1:12" ht="30.75" customHeight="1" thickBot="1" x14ac:dyDescent="0.25">
      <c r="A159" s="10" t="e">
        <f>'Open Order'!#REF!</f>
        <v>#REF!</v>
      </c>
      <c r="B159" s="6" t="e">
        <f>'Open Order'!#REF!</f>
        <v>#REF!</v>
      </c>
      <c r="C159" s="6" t="e">
        <f>'Open Order'!#REF!</f>
        <v>#REF!</v>
      </c>
      <c r="D159" s="8" t="e">
        <f>'Open Order'!#REF!</f>
        <v>#REF!</v>
      </c>
      <c r="E159" s="9" t="e">
        <f>'Open Order'!#REF!</f>
        <v>#REF!</v>
      </c>
      <c r="F159" s="14" t="e">
        <f>'Open Order'!#REF!</f>
        <v>#REF!</v>
      </c>
      <c r="L159" s="8" t="e">
        <f>'Open Order'!#REF!</f>
        <v>#REF!</v>
      </c>
    </row>
    <row r="160" spans="1:12" ht="30.75" customHeight="1" thickBot="1" x14ac:dyDescent="0.25">
      <c r="A160" s="10" t="e">
        <f>'Open Order'!#REF!</f>
        <v>#REF!</v>
      </c>
      <c r="B160" s="6" t="e">
        <f>'Open Order'!#REF!</f>
        <v>#REF!</v>
      </c>
      <c r="C160" s="6" t="e">
        <f>'Open Order'!#REF!</f>
        <v>#REF!</v>
      </c>
      <c r="D160" s="8" t="e">
        <f>'Open Order'!#REF!</f>
        <v>#REF!</v>
      </c>
      <c r="E160" s="9" t="e">
        <f>'Open Order'!#REF!</f>
        <v>#REF!</v>
      </c>
      <c r="F160" s="14" t="e">
        <f>'Open Order'!#REF!</f>
        <v>#REF!</v>
      </c>
      <c r="L160" s="8" t="e">
        <f>'Open Order'!#REF!</f>
        <v>#REF!</v>
      </c>
    </row>
    <row r="161" spans="1:12" ht="30.75" customHeight="1" thickBot="1" x14ac:dyDescent="0.25">
      <c r="A161" s="10" t="e">
        <f>'Open Order'!#REF!</f>
        <v>#REF!</v>
      </c>
      <c r="B161" s="6" t="e">
        <f>'Open Order'!#REF!</f>
        <v>#REF!</v>
      </c>
      <c r="C161" s="6" t="e">
        <f>'Open Order'!#REF!</f>
        <v>#REF!</v>
      </c>
      <c r="D161" s="8" t="e">
        <f>'Open Order'!#REF!</f>
        <v>#REF!</v>
      </c>
      <c r="E161" s="9" t="e">
        <f>'Open Order'!#REF!</f>
        <v>#REF!</v>
      </c>
      <c r="F161" s="14" t="e">
        <f>'Open Order'!#REF!</f>
        <v>#REF!</v>
      </c>
      <c r="L161" s="8" t="e">
        <f>'Open Order'!#REF!</f>
        <v>#REF!</v>
      </c>
    </row>
    <row r="162" spans="1:12" ht="30.75" customHeight="1" thickBot="1" x14ac:dyDescent="0.25">
      <c r="A162" s="10" t="e">
        <f>'Open Order'!#REF!</f>
        <v>#REF!</v>
      </c>
      <c r="B162" s="6" t="e">
        <f>'Open Order'!#REF!</f>
        <v>#REF!</v>
      </c>
      <c r="C162" s="6" t="e">
        <f>'Open Order'!#REF!</f>
        <v>#REF!</v>
      </c>
      <c r="D162" s="8" t="e">
        <f>'Open Order'!#REF!</f>
        <v>#REF!</v>
      </c>
      <c r="E162" s="9" t="e">
        <f>'Open Order'!#REF!</f>
        <v>#REF!</v>
      </c>
      <c r="F162" s="14" t="e">
        <f>'Open Order'!#REF!</f>
        <v>#REF!</v>
      </c>
      <c r="L162" s="8" t="e">
        <f>'Open Order'!#REF!</f>
        <v>#REF!</v>
      </c>
    </row>
    <row r="163" spans="1:12" ht="30.75" customHeight="1" thickBot="1" x14ac:dyDescent="0.25">
      <c r="A163" s="10" t="e">
        <f>'Open Order'!#REF!</f>
        <v>#REF!</v>
      </c>
      <c r="B163" s="6" t="e">
        <f>'Open Order'!#REF!</f>
        <v>#REF!</v>
      </c>
      <c r="C163" s="6" t="e">
        <f>'Open Order'!#REF!</f>
        <v>#REF!</v>
      </c>
      <c r="D163" s="8" t="e">
        <f>'Open Order'!#REF!</f>
        <v>#REF!</v>
      </c>
      <c r="E163" s="9" t="e">
        <f>'Open Order'!#REF!</f>
        <v>#REF!</v>
      </c>
      <c r="F163" s="14" t="e">
        <f>'Open Order'!#REF!</f>
        <v>#REF!</v>
      </c>
      <c r="L163" s="8" t="e">
        <f>'Open Order'!#REF!</f>
        <v>#REF!</v>
      </c>
    </row>
    <row r="164" spans="1:12" ht="30.75" customHeight="1" thickBot="1" x14ac:dyDescent="0.25">
      <c r="A164" s="10" t="e">
        <f>'Open Order'!#REF!</f>
        <v>#REF!</v>
      </c>
      <c r="B164" s="6" t="e">
        <f>'Open Order'!#REF!</f>
        <v>#REF!</v>
      </c>
      <c r="C164" s="6" t="e">
        <f>'Open Order'!#REF!</f>
        <v>#REF!</v>
      </c>
      <c r="D164" s="8" t="e">
        <f>'Open Order'!#REF!</f>
        <v>#REF!</v>
      </c>
      <c r="E164" s="9" t="e">
        <f>'Open Order'!#REF!</f>
        <v>#REF!</v>
      </c>
      <c r="F164" s="14" t="e">
        <f>'Open Order'!#REF!</f>
        <v>#REF!</v>
      </c>
      <c r="L164" s="8" t="e">
        <f>'Open Order'!#REF!</f>
        <v>#REF!</v>
      </c>
    </row>
    <row r="165" spans="1:12" ht="30.75" customHeight="1" thickBot="1" x14ac:dyDescent="0.25">
      <c r="A165" s="10" t="e">
        <f>'Open Order'!#REF!</f>
        <v>#REF!</v>
      </c>
      <c r="B165" s="6" t="e">
        <f>'Open Order'!#REF!</f>
        <v>#REF!</v>
      </c>
      <c r="C165" s="6" t="e">
        <f>'Open Order'!#REF!</f>
        <v>#REF!</v>
      </c>
      <c r="D165" s="8" t="e">
        <f>'Open Order'!#REF!</f>
        <v>#REF!</v>
      </c>
      <c r="E165" s="9" t="e">
        <f>'Open Order'!#REF!</f>
        <v>#REF!</v>
      </c>
      <c r="F165" s="14" t="e">
        <f>'Open Order'!#REF!</f>
        <v>#REF!</v>
      </c>
      <c r="L165" s="8" t="e">
        <f>'Open Order'!#REF!</f>
        <v>#REF!</v>
      </c>
    </row>
    <row r="166" spans="1:12" ht="30.75" customHeight="1" thickBot="1" x14ac:dyDescent="0.25">
      <c r="A166" s="10" t="e">
        <f>'Open Order'!#REF!</f>
        <v>#REF!</v>
      </c>
      <c r="B166" s="6" t="e">
        <f>'Open Order'!#REF!</f>
        <v>#REF!</v>
      </c>
      <c r="C166" s="6" t="e">
        <f>'Open Order'!#REF!</f>
        <v>#REF!</v>
      </c>
      <c r="D166" s="8" t="e">
        <f>'Open Order'!#REF!</f>
        <v>#REF!</v>
      </c>
      <c r="E166" s="9" t="e">
        <f>'Open Order'!#REF!</f>
        <v>#REF!</v>
      </c>
      <c r="F166" s="14" t="e">
        <f>'Open Order'!#REF!</f>
        <v>#REF!</v>
      </c>
      <c r="L166" s="8" t="e">
        <f>'Open Order'!#REF!</f>
        <v>#REF!</v>
      </c>
    </row>
    <row r="167" spans="1:12" ht="30.75" customHeight="1" thickBot="1" x14ac:dyDescent="0.25">
      <c r="A167" s="10" t="e">
        <f>'Open Order'!#REF!</f>
        <v>#REF!</v>
      </c>
      <c r="B167" s="6" t="e">
        <f>'Open Order'!#REF!</f>
        <v>#REF!</v>
      </c>
      <c r="C167" s="6" t="e">
        <f>'Open Order'!#REF!</f>
        <v>#REF!</v>
      </c>
      <c r="D167" s="8" t="e">
        <f>'Open Order'!#REF!</f>
        <v>#REF!</v>
      </c>
      <c r="E167" s="9" t="e">
        <f>'Open Order'!#REF!</f>
        <v>#REF!</v>
      </c>
      <c r="F167" s="14" t="e">
        <f>'Open Order'!#REF!</f>
        <v>#REF!</v>
      </c>
      <c r="L167" s="8" t="e">
        <f>'Open Order'!#REF!</f>
        <v>#REF!</v>
      </c>
    </row>
    <row r="168" spans="1:12" ht="30.75" customHeight="1" thickBot="1" x14ac:dyDescent="0.25">
      <c r="A168" s="10" t="e">
        <f>'Open Order'!#REF!</f>
        <v>#REF!</v>
      </c>
      <c r="B168" s="6" t="e">
        <f>'Open Order'!#REF!</f>
        <v>#REF!</v>
      </c>
      <c r="C168" s="6" t="e">
        <f>'Open Order'!#REF!</f>
        <v>#REF!</v>
      </c>
      <c r="D168" s="8" t="e">
        <f>'Open Order'!#REF!</f>
        <v>#REF!</v>
      </c>
      <c r="E168" s="9" t="e">
        <f>'Open Order'!#REF!</f>
        <v>#REF!</v>
      </c>
      <c r="F168" s="14" t="e">
        <f>'Open Order'!#REF!</f>
        <v>#REF!</v>
      </c>
      <c r="L168" s="8" t="e">
        <f>'Open Order'!#REF!</f>
        <v>#REF!</v>
      </c>
    </row>
    <row r="169" spans="1:12" ht="30.75" customHeight="1" thickBot="1" x14ac:dyDescent="0.25">
      <c r="A169" s="10" t="e">
        <f>'Open Order'!#REF!</f>
        <v>#REF!</v>
      </c>
      <c r="B169" s="6" t="e">
        <f>'Open Order'!#REF!</f>
        <v>#REF!</v>
      </c>
      <c r="C169" s="6" t="e">
        <f>'Open Order'!#REF!</f>
        <v>#REF!</v>
      </c>
      <c r="D169" s="8" t="e">
        <f>'Open Order'!#REF!</f>
        <v>#REF!</v>
      </c>
      <c r="E169" s="9" t="e">
        <f>'Open Order'!#REF!</f>
        <v>#REF!</v>
      </c>
      <c r="F169" s="14" t="e">
        <f>'Open Order'!#REF!</f>
        <v>#REF!</v>
      </c>
      <c r="L169" s="8" t="e">
        <f>'Open Order'!#REF!</f>
        <v>#REF!</v>
      </c>
    </row>
    <row r="170" spans="1:12" ht="30.75" customHeight="1" thickBot="1" x14ac:dyDescent="0.25">
      <c r="A170" s="10" t="e">
        <f>'Open Order'!#REF!</f>
        <v>#REF!</v>
      </c>
      <c r="B170" s="6" t="e">
        <f>'Open Order'!#REF!</f>
        <v>#REF!</v>
      </c>
      <c r="C170" s="6" t="e">
        <f>'Open Order'!#REF!</f>
        <v>#REF!</v>
      </c>
      <c r="D170" s="8" t="e">
        <f>'Open Order'!#REF!</f>
        <v>#REF!</v>
      </c>
      <c r="E170" s="9" t="e">
        <f>'Open Order'!#REF!</f>
        <v>#REF!</v>
      </c>
      <c r="F170" s="14" t="e">
        <f>'Open Order'!#REF!</f>
        <v>#REF!</v>
      </c>
      <c r="L170" s="8" t="e">
        <f>'Open Order'!#REF!</f>
        <v>#REF!</v>
      </c>
    </row>
    <row r="171" spans="1:12" ht="30.75" customHeight="1" thickBot="1" x14ac:dyDescent="0.25">
      <c r="A171" s="10" t="e">
        <f>'Open Order'!#REF!</f>
        <v>#REF!</v>
      </c>
      <c r="B171" s="6" t="e">
        <f>'Open Order'!#REF!</f>
        <v>#REF!</v>
      </c>
      <c r="C171" s="6" t="e">
        <f>'Open Order'!#REF!</f>
        <v>#REF!</v>
      </c>
      <c r="D171" s="8" t="e">
        <f>'Open Order'!#REF!</f>
        <v>#REF!</v>
      </c>
      <c r="E171" s="9" t="e">
        <f>'Open Order'!#REF!</f>
        <v>#REF!</v>
      </c>
      <c r="F171" s="14" t="e">
        <f>'Open Order'!#REF!</f>
        <v>#REF!</v>
      </c>
      <c r="L171" s="8" t="e">
        <f>'Open Order'!#REF!</f>
        <v>#REF!</v>
      </c>
    </row>
    <row r="172" spans="1:12" ht="30.75" customHeight="1" thickBot="1" x14ac:dyDescent="0.25">
      <c r="A172" s="10" t="e">
        <f>'Open Order'!#REF!</f>
        <v>#REF!</v>
      </c>
      <c r="B172" s="6" t="e">
        <f>'Open Order'!#REF!</f>
        <v>#REF!</v>
      </c>
      <c r="C172" s="6" t="e">
        <f>'Open Order'!#REF!</f>
        <v>#REF!</v>
      </c>
      <c r="D172" s="8" t="e">
        <f>'Open Order'!#REF!</f>
        <v>#REF!</v>
      </c>
      <c r="E172" s="9" t="e">
        <f>'Open Order'!#REF!</f>
        <v>#REF!</v>
      </c>
      <c r="F172" s="14" t="e">
        <f>'Open Order'!#REF!</f>
        <v>#REF!</v>
      </c>
      <c r="L172" s="8" t="e">
        <f>'Open Order'!#REF!</f>
        <v>#REF!</v>
      </c>
    </row>
    <row r="173" spans="1:12" ht="30.75" customHeight="1" thickBot="1" x14ac:dyDescent="0.25">
      <c r="A173" s="10" t="e">
        <f>'Open Order'!#REF!</f>
        <v>#REF!</v>
      </c>
      <c r="B173" s="6" t="e">
        <f>'Open Order'!#REF!</f>
        <v>#REF!</v>
      </c>
      <c r="C173" s="6" t="e">
        <f>'Open Order'!#REF!</f>
        <v>#REF!</v>
      </c>
      <c r="D173" s="8" t="e">
        <f>'Open Order'!#REF!</f>
        <v>#REF!</v>
      </c>
      <c r="E173" s="9" t="e">
        <f>'Open Order'!#REF!</f>
        <v>#REF!</v>
      </c>
      <c r="F173" s="14" t="e">
        <f>'Open Order'!#REF!</f>
        <v>#REF!</v>
      </c>
      <c r="L173" s="8" t="e">
        <f>'Open Order'!#REF!</f>
        <v>#REF!</v>
      </c>
    </row>
    <row r="174" spans="1:12" ht="30.75" customHeight="1" thickBot="1" x14ac:dyDescent="0.25">
      <c r="A174" s="10" t="e">
        <f>'Open Order'!#REF!</f>
        <v>#REF!</v>
      </c>
      <c r="B174" s="6" t="e">
        <f>'Open Order'!#REF!</f>
        <v>#REF!</v>
      </c>
      <c r="C174" s="6" t="e">
        <f>'Open Order'!#REF!</f>
        <v>#REF!</v>
      </c>
      <c r="D174" s="8" t="e">
        <f>'Open Order'!#REF!</f>
        <v>#REF!</v>
      </c>
      <c r="E174" s="9" t="e">
        <f>'Open Order'!#REF!</f>
        <v>#REF!</v>
      </c>
      <c r="F174" s="14" t="e">
        <f>'Open Order'!#REF!</f>
        <v>#REF!</v>
      </c>
      <c r="L174" s="8" t="e">
        <f>'Open Order'!#REF!</f>
        <v>#REF!</v>
      </c>
    </row>
    <row r="175" spans="1:12" ht="30.75" customHeight="1" thickBot="1" x14ac:dyDescent="0.25">
      <c r="A175" s="10" t="e">
        <f>'Open Order'!#REF!</f>
        <v>#REF!</v>
      </c>
      <c r="B175" s="6" t="e">
        <f>'Open Order'!#REF!</f>
        <v>#REF!</v>
      </c>
      <c r="C175" s="6" t="e">
        <f>'Open Order'!#REF!</f>
        <v>#REF!</v>
      </c>
      <c r="D175" s="8" t="e">
        <f>'Open Order'!#REF!</f>
        <v>#REF!</v>
      </c>
      <c r="E175" s="9" t="e">
        <f>'Open Order'!#REF!</f>
        <v>#REF!</v>
      </c>
      <c r="F175" s="14" t="e">
        <f>'Open Order'!#REF!</f>
        <v>#REF!</v>
      </c>
      <c r="L175" s="8" t="e">
        <f>'Open Order'!#REF!</f>
        <v>#REF!</v>
      </c>
    </row>
    <row r="176" spans="1:12" ht="30.75" customHeight="1" thickBot="1" x14ac:dyDescent="0.25">
      <c r="A176" s="10" t="e">
        <f>'Open Order'!#REF!</f>
        <v>#REF!</v>
      </c>
      <c r="B176" s="6" t="e">
        <f>'Open Order'!#REF!</f>
        <v>#REF!</v>
      </c>
      <c r="C176" s="6" t="e">
        <f>'Open Order'!#REF!</f>
        <v>#REF!</v>
      </c>
      <c r="D176" s="8" t="e">
        <f>'Open Order'!#REF!</f>
        <v>#REF!</v>
      </c>
      <c r="E176" s="9" t="e">
        <f>'Open Order'!#REF!</f>
        <v>#REF!</v>
      </c>
      <c r="F176" s="14" t="e">
        <f>'Open Order'!#REF!</f>
        <v>#REF!</v>
      </c>
      <c r="L176" s="8" t="e">
        <f>'Open Order'!#REF!</f>
        <v>#REF!</v>
      </c>
    </row>
    <row r="177" spans="1:12" ht="30.75" customHeight="1" thickBot="1" x14ac:dyDescent="0.25">
      <c r="A177" s="10" t="e">
        <f>'Open Order'!#REF!</f>
        <v>#REF!</v>
      </c>
      <c r="B177" s="6" t="e">
        <f>'Open Order'!#REF!</f>
        <v>#REF!</v>
      </c>
      <c r="C177" s="6" t="e">
        <f>'Open Order'!#REF!</f>
        <v>#REF!</v>
      </c>
      <c r="D177" s="8" t="e">
        <f>'Open Order'!#REF!</f>
        <v>#REF!</v>
      </c>
      <c r="E177" s="9" t="e">
        <f>'Open Order'!#REF!</f>
        <v>#REF!</v>
      </c>
      <c r="F177" s="14" t="e">
        <f>'Open Order'!#REF!</f>
        <v>#REF!</v>
      </c>
      <c r="L177" s="8" t="e">
        <f>'Open Order'!#REF!</f>
        <v>#REF!</v>
      </c>
    </row>
    <row r="178" spans="1:12" ht="30.75" customHeight="1" thickBot="1" x14ac:dyDescent="0.25">
      <c r="A178" s="10" t="e">
        <f>'Open Order'!#REF!</f>
        <v>#REF!</v>
      </c>
      <c r="B178" s="6" t="e">
        <f>'Open Order'!#REF!</f>
        <v>#REF!</v>
      </c>
      <c r="C178" s="6" t="e">
        <f>'Open Order'!#REF!</f>
        <v>#REF!</v>
      </c>
      <c r="D178" s="8" t="e">
        <f>'Open Order'!#REF!</f>
        <v>#REF!</v>
      </c>
      <c r="E178" s="9" t="e">
        <f>'Open Order'!#REF!</f>
        <v>#REF!</v>
      </c>
      <c r="F178" s="14" t="e">
        <f>'Open Order'!#REF!</f>
        <v>#REF!</v>
      </c>
      <c r="L178" s="8" t="e">
        <f>'Open Order'!#REF!</f>
        <v>#REF!</v>
      </c>
    </row>
    <row r="179" spans="1:12" ht="30.75" customHeight="1" thickBot="1" x14ac:dyDescent="0.25">
      <c r="A179" s="10" t="e">
        <f>'Open Order'!#REF!</f>
        <v>#REF!</v>
      </c>
      <c r="B179" s="6" t="e">
        <f>'Open Order'!#REF!</f>
        <v>#REF!</v>
      </c>
      <c r="C179" s="6" t="e">
        <f>'Open Order'!#REF!</f>
        <v>#REF!</v>
      </c>
      <c r="D179" s="8" t="e">
        <f>'Open Order'!#REF!</f>
        <v>#REF!</v>
      </c>
      <c r="E179" s="9" t="e">
        <f>'Open Order'!#REF!</f>
        <v>#REF!</v>
      </c>
      <c r="F179" s="14" t="e">
        <f>'Open Order'!#REF!</f>
        <v>#REF!</v>
      </c>
      <c r="L179" s="8" t="e">
        <f>'Open Order'!#REF!</f>
        <v>#REF!</v>
      </c>
    </row>
    <row r="180" spans="1:12" ht="30.75" customHeight="1" thickBot="1" x14ac:dyDescent="0.25">
      <c r="A180" s="10" t="e">
        <f>'Open Order'!#REF!</f>
        <v>#REF!</v>
      </c>
      <c r="B180" s="6" t="e">
        <f>'Open Order'!#REF!</f>
        <v>#REF!</v>
      </c>
      <c r="C180" s="6" t="e">
        <f>'Open Order'!#REF!</f>
        <v>#REF!</v>
      </c>
      <c r="D180" s="8" t="e">
        <f>'Open Order'!#REF!</f>
        <v>#REF!</v>
      </c>
      <c r="E180" s="9" t="e">
        <f>'Open Order'!#REF!</f>
        <v>#REF!</v>
      </c>
      <c r="F180" s="14" t="e">
        <f>'Open Order'!#REF!</f>
        <v>#REF!</v>
      </c>
      <c r="L180" s="8" t="e">
        <f>'Open Order'!#REF!</f>
        <v>#REF!</v>
      </c>
    </row>
    <row r="181" spans="1:12" ht="30.75" customHeight="1" thickBot="1" x14ac:dyDescent="0.25">
      <c r="A181" s="10" t="e">
        <f>'Open Order'!#REF!</f>
        <v>#REF!</v>
      </c>
      <c r="B181" s="6" t="e">
        <f>'Open Order'!#REF!</f>
        <v>#REF!</v>
      </c>
      <c r="C181" s="6" t="e">
        <f>'Open Order'!#REF!</f>
        <v>#REF!</v>
      </c>
      <c r="D181" s="8" t="e">
        <f>'Open Order'!#REF!</f>
        <v>#REF!</v>
      </c>
      <c r="E181" s="9" t="e">
        <f>'Open Order'!#REF!</f>
        <v>#REF!</v>
      </c>
      <c r="F181" s="14" t="e">
        <f>'Open Order'!#REF!</f>
        <v>#REF!</v>
      </c>
      <c r="L181" s="8" t="e">
        <f>'Open Order'!#REF!</f>
        <v>#REF!</v>
      </c>
    </row>
    <row r="182" spans="1:12" ht="30.75" customHeight="1" thickBot="1" x14ac:dyDescent="0.25">
      <c r="A182" s="10" t="e">
        <f>'Open Order'!#REF!</f>
        <v>#REF!</v>
      </c>
      <c r="B182" s="6" t="e">
        <f>'Open Order'!#REF!</f>
        <v>#REF!</v>
      </c>
      <c r="C182" s="6" t="e">
        <f>'Open Order'!#REF!</f>
        <v>#REF!</v>
      </c>
      <c r="D182" s="8" t="e">
        <f>'Open Order'!#REF!</f>
        <v>#REF!</v>
      </c>
      <c r="E182" s="9" t="e">
        <f>'Open Order'!#REF!</f>
        <v>#REF!</v>
      </c>
      <c r="F182" s="14" t="e">
        <f>'Open Order'!#REF!</f>
        <v>#REF!</v>
      </c>
      <c r="L182" s="8" t="e">
        <f>'Open Order'!#REF!</f>
        <v>#REF!</v>
      </c>
    </row>
    <row r="183" spans="1:12" ht="30.75" customHeight="1" thickBot="1" x14ac:dyDescent="0.25">
      <c r="A183" s="10" t="e">
        <f>'Open Order'!#REF!</f>
        <v>#REF!</v>
      </c>
      <c r="B183" s="6" t="e">
        <f>'Open Order'!#REF!</f>
        <v>#REF!</v>
      </c>
      <c r="C183" s="6" t="e">
        <f>'Open Order'!#REF!</f>
        <v>#REF!</v>
      </c>
      <c r="D183" s="8" t="e">
        <f>'Open Order'!#REF!</f>
        <v>#REF!</v>
      </c>
      <c r="E183" s="9" t="e">
        <f>'Open Order'!#REF!</f>
        <v>#REF!</v>
      </c>
      <c r="F183" s="14" t="e">
        <f>'Open Order'!#REF!</f>
        <v>#REF!</v>
      </c>
      <c r="L183" s="8" t="e">
        <f>'Open Order'!#REF!</f>
        <v>#REF!</v>
      </c>
    </row>
    <row r="184" spans="1:12" ht="30.75" customHeight="1" thickBot="1" x14ac:dyDescent="0.25">
      <c r="A184" s="10" t="e">
        <f>'Open Order'!#REF!</f>
        <v>#REF!</v>
      </c>
      <c r="B184" s="6" t="e">
        <f>'Open Order'!#REF!</f>
        <v>#REF!</v>
      </c>
      <c r="C184" s="6" t="e">
        <f>'Open Order'!#REF!</f>
        <v>#REF!</v>
      </c>
      <c r="D184" s="8" t="e">
        <f>'Open Order'!#REF!</f>
        <v>#REF!</v>
      </c>
      <c r="E184" s="9" t="e">
        <f>'Open Order'!#REF!</f>
        <v>#REF!</v>
      </c>
      <c r="F184" s="14" t="e">
        <f>'Open Order'!#REF!</f>
        <v>#REF!</v>
      </c>
      <c r="L184" s="8" t="e">
        <f>'Open Order'!#REF!</f>
        <v>#REF!</v>
      </c>
    </row>
    <row r="185" spans="1:12" ht="30.75" customHeight="1" thickBot="1" x14ac:dyDescent="0.25">
      <c r="A185" s="10" t="e">
        <f>'Open Order'!#REF!</f>
        <v>#REF!</v>
      </c>
      <c r="B185" s="6" t="e">
        <f>'Open Order'!#REF!</f>
        <v>#REF!</v>
      </c>
      <c r="C185" s="6" t="e">
        <f>'Open Order'!#REF!</f>
        <v>#REF!</v>
      </c>
      <c r="D185" s="8" t="e">
        <f>'Open Order'!#REF!</f>
        <v>#REF!</v>
      </c>
      <c r="E185" s="9" t="e">
        <f>'Open Order'!#REF!</f>
        <v>#REF!</v>
      </c>
      <c r="F185" s="14" t="e">
        <f>'Open Order'!#REF!</f>
        <v>#REF!</v>
      </c>
      <c r="L185" s="8" t="e">
        <f>'Open Order'!#REF!</f>
        <v>#REF!</v>
      </c>
    </row>
    <row r="186" spans="1:12" ht="30.75" customHeight="1" thickBot="1" x14ac:dyDescent="0.25">
      <c r="A186" s="10" t="e">
        <f>'Open Order'!#REF!</f>
        <v>#REF!</v>
      </c>
      <c r="B186" s="6" t="e">
        <f>'Open Order'!#REF!</f>
        <v>#REF!</v>
      </c>
      <c r="C186" s="6" t="e">
        <f>'Open Order'!#REF!</f>
        <v>#REF!</v>
      </c>
      <c r="D186" s="8" t="e">
        <f>'Open Order'!#REF!</f>
        <v>#REF!</v>
      </c>
      <c r="E186" s="9" t="e">
        <f>'Open Order'!#REF!</f>
        <v>#REF!</v>
      </c>
      <c r="F186" s="14" t="e">
        <f>'Open Order'!#REF!</f>
        <v>#REF!</v>
      </c>
      <c r="L186" s="8" t="e">
        <f>'Open Order'!#REF!</f>
        <v>#REF!</v>
      </c>
    </row>
    <row r="187" spans="1:12" ht="30.75" customHeight="1" thickBot="1" x14ac:dyDescent="0.25">
      <c r="A187" s="10" t="e">
        <f>'Open Order'!#REF!</f>
        <v>#REF!</v>
      </c>
      <c r="B187" s="6" t="e">
        <f>'Open Order'!#REF!</f>
        <v>#REF!</v>
      </c>
      <c r="C187" s="6" t="e">
        <f>'Open Order'!#REF!</f>
        <v>#REF!</v>
      </c>
      <c r="D187" s="8" t="e">
        <f>'Open Order'!#REF!</f>
        <v>#REF!</v>
      </c>
      <c r="E187" s="9" t="e">
        <f>'Open Order'!#REF!</f>
        <v>#REF!</v>
      </c>
      <c r="F187" s="14" t="e">
        <f>'Open Order'!#REF!</f>
        <v>#REF!</v>
      </c>
      <c r="L187" s="8" t="e">
        <f>'Open Order'!#REF!</f>
        <v>#REF!</v>
      </c>
    </row>
    <row r="188" spans="1:12" ht="30.75" customHeight="1" thickBot="1" x14ac:dyDescent="0.25">
      <c r="A188" s="10" t="e">
        <f>'Open Order'!#REF!</f>
        <v>#REF!</v>
      </c>
      <c r="B188" s="6" t="e">
        <f>'Open Order'!#REF!</f>
        <v>#REF!</v>
      </c>
      <c r="C188" s="6" t="e">
        <f>'Open Order'!#REF!</f>
        <v>#REF!</v>
      </c>
      <c r="D188" s="8" t="e">
        <f>'Open Order'!#REF!</f>
        <v>#REF!</v>
      </c>
      <c r="E188" s="9" t="e">
        <f>'Open Order'!#REF!</f>
        <v>#REF!</v>
      </c>
      <c r="F188" s="14" t="e">
        <f>'Open Order'!#REF!</f>
        <v>#REF!</v>
      </c>
      <c r="L188" s="8" t="e">
        <f>'Open Order'!#REF!</f>
        <v>#REF!</v>
      </c>
    </row>
    <row r="189" spans="1:12" ht="30.75" customHeight="1" thickBot="1" x14ac:dyDescent="0.25">
      <c r="A189" s="10" t="e">
        <f>'Open Order'!#REF!</f>
        <v>#REF!</v>
      </c>
      <c r="B189" s="6" t="e">
        <f>'Open Order'!#REF!</f>
        <v>#REF!</v>
      </c>
      <c r="C189" s="6" t="e">
        <f>'Open Order'!#REF!</f>
        <v>#REF!</v>
      </c>
      <c r="D189" s="8" t="e">
        <f>'Open Order'!#REF!</f>
        <v>#REF!</v>
      </c>
      <c r="E189" s="9" t="e">
        <f>'Open Order'!#REF!</f>
        <v>#REF!</v>
      </c>
      <c r="F189" s="14" t="e">
        <f>'Open Order'!#REF!</f>
        <v>#REF!</v>
      </c>
      <c r="L189" s="8" t="e">
        <f>'Open Order'!#REF!</f>
        <v>#REF!</v>
      </c>
    </row>
    <row r="190" spans="1:12" ht="30.75" customHeight="1" thickBot="1" x14ac:dyDescent="0.25">
      <c r="A190" s="10" t="e">
        <f>'Open Order'!#REF!</f>
        <v>#REF!</v>
      </c>
      <c r="B190" s="6" t="e">
        <f>'Open Order'!#REF!</f>
        <v>#REF!</v>
      </c>
      <c r="C190" s="6" t="e">
        <f>'Open Order'!#REF!</f>
        <v>#REF!</v>
      </c>
      <c r="D190" s="8" t="e">
        <f>'Open Order'!#REF!</f>
        <v>#REF!</v>
      </c>
      <c r="E190" s="9" t="e">
        <f>'Open Order'!#REF!</f>
        <v>#REF!</v>
      </c>
      <c r="F190" s="14" t="e">
        <f>'Open Order'!#REF!</f>
        <v>#REF!</v>
      </c>
      <c r="L190" s="8" t="e">
        <f>'Open Order'!#REF!</f>
        <v>#REF!</v>
      </c>
    </row>
    <row r="191" spans="1:12" ht="30.75" customHeight="1" thickBot="1" x14ac:dyDescent="0.25">
      <c r="A191" s="10" t="e">
        <f>'Open Order'!#REF!</f>
        <v>#REF!</v>
      </c>
      <c r="B191" s="6" t="e">
        <f>'Open Order'!#REF!</f>
        <v>#REF!</v>
      </c>
      <c r="C191" s="6" t="e">
        <f>'Open Order'!#REF!</f>
        <v>#REF!</v>
      </c>
      <c r="D191" s="8" t="e">
        <f>'Open Order'!#REF!</f>
        <v>#REF!</v>
      </c>
      <c r="E191" s="9" t="e">
        <f>'Open Order'!#REF!</f>
        <v>#REF!</v>
      </c>
      <c r="F191" s="14" t="e">
        <f>'Open Order'!#REF!</f>
        <v>#REF!</v>
      </c>
      <c r="L191" s="8" t="e">
        <f>'Open Order'!#REF!</f>
        <v>#REF!</v>
      </c>
    </row>
    <row r="192" spans="1:12" ht="30.75" customHeight="1" thickBot="1" x14ac:dyDescent="0.25">
      <c r="A192" s="10" t="e">
        <f>'Open Order'!#REF!</f>
        <v>#REF!</v>
      </c>
      <c r="B192" s="6" t="e">
        <f>'Open Order'!#REF!</f>
        <v>#REF!</v>
      </c>
      <c r="C192" s="6" t="e">
        <f>'Open Order'!#REF!</f>
        <v>#REF!</v>
      </c>
      <c r="D192" s="8" t="e">
        <f>'Open Order'!#REF!</f>
        <v>#REF!</v>
      </c>
      <c r="E192" s="9" t="e">
        <f>'Open Order'!#REF!</f>
        <v>#REF!</v>
      </c>
      <c r="F192" s="14" t="e">
        <f>'Open Order'!#REF!</f>
        <v>#REF!</v>
      </c>
      <c r="L192" s="8" t="e">
        <f>'Open Order'!#REF!</f>
        <v>#REF!</v>
      </c>
    </row>
    <row r="193" spans="1:12" ht="30.75" customHeight="1" thickBot="1" x14ac:dyDescent="0.25">
      <c r="A193" s="10" t="e">
        <f>'Open Order'!#REF!</f>
        <v>#REF!</v>
      </c>
      <c r="B193" s="6" t="e">
        <f>'Open Order'!#REF!</f>
        <v>#REF!</v>
      </c>
      <c r="C193" s="6" t="e">
        <f>'Open Order'!#REF!</f>
        <v>#REF!</v>
      </c>
      <c r="D193" s="8" t="e">
        <f>'Open Order'!#REF!</f>
        <v>#REF!</v>
      </c>
      <c r="E193" s="9" t="e">
        <f>'Open Order'!#REF!</f>
        <v>#REF!</v>
      </c>
      <c r="F193" s="14" t="e">
        <f>'Open Order'!#REF!</f>
        <v>#REF!</v>
      </c>
      <c r="L193" s="8" t="e">
        <f>'Open Order'!#REF!</f>
        <v>#REF!</v>
      </c>
    </row>
    <row r="194" spans="1:12" ht="30.75" customHeight="1" thickBot="1" x14ac:dyDescent="0.25">
      <c r="A194" s="10" t="e">
        <f>'Open Order'!#REF!</f>
        <v>#REF!</v>
      </c>
      <c r="B194" s="6" t="e">
        <f>'Open Order'!#REF!</f>
        <v>#REF!</v>
      </c>
      <c r="C194" s="6" t="e">
        <f>'Open Order'!#REF!</f>
        <v>#REF!</v>
      </c>
      <c r="D194" s="8" t="e">
        <f>'Open Order'!#REF!</f>
        <v>#REF!</v>
      </c>
      <c r="E194" s="9" t="e">
        <f>'Open Order'!#REF!</f>
        <v>#REF!</v>
      </c>
      <c r="F194" s="14" t="e">
        <f>'Open Order'!#REF!</f>
        <v>#REF!</v>
      </c>
      <c r="L194" s="8" t="e">
        <f>'Open Order'!#REF!</f>
        <v>#REF!</v>
      </c>
    </row>
    <row r="195" spans="1:12" ht="30.75" customHeight="1" thickBot="1" x14ac:dyDescent="0.25">
      <c r="A195" s="10" t="e">
        <f>'Open Order'!#REF!</f>
        <v>#REF!</v>
      </c>
      <c r="B195" s="6" t="e">
        <f>'Open Order'!#REF!</f>
        <v>#REF!</v>
      </c>
      <c r="C195" s="6" t="e">
        <f>'Open Order'!#REF!</f>
        <v>#REF!</v>
      </c>
      <c r="D195" s="8" t="e">
        <f>'Open Order'!#REF!</f>
        <v>#REF!</v>
      </c>
      <c r="E195" s="9" t="e">
        <f>'Open Order'!#REF!</f>
        <v>#REF!</v>
      </c>
      <c r="F195" s="14" t="e">
        <f>'Open Order'!#REF!</f>
        <v>#REF!</v>
      </c>
      <c r="L195" s="8" t="e">
        <f>'Open Order'!#REF!</f>
        <v>#REF!</v>
      </c>
    </row>
    <row r="196" spans="1:12" ht="30.75" customHeight="1" thickBot="1" x14ac:dyDescent="0.25">
      <c r="A196" s="10" t="e">
        <f>'Open Order'!#REF!</f>
        <v>#REF!</v>
      </c>
      <c r="B196" s="6" t="e">
        <f>'Open Order'!#REF!</f>
        <v>#REF!</v>
      </c>
      <c r="C196" s="6" t="e">
        <f>'Open Order'!#REF!</f>
        <v>#REF!</v>
      </c>
      <c r="D196" s="8" t="e">
        <f>'Open Order'!#REF!</f>
        <v>#REF!</v>
      </c>
      <c r="E196" s="9" t="e">
        <f>'Open Order'!#REF!</f>
        <v>#REF!</v>
      </c>
      <c r="F196" s="14" t="e">
        <f>'Open Order'!#REF!</f>
        <v>#REF!</v>
      </c>
      <c r="L196" s="8" t="e">
        <f>'Open Order'!#REF!</f>
        <v>#REF!</v>
      </c>
    </row>
    <row r="197" spans="1:12" ht="30.75" customHeight="1" thickBot="1" x14ac:dyDescent="0.25">
      <c r="A197" s="10" t="e">
        <f>'Open Order'!#REF!</f>
        <v>#REF!</v>
      </c>
      <c r="B197" s="6" t="e">
        <f>'Open Order'!#REF!</f>
        <v>#REF!</v>
      </c>
      <c r="C197" s="6" t="e">
        <f>'Open Order'!#REF!</f>
        <v>#REF!</v>
      </c>
      <c r="D197" s="8" t="e">
        <f>'Open Order'!#REF!</f>
        <v>#REF!</v>
      </c>
      <c r="E197" s="9" t="e">
        <f>'Open Order'!#REF!</f>
        <v>#REF!</v>
      </c>
      <c r="F197" s="14" t="e">
        <f>'Open Order'!#REF!</f>
        <v>#REF!</v>
      </c>
      <c r="L197" s="8" t="e">
        <f>'Open Order'!#REF!</f>
        <v>#REF!</v>
      </c>
    </row>
    <row r="198" spans="1:12" ht="30.75" customHeight="1" thickBot="1" x14ac:dyDescent="0.25">
      <c r="A198" s="10" t="e">
        <f>'Open Order'!#REF!</f>
        <v>#REF!</v>
      </c>
      <c r="B198" s="6" t="e">
        <f>'Open Order'!#REF!</f>
        <v>#REF!</v>
      </c>
      <c r="C198" s="6" t="e">
        <f>'Open Order'!#REF!</f>
        <v>#REF!</v>
      </c>
      <c r="D198" s="8" t="e">
        <f>'Open Order'!#REF!</f>
        <v>#REF!</v>
      </c>
      <c r="E198" s="9" t="e">
        <f>'Open Order'!#REF!</f>
        <v>#REF!</v>
      </c>
      <c r="F198" s="14" t="e">
        <f>'Open Order'!#REF!</f>
        <v>#REF!</v>
      </c>
      <c r="L198" s="8" t="e">
        <f>'Open Order'!#REF!</f>
        <v>#REF!</v>
      </c>
    </row>
    <row r="199" spans="1:12" ht="30.75" customHeight="1" thickBot="1" x14ac:dyDescent="0.25">
      <c r="A199" s="10" t="e">
        <f>'Open Order'!#REF!</f>
        <v>#REF!</v>
      </c>
      <c r="B199" s="6" t="e">
        <f>'Open Order'!#REF!</f>
        <v>#REF!</v>
      </c>
      <c r="C199" s="6" t="e">
        <f>'Open Order'!#REF!</f>
        <v>#REF!</v>
      </c>
      <c r="D199" s="8" t="e">
        <f>'Open Order'!#REF!</f>
        <v>#REF!</v>
      </c>
      <c r="E199" s="9" t="e">
        <f>'Open Order'!#REF!</f>
        <v>#REF!</v>
      </c>
      <c r="F199" s="14" t="e">
        <f>'Open Order'!#REF!</f>
        <v>#REF!</v>
      </c>
      <c r="L199" s="8" t="e">
        <f>'Open Order'!#REF!</f>
        <v>#REF!</v>
      </c>
    </row>
    <row r="200" spans="1:12" ht="30.75" customHeight="1" thickBot="1" x14ac:dyDescent="0.25">
      <c r="A200" s="10" t="e">
        <f>'Open Order'!#REF!</f>
        <v>#REF!</v>
      </c>
      <c r="B200" s="6" t="e">
        <f>'Open Order'!#REF!</f>
        <v>#REF!</v>
      </c>
      <c r="C200" s="6" t="e">
        <f>'Open Order'!#REF!</f>
        <v>#REF!</v>
      </c>
      <c r="D200" s="8" t="e">
        <f>'Open Order'!#REF!</f>
        <v>#REF!</v>
      </c>
      <c r="E200" s="9" t="e">
        <f>'Open Order'!#REF!</f>
        <v>#REF!</v>
      </c>
      <c r="F200" s="14" t="e">
        <f>'Open Order'!#REF!</f>
        <v>#REF!</v>
      </c>
      <c r="L200" s="8" t="e">
        <f>'Open Order'!#REF!</f>
        <v>#REF!</v>
      </c>
    </row>
    <row r="201" spans="1:12" ht="30.75" customHeight="1" thickBot="1" x14ac:dyDescent="0.25">
      <c r="A201" s="10" t="e">
        <f>'Open Order'!#REF!</f>
        <v>#REF!</v>
      </c>
      <c r="B201" s="6" t="e">
        <f>'Open Order'!#REF!</f>
        <v>#REF!</v>
      </c>
      <c r="C201" s="6" t="e">
        <f>'Open Order'!#REF!</f>
        <v>#REF!</v>
      </c>
      <c r="D201" s="8" t="e">
        <f>'Open Order'!#REF!</f>
        <v>#REF!</v>
      </c>
      <c r="E201" s="9" t="e">
        <f>'Open Order'!#REF!</f>
        <v>#REF!</v>
      </c>
      <c r="F201" s="14" t="e">
        <f>'Open Order'!#REF!</f>
        <v>#REF!</v>
      </c>
      <c r="L201" s="8" t="e">
        <f>'Open Order'!#REF!</f>
        <v>#REF!</v>
      </c>
    </row>
    <row r="202" spans="1:12" ht="30.75" customHeight="1" thickBot="1" x14ac:dyDescent="0.25">
      <c r="A202" s="10" t="e">
        <f>'Open Order'!#REF!</f>
        <v>#REF!</v>
      </c>
      <c r="B202" s="6" t="e">
        <f>'Open Order'!#REF!</f>
        <v>#REF!</v>
      </c>
      <c r="C202" s="6" t="e">
        <f>'Open Order'!#REF!</f>
        <v>#REF!</v>
      </c>
      <c r="D202" s="8" t="e">
        <f>'Open Order'!#REF!</f>
        <v>#REF!</v>
      </c>
      <c r="E202" s="9" t="e">
        <f>'Open Order'!#REF!</f>
        <v>#REF!</v>
      </c>
      <c r="F202" s="14" t="e">
        <f>'Open Order'!#REF!</f>
        <v>#REF!</v>
      </c>
      <c r="L202" s="8" t="e">
        <f>'Open Order'!#REF!</f>
        <v>#REF!</v>
      </c>
    </row>
    <row r="203" spans="1:12" ht="30.75" customHeight="1" thickBot="1" x14ac:dyDescent="0.25">
      <c r="A203" s="10" t="e">
        <f>'Open Order'!#REF!</f>
        <v>#REF!</v>
      </c>
      <c r="B203" s="6" t="e">
        <f>'Open Order'!#REF!</f>
        <v>#REF!</v>
      </c>
      <c r="C203" s="6" t="e">
        <f>'Open Order'!#REF!</f>
        <v>#REF!</v>
      </c>
      <c r="D203" s="8" t="e">
        <f>'Open Order'!#REF!</f>
        <v>#REF!</v>
      </c>
      <c r="E203" s="9" t="e">
        <f>'Open Order'!#REF!</f>
        <v>#REF!</v>
      </c>
      <c r="F203" s="14" t="e">
        <f>'Open Order'!#REF!</f>
        <v>#REF!</v>
      </c>
      <c r="L203" s="8" t="e">
        <f>'Open Order'!#REF!</f>
        <v>#REF!</v>
      </c>
    </row>
    <row r="204" spans="1:12" ht="30.75" customHeight="1" thickBot="1" x14ac:dyDescent="0.25">
      <c r="A204" s="10" t="e">
        <f>'Open Order'!#REF!</f>
        <v>#REF!</v>
      </c>
      <c r="B204" s="6" t="e">
        <f>'Open Order'!#REF!</f>
        <v>#REF!</v>
      </c>
      <c r="C204" s="6" t="e">
        <f>'Open Order'!#REF!</f>
        <v>#REF!</v>
      </c>
      <c r="D204" s="8" t="e">
        <f>'Open Order'!#REF!</f>
        <v>#REF!</v>
      </c>
      <c r="E204" s="9" t="e">
        <f>'Open Order'!#REF!</f>
        <v>#REF!</v>
      </c>
      <c r="F204" s="14" t="e">
        <f>'Open Order'!#REF!</f>
        <v>#REF!</v>
      </c>
      <c r="L204" s="8" t="e">
        <f>'Open Order'!#REF!</f>
        <v>#REF!</v>
      </c>
    </row>
    <row r="205" spans="1:12" ht="30.75" customHeight="1" thickBot="1" x14ac:dyDescent="0.25">
      <c r="A205" s="10" t="e">
        <f>'Open Order'!#REF!</f>
        <v>#REF!</v>
      </c>
      <c r="B205" s="6" t="e">
        <f>'Open Order'!#REF!</f>
        <v>#REF!</v>
      </c>
      <c r="C205" s="6" t="e">
        <f>'Open Order'!#REF!</f>
        <v>#REF!</v>
      </c>
      <c r="D205" s="8" t="e">
        <f>'Open Order'!#REF!</f>
        <v>#REF!</v>
      </c>
      <c r="E205" s="9" t="e">
        <f>'Open Order'!#REF!</f>
        <v>#REF!</v>
      </c>
      <c r="F205" s="14" t="e">
        <f>'Open Order'!#REF!</f>
        <v>#REF!</v>
      </c>
      <c r="L205" s="8" t="e">
        <f>'Open Order'!#REF!</f>
        <v>#REF!</v>
      </c>
    </row>
    <row r="206" spans="1:12" ht="30.75" customHeight="1" thickBot="1" x14ac:dyDescent="0.25">
      <c r="A206" s="10" t="e">
        <f>'Open Order'!#REF!</f>
        <v>#REF!</v>
      </c>
      <c r="B206" s="6" t="e">
        <f>'Open Order'!#REF!</f>
        <v>#REF!</v>
      </c>
      <c r="C206" s="6" t="e">
        <f>'Open Order'!#REF!</f>
        <v>#REF!</v>
      </c>
      <c r="D206" s="8" t="e">
        <f>'Open Order'!#REF!</f>
        <v>#REF!</v>
      </c>
      <c r="E206" s="9" t="e">
        <f>'Open Order'!#REF!</f>
        <v>#REF!</v>
      </c>
      <c r="F206" s="14" t="e">
        <f>'Open Order'!#REF!</f>
        <v>#REF!</v>
      </c>
      <c r="L206" s="8" t="e">
        <f>'Open Order'!#REF!</f>
        <v>#REF!</v>
      </c>
    </row>
    <row r="207" spans="1:12" ht="30.75" customHeight="1" thickBot="1" x14ac:dyDescent="0.25">
      <c r="A207" s="10" t="e">
        <f>'Open Order'!#REF!</f>
        <v>#REF!</v>
      </c>
      <c r="B207" s="6" t="e">
        <f>'Open Order'!#REF!</f>
        <v>#REF!</v>
      </c>
      <c r="C207" s="6" t="e">
        <f>'Open Order'!#REF!</f>
        <v>#REF!</v>
      </c>
      <c r="D207" s="8" t="e">
        <f>'Open Order'!#REF!</f>
        <v>#REF!</v>
      </c>
      <c r="E207" s="9" t="e">
        <f>'Open Order'!#REF!</f>
        <v>#REF!</v>
      </c>
      <c r="F207" s="14" t="e">
        <f>'Open Order'!#REF!</f>
        <v>#REF!</v>
      </c>
      <c r="L207" s="8" t="e">
        <f>'Open Order'!#REF!</f>
        <v>#REF!</v>
      </c>
    </row>
    <row r="208" spans="1:12" ht="30.75" customHeight="1" thickBot="1" x14ac:dyDescent="0.25">
      <c r="A208" s="10" t="e">
        <f>'Open Order'!#REF!</f>
        <v>#REF!</v>
      </c>
      <c r="B208" s="6" t="e">
        <f>'Open Order'!#REF!</f>
        <v>#REF!</v>
      </c>
      <c r="C208" s="6" t="e">
        <f>'Open Order'!#REF!</f>
        <v>#REF!</v>
      </c>
      <c r="D208" s="8" t="e">
        <f>'Open Order'!#REF!</f>
        <v>#REF!</v>
      </c>
      <c r="E208" s="9" t="e">
        <f>'Open Order'!#REF!</f>
        <v>#REF!</v>
      </c>
      <c r="F208" s="14" t="e">
        <f>'Open Order'!#REF!</f>
        <v>#REF!</v>
      </c>
      <c r="L208" s="8" t="e">
        <f>'Open Order'!#REF!</f>
        <v>#REF!</v>
      </c>
    </row>
    <row r="209" spans="1:12" ht="30.75" customHeight="1" thickBot="1" x14ac:dyDescent="0.25">
      <c r="A209" s="10" t="e">
        <f>'Open Order'!#REF!</f>
        <v>#REF!</v>
      </c>
      <c r="B209" s="6" t="e">
        <f>'Open Order'!#REF!</f>
        <v>#REF!</v>
      </c>
      <c r="C209" s="6" t="e">
        <f>'Open Order'!#REF!</f>
        <v>#REF!</v>
      </c>
      <c r="D209" s="8" t="e">
        <f>'Open Order'!#REF!</f>
        <v>#REF!</v>
      </c>
      <c r="E209" s="9" t="e">
        <f>'Open Order'!#REF!</f>
        <v>#REF!</v>
      </c>
      <c r="F209" s="14" t="e">
        <f>'Open Order'!#REF!</f>
        <v>#REF!</v>
      </c>
      <c r="L209" s="8" t="e">
        <f>'Open Order'!#REF!</f>
        <v>#REF!</v>
      </c>
    </row>
    <row r="210" spans="1:12" ht="30.75" customHeight="1" thickBot="1" x14ac:dyDescent="0.25">
      <c r="A210" s="10" t="e">
        <f>'Open Order'!#REF!</f>
        <v>#REF!</v>
      </c>
      <c r="B210" s="6" t="e">
        <f>'Open Order'!#REF!</f>
        <v>#REF!</v>
      </c>
      <c r="C210" s="6" t="e">
        <f>'Open Order'!#REF!</f>
        <v>#REF!</v>
      </c>
      <c r="D210" s="8" t="e">
        <f>'Open Order'!#REF!</f>
        <v>#REF!</v>
      </c>
      <c r="E210" s="9" t="e">
        <f>'Open Order'!#REF!</f>
        <v>#REF!</v>
      </c>
      <c r="F210" s="14" t="e">
        <f>'Open Order'!#REF!</f>
        <v>#REF!</v>
      </c>
      <c r="L210" s="8" t="e">
        <f>'Open Order'!#REF!</f>
        <v>#REF!</v>
      </c>
    </row>
    <row r="211" spans="1:12" ht="30.75" customHeight="1" thickBot="1" x14ac:dyDescent="0.25">
      <c r="A211" s="10" t="e">
        <f>'Open Order'!#REF!</f>
        <v>#REF!</v>
      </c>
      <c r="B211" s="6" t="e">
        <f>'Open Order'!#REF!</f>
        <v>#REF!</v>
      </c>
      <c r="C211" s="6" t="e">
        <f>'Open Order'!#REF!</f>
        <v>#REF!</v>
      </c>
      <c r="D211" s="8" t="e">
        <f>'Open Order'!#REF!</f>
        <v>#REF!</v>
      </c>
      <c r="E211" s="9" t="e">
        <f>'Open Order'!#REF!</f>
        <v>#REF!</v>
      </c>
      <c r="F211" s="14" t="e">
        <f>'Open Order'!#REF!</f>
        <v>#REF!</v>
      </c>
      <c r="L211" s="8" t="e">
        <f>'Open Order'!#REF!</f>
        <v>#REF!</v>
      </c>
    </row>
    <row r="212" spans="1:12" ht="30.75" customHeight="1" thickBot="1" x14ac:dyDescent="0.25">
      <c r="A212" s="10" t="e">
        <f>'Open Order'!#REF!</f>
        <v>#REF!</v>
      </c>
      <c r="B212" s="6" t="e">
        <f>'Open Order'!#REF!</f>
        <v>#REF!</v>
      </c>
      <c r="C212" s="6" t="e">
        <f>'Open Order'!#REF!</f>
        <v>#REF!</v>
      </c>
      <c r="D212" s="8" t="e">
        <f>'Open Order'!#REF!</f>
        <v>#REF!</v>
      </c>
      <c r="E212" s="9" t="e">
        <f>'Open Order'!#REF!</f>
        <v>#REF!</v>
      </c>
      <c r="F212" s="14" t="e">
        <f>'Open Order'!#REF!</f>
        <v>#REF!</v>
      </c>
      <c r="L212" s="8" t="e">
        <f>'Open Order'!#REF!</f>
        <v>#REF!</v>
      </c>
    </row>
    <row r="213" spans="1:12" ht="30.75" customHeight="1" thickBot="1" x14ac:dyDescent="0.25">
      <c r="A213" s="10" t="e">
        <f>'Open Order'!#REF!</f>
        <v>#REF!</v>
      </c>
      <c r="B213" s="6" t="e">
        <f>'Open Order'!#REF!</f>
        <v>#REF!</v>
      </c>
      <c r="C213" s="6" t="e">
        <f>'Open Order'!#REF!</f>
        <v>#REF!</v>
      </c>
      <c r="D213" s="8" t="e">
        <f>'Open Order'!#REF!</f>
        <v>#REF!</v>
      </c>
      <c r="E213" s="9" t="e">
        <f>'Open Order'!#REF!</f>
        <v>#REF!</v>
      </c>
      <c r="F213" s="14" t="e">
        <f>'Open Order'!#REF!</f>
        <v>#REF!</v>
      </c>
      <c r="L213" s="8" t="e">
        <f>'Open Order'!#REF!</f>
        <v>#REF!</v>
      </c>
    </row>
    <row r="214" spans="1:12" ht="30.75" customHeight="1" thickBot="1" x14ac:dyDescent="0.25">
      <c r="A214" s="10" t="e">
        <f>'Open Order'!#REF!</f>
        <v>#REF!</v>
      </c>
      <c r="B214" s="6" t="e">
        <f>'Open Order'!#REF!</f>
        <v>#REF!</v>
      </c>
      <c r="C214" s="6" t="e">
        <f>'Open Order'!#REF!</f>
        <v>#REF!</v>
      </c>
      <c r="D214" s="8" t="e">
        <f>'Open Order'!#REF!</f>
        <v>#REF!</v>
      </c>
      <c r="E214" s="9" t="e">
        <f>'Open Order'!#REF!</f>
        <v>#REF!</v>
      </c>
      <c r="F214" s="14" t="e">
        <f>'Open Order'!#REF!</f>
        <v>#REF!</v>
      </c>
      <c r="L214" s="8" t="e">
        <f>'Open Order'!#REF!</f>
        <v>#REF!</v>
      </c>
    </row>
    <row r="215" spans="1:12" ht="30.75" customHeight="1" thickBot="1" x14ac:dyDescent="0.25">
      <c r="A215" s="10" t="e">
        <f>'Open Order'!#REF!</f>
        <v>#REF!</v>
      </c>
      <c r="B215" s="6" t="e">
        <f>'Open Order'!#REF!</f>
        <v>#REF!</v>
      </c>
      <c r="C215" s="6" t="e">
        <f>'Open Order'!#REF!</f>
        <v>#REF!</v>
      </c>
      <c r="D215" s="8" t="e">
        <f>'Open Order'!#REF!</f>
        <v>#REF!</v>
      </c>
      <c r="E215" s="9" t="e">
        <f>'Open Order'!#REF!</f>
        <v>#REF!</v>
      </c>
      <c r="F215" s="14" t="e">
        <f>'Open Order'!#REF!</f>
        <v>#REF!</v>
      </c>
      <c r="L215" s="8" t="e">
        <f>'Open Order'!#REF!</f>
        <v>#REF!</v>
      </c>
    </row>
    <row r="216" spans="1:12" ht="30.75" customHeight="1" thickBot="1" x14ac:dyDescent="0.25">
      <c r="A216" s="10" t="e">
        <f>'Open Order'!#REF!</f>
        <v>#REF!</v>
      </c>
      <c r="B216" s="6" t="e">
        <f>'Open Order'!#REF!</f>
        <v>#REF!</v>
      </c>
      <c r="C216" s="6" t="e">
        <f>'Open Order'!#REF!</f>
        <v>#REF!</v>
      </c>
      <c r="D216" s="8" t="e">
        <f>'Open Order'!#REF!</f>
        <v>#REF!</v>
      </c>
      <c r="E216" s="9" t="e">
        <f>'Open Order'!#REF!</f>
        <v>#REF!</v>
      </c>
      <c r="F216" s="14" t="e">
        <f>'Open Order'!#REF!</f>
        <v>#REF!</v>
      </c>
      <c r="L216" s="8" t="e">
        <f>'Open Order'!#REF!</f>
        <v>#REF!</v>
      </c>
    </row>
    <row r="217" spans="1:12" ht="30.75" customHeight="1" thickBot="1" x14ac:dyDescent="0.25">
      <c r="A217" s="10" t="e">
        <f>'Open Order'!#REF!</f>
        <v>#REF!</v>
      </c>
      <c r="B217" s="6" t="e">
        <f>'Open Order'!#REF!</f>
        <v>#REF!</v>
      </c>
      <c r="C217" s="6" t="e">
        <f>'Open Order'!#REF!</f>
        <v>#REF!</v>
      </c>
      <c r="D217" s="8" t="e">
        <f>'Open Order'!#REF!</f>
        <v>#REF!</v>
      </c>
      <c r="E217" s="9" t="e">
        <f>'Open Order'!#REF!</f>
        <v>#REF!</v>
      </c>
      <c r="F217" s="14" t="e">
        <f>'Open Order'!#REF!</f>
        <v>#REF!</v>
      </c>
      <c r="L217" s="8" t="e">
        <f>'Open Order'!#REF!</f>
        <v>#REF!</v>
      </c>
    </row>
    <row r="218" spans="1:12" ht="30.75" customHeight="1" thickBot="1" x14ac:dyDescent="0.25">
      <c r="A218" s="10" t="e">
        <f>'Open Order'!#REF!</f>
        <v>#REF!</v>
      </c>
      <c r="B218" s="6" t="e">
        <f>'Open Order'!#REF!</f>
        <v>#REF!</v>
      </c>
      <c r="C218" s="6" t="e">
        <f>'Open Order'!#REF!</f>
        <v>#REF!</v>
      </c>
      <c r="D218" s="8" t="e">
        <f>'Open Order'!#REF!</f>
        <v>#REF!</v>
      </c>
      <c r="E218" s="9" t="e">
        <f>'Open Order'!#REF!</f>
        <v>#REF!</v>
      </c>
      <c r="F218" s="14" t="e">
        <f>'Open Order'!#REF!</f>
        <v>#REF!</v>
      </c>
      <c r="L218" s="8" t="e">
        <f>'Open Order'!#REF!</f>
        <v>#REF!</v>
      </c>
    </row>
    <row r="219" spans="1:12" ht="30.75" customHeight="1" thickBot="1" x14ac:dyDescent="0.25">
      <c r="A219" s="10" t="e">
        <f>'Open Order'!#REF!</f>
        <v>#REF!</v>
      </c>
      <c r="B219" s="6" t="e">
        <f>'Open Order'!#REF!</f>
        <v>#REF!</v>
      </c>
      <c r="C219" s="6" t="e">
        <f>'Open Order'!#REF!</f>
        <v>#REF!</v>
      </c>
      <c r="D219" s="8" t="e">
        <f>'Open Order'!#REF!</f>
        <v>#REF!</v>
      </c>
      <c r="E219" s="9" t="e">
        <f>'Open Order'!#REF!</f>
        <v>#REF!</v>
      </c>
      <c r="F219" s="14" t="e">
        <f>'Open Order'!#REF!</f>
        <v>#REF!</v>
      </c>
      <c r="L219" s="8" t="e">
        <f>'Open Order'!#REF!</f>
        <v>#REF!</v>
      </c>
    </row>
    <row r="220" spans="1:12" ht="30.75" customHeight="1" thickBot="1" x14ac:dyDescent="0.25">
      <c r="A220" s="10" t="e">
        <f>'Open Order'!#REF!</f>
        <v>#REF!</v>
      </c>
      <c r="B220" s="6" t="e">
        <f>'Open Order'!#REF!</f>
        <v>#REF!</v>
      </c>
      <c r="C220" s="6" t="e">
        <f>'Open Order'!#REF!</f>
        <v>#REF!</v>
      </c>
      <c r="D220" s="8" t="e">
        <f>'Open Order'!#REF!</f>
        <v>#REF!</v>
      </c>
      <c r="E220" s="9" t="e">
        <f>'Open Order'!#REF!</f>
        <v>#REF!</v>
      </c>
      <c r="F220" s="14" t="e">
        <f>'Open Order'!#REF!</f>
        <v>#REF!</v>
      </c>
      <c r="L220" s="8" t="e">
        <f>'Open Order'!#REF!</f>
        <v>#REF!</v>
      </c>
    </row>
    <row r="221" spans="1:12" ht="30.75" customHeight="1" thickBot="1" x14ac:dyDescent="0.25">
      <c r="A221" s="10" t="e">
        <f>'Open Order'!#REF!</f>
        <v>#REF!</v>
      </c>
      <c r="B221" s="6" t="e">
        <f>'Open Order'!#REF!</f>
        <v>#REF!</v>
      </c>
      <c r="C221" s="6" t="e">
        <f>'Open Order'!#REF!</f>
        <v>#REF!</v>
      </c>
      <c r="D221" s="8" t="e">
        <f>'Open Order'!#REF!</f>
        <v>#REF!</v>
      </c>
      <c r="E221" s="9" t="e">
        <f>'Open Order'!#REF!</f>
        <v>#REF!</v>
      </c>
      <c r="F221" s="14" t="e">
        <f>'Open Order'!#REF!</f>
        <v>#REF!</v>
      </c>
      <c r="L221" s="8" t="e">
        <f>'Open Order'!#REF!</f>
        <v>#REF!</v>
      </c>
    </row>
    <row r="222" spans="1:12" ht="30.75" customHeight="1" thickBot="1" x14ac:dyDescent="0.25">
      <c r="A222" s="10" t="e">
        <f>'Open Order'!#REF!</f>
        <v>#REF!</v>
      </c>
      <c r="B222" s="6" t="e">
        <f>'Open Order'!#REF!</f>
        <v>#REF!</v>
      </c>
      <c r="C222" s="6" t="e">
        <f>'Open Order'!#REF!</f>
        <v>#REF!</v>
      </c>
      <c r="D222" s="8" t="e">
        <f>'Open Order'!#REF!</f>
        <v>#REF!</v>
      </c>
      <c r="E222" s="9" t="e">
        <f>'Open Order'!#REF!</f>
        <v>#REF!</v>
      </c>
      <c r="F222" s="14" t="e">
        <f>'Open Order'!#REF!</f>
        <v>#REF!</v>
      </c>
      <c r="L222" s="8" t="e">
        <f>'Open Order'!#REF!</f>
        <v>#REF!</v>
      </c>
    </row>
    <row r="223" spans="1:12" ht="30.75" customHeight="1" thickBot="1" x14ac:dyDescent="0.25">
      <c r="A223" s="10" t="e">
        <f>'Open Order'!#REF!</f>
        <v>#REF!</v>
      </c>
      <c r="B223" s="6" t="e">
        <f>'Open Order'!#REF!</f>
        <v>#REF!</v>
      </c>
      <c r="C223" s="6" t="e">
        <f>'Open Order'!#REF!</f>
        <v>#REF!</v>
      </c>
      <c r="D223" s="8" t="e">
        <f>'Open Order'!#REF!</f>
        <v>#REF!</v>
      </c>
      <c r="E223" s="9" t="e">
        <f>'Open Order'!#REF!</f>
        <v>#REF!</v>
      </c>
      <c r="F223" s="14" t="e">
        <f>'Open Order'!#REF!</f>
        <v>#REF!</v>
      </c>
      <c r="L223" s="8" t="e">
        <f>'Open Order'!#REF!</f>
        <v>#REF!</v>
      </c>
    </row>
    <row r="224" spans="1:12" ht="30.75" customHeight="1" thickBot="1" x14ac:dyDescent="0.25">
      <c r="A224" s="10" t="e">
        <f>'Open Order'!#REF!</f>
        <v>#REF!</v>
      </c>
      <c r="B224" s="6" t="e">
        <f>'Open Order'!#REF!</f>
        <v>#REF!</v>
      </c>
      <c r="C224" s="6" t="e">
        <f>'Open Order'!#REF!</f>
        <v>#REF!</v>
      </c>
      <c r="D224" s="8" t="e">
        <f>'Open Order'!#REF!</f>
        <v>#REF!</v>
      </c>
      <c r="E224" s="9" t="e">
        <f>'Open Order'!#REF!</f>
        <v>#REF!</v>
      </c>
      <c r="F224" s="14" t="e">
        <f>'Open Order'!#REF!</f>
        <v>#REF!</v>
      </c>
      <c r="L224" s="8" t="e">
        <f>'Open Order'!#REF!</f>
        <v>#REF!</v>
      </c>
    </row>
    <row r="225" spans="1:12" ht="30.75" customHeight="1" thickBot="1" x14ac:dyDescent="0.25">
      <c r="A225" s="10" t="e">
        <f>'Open Order'!#REF!</f>
        <v>#REF!</v>
      </c>
      <c r="B225" s="6" t="e">
        <f>'Open Order'!#REF!</f>
        <v>#REF!</v>
      </c>
      <c r="C225" s="6" t="e">
        <f>'Open Order'!#REF!</f>
        <v>#REF!</v>
      </c>
      <c r="D225" s="8" t="e">
        <f>'Open Order'!#REF!</f>
        <v>#REF!</v>
      </c>
      <c r="E225" s="9" t="e">
        <f>'Open Order'!#REF!</f>
        <v>#REF!</v>
      </c>
      <c r="F225" s="14" t="e">
        <f>'Open Order'!#REF!</f>
        <v>#REF!</v>
      </c>
      <c r="L225" s="8" t="e">
        <f>'Open Order'!#REF!</f>
        <v>#REF!</v>
      </c>
    </row>
    <row r="226" spans="1:12" ht="30.75" customHeight="1" thickBot="1" x14ac:dyDescent="0.25">
      <c r="A226" s="10" t="e">
        <f>'Open Order'!#REF!</f>
        <v>#REF!</v>
      </c>
      <c r="B226" s="6" t="e">
        <f>'Open Order'!#REF!</f>
        <v>#REF!</v>
      </c>
      <c r="C226" s="6" t="e">
        <f>'Open Order'!#REF!</f>
        <v>#REF!</v>
      </c>
      <c r="D226" s="8" t="e">
        <f>'Open Order'!#REF!</f>
        <v>#REF!</v>
      </c>
      <c r="E226" s="9" t="e">
        <f>'Open Order'!#REF!</f>
        <v>#REF!</v>
      </c>
      <c r="F226" s="14" t="e">
        <f>'Open Order'!#REF!</f>
        <v>#REF!</v>
      </c>
      <c r="L226" s="8" t="e">
        <f>'Open Order'!#REF!</f>
        <v>#REF!</v>
      </c>
    </row>
    <row r="227" spans="1:12" ht="30.75" customHeight="1" thickBot="1" x14ac:dyDescent="0.25">
      <c r="A227" s="10" t="e">
        <f>'Open Order'!#REF!</f>
        <v>#REF!</v>
      </c>
      <c r="B227" s="6" t="e">
        <f>'Open Order'!#REF!</f>
        <v>#REF!</v>
      </c>
      <c r="C227" s="6" t="e">
        <f>'Open Order'!#REF!</f>
        <v>#REF!</v>
      </c>
      <c r="D227" s="8" t="e">
        <f>'Open Order'!#REF!</f>
        <v>#REF!</v>
      </c>
      <c r="E227" s="9" t="e">
        <f>'Open Order'!#REF!</f>
        <v>#REF!</v>
      </c>
      <c r="F227" s="14" t="e">
        <f>'Open Order'!#REF!</f>
        <v>#REF!</v>
      </c>
      <c r="L227" s="8" t="e">
        <f>'Open Order'!#REF!</f>
        <v>#REF!</v>
      </c>
    </row>
    <row r="228" spans="1:12" ht="30.75" customHeight="1" thickBot="1" x14ac:dyDescent="0.25">
      <c r="A228" s="10" t="e">
        <f>'Open Order'!#REF!</f>
        <v>#REF!</v>
      </c>
      <c r="B228" s="6" t="e">
        <f>'Open Order'!#REF!</f>
        <v>#REF!</v>
      </c>
      <c r="C228" s="6" t="e">
        <f>'Open Order'!#REF!</f>
        <v>#REF!</v>
      </c>
      <c r="D228" s="8" t="e">
        <f>'Open Order'!#REF!</f>
        <v>#REF!</v>
      </c>
      <c r="E228" s="9" t="e">
        <f>'Open Order'!#REF!</f>
        <v>#REF!</v>
      </c>
      <c r="F228" s="14" t="e">
        <f>'Open Order'!#REF!</f>
        <v>#REF!</v>
      </c>
      <c r="L228" s="8" t="e">
        <f>'Open Order'!#REF!</f>
        <v>#REF!</v>
      </c>
    </row>
    <row r="229" spans="1:12" ht="30.75" customHeight="1" thickBot="1" x14ac:dyDescent="0.25">
      <c r="A229" s="10" t="e">
        <f>'Open Order'!#REF!</f>
        <v>#REF!</v>
      </c>
      <c r="B229" s="6" t="e">
        <f>'Open Order'!#REF!</f>
        <v>#REF!</v>
      </c>
      <c r="C229" s="6" t="e">
        <f>'Open Order'!#REF!</f>
        <v>#REF!</v>
      </c>
      <c r="D229" s="8" t="e">
        <f>'Open Order'!#REF!</f>
        <v>#REF!</v>
      </c>
      <c r="E229" s="9" t="e">
        <f>'Open Order'!#REF!</f>
        <v>#REF!</v>
      </c>
      <c r="F229" s="14" t="e">
        <f>'Open Order'!#REF!</f>
        <v>#REF!</v>
      </c>
      <c r="L229" s="8" t="e">
        <f>'Open Order'!#REF!</f>
        <v>#REF!</v>
      </c>
    </row>
    <row r="230" spans="1:12" ht="30.75" customHeight="1" thickBot="1" x14ac:dyDescent="0.25">
      <c r="A230" s="10" t="e">
        <f>'Open Order'!#REF!</f>
        <v>#REF!</v>
      </c>
      <c r="B230" s="6" t="e">
        <f>'Open Order'!#REF!</f>
        <v>#REF!</v>
      </c>
      <c r="C230" s="6" t="e">
        <f>'Open Order'!#REF!</f>
        <v>#REF!</v>
      </c>
      <c r="D230" s="8" t="e">
        <f>'Open Order'!#REF!</f>
        <v>#REF!</v>
      </c>
      <c r="E230" s="9" t="e">
        <f>'Open Order'!#REF!</f>
        <v>#REF!</v>
      </c>
      <c r="F230" s="14" t="e">
        <f>'Open Order'!#REF!</f>
        <v>#REF!</v>
      </c>
      <c r="L230" s="8" t="e">
        <f>'Open Order'!#REF!</f>
        <v>#REF!</v>
      </c>
    </row>
    <row r="231" spans="1:12" ht="30.75" customHeight="1" thickBot="1" x14ac:dyDescent="0.25">
      <c r="A231" s="10" t="e">
        <f>'Open Order'!#REF!</f>
        <v>#REF!</v>
      </c>
      <c r="B231" s="6" t="e">
        <f>'Open Order'!#REF!</f>
        <v>#REF!</v>
      </c>
      <c r="C231" s="6" t="e">
        <f>'Open Order'!#REF!</f>
        <v>#REF!</v>
      </c>
      <c r="D231" s="8" t="e">
        <f>'Open Order'!#REF!</f>
        <v>#REF!</v>
      </c>
      <c r="E231" s="9" t="e">
        <f>'Open Order'!#REF!</f>
        <v>#REF!</v>
      </c>
      <c r="F231" s="14" t="e">
        <f>'Open Order'!#REF!</f>
        <v>#REF!</v>
      </c>
      <c r="L231" s="8" t="e">
        <f>'Open Order'!#REF!</f>
        <v>#REF!</v>
      </c>
    </row>
    <row r="232" spans="1:12" ht="30.75" customHeight="1" thickBot="1" x14ac:dyDescent="0.25">
      <c r="A232" s="10" t="e">
        <f>'Open Order'!#REF!</f>
        <v>#REF!</v>
      </c>
      <c r="B232" s="6" t="e">
        <f>'Open Order'!#REF!</f>
        <v>#REF!</v>
      </c>
      <c r="C232" s="6" t="e">
        <f>'Open Order'!#REF!</f>
        <v>#REF!</v>
      </c>
      <c r="D232" s="8" t="e">
        <f>'Open Order'!#REF!</f>
        <v>#REF!</v>
      </c>
      <c r="E232" s="9" t="e">
        <f>'Open Order'!#REF!</f>
        <v>#REF!</v>
      </c>
      <c r="F232" s="14" t="e">
        <f>'Open Order'!#REF!</f>
        <v>#REF!</v>
      </c>
      <c r="L232" s="8" t="e">
        <f>'Open Order'!#REF!</f>
        <v>#REF!</v>
      </c>
    </row>
    <row r="233" spans="1:12" ht="30.75" customHeight="1" thickBot="1" x14ac:dyDescent="0.25">
      <c r="A233" s="10" t="e">
        <f>'Open Order'!#REF!</f>
        <v>#REF!</v>
      </c>
      <c r="B233" s="6" t="e">
        <f>'Open Order'!#REF!</f>
        <v>#REF!</v>
      </c>
      <c r="C233" s="6" t="e">
        <f>'Open Order'!#REF!</f>
        <v>#REF!</v>
      </c>
      <c r="D233" s="8" t="e">
        <f>'Open Order'!#REF!</f>
        <v>#REF!</v>
      </c>
      <c r="E233" s="9" t="e">
        <f>'Open Order'!#REF!</f>
        <v>#REF!</v>
      </c>
      <c r="F233" s="14" t="e">
        <f>'Open Order'!#REF!</f>
        <v>#REF!</v>
      </c>
      <c r="L233" s="8" t="e">
        <f>'Open Order'!#REF!</f>
        <v>#REF!</v>
      </c>
    </row>
    <row r="234" spans="1:12" ht="30.75" customHeight="1" thickBot="1" x14ac:dyDescent="0.25">
      <c r="A234" s="10" t="e">
        <f>'Open Order'!#REF!</f>
        <v>#REF!</v>
      </c>
      <c r="B234" s="6" t="e">
        <f>'Open Order'!#REF!</f>
        <v>#REF!</v>
      </c>
      <c r="C234" s="6" t="e">
        <f>'Open Order'!#REF!</f>
        <v>#REF!</v>
      </c>
      <c r="D234" s="8" t="e">
        <f>'Open Order'!#REF!</f>
        <v>#REF!</v>
      </c>
      <c r="E234" s="9" t="e">
        <f>'Open Order'!#REF!</f>
        <v>#REF!</v>
      </c>
      <c r="F234" s="14" t="e">
        <f>'Open Order'!#REF!</f>
        <v>#REF!</v>
      </c>
      <c r="L234" s="8" t="e">
        <f>'Open Order'!#REF!</f>
        <v>#REF!</v>
      </c>
    </row>
    <row r="235" spans="1:12" ht="30.75" customHeight="1" thickBot="1" x14ac:dyDescent="0.25">
      <c r="A235" s="10" t="e">
        <f>'Open Order'!#REF!</f>
        <v>#REF!</v>
      </c>
      <c r="B235" s="6" t="e">
        <f>'Open Order'!#REF!</f>
        <v>#REF!</v>
      </c>
      <c r="C235" s="6" t="e">
        <f>'Open Order'!#REF!</f>
        <v>#REF!</v>
      </c>
      <c r="D235" s="8" t="e">
        <f>'Open Order'!#REF!</f>
        <v>#REF!</v>
      </c>
      <c r="E235" s="9" t="e">
        <f>'Open Order'!#REF!</f>
        <v>#REF!</v>
      </c>
      <c r="F235" s="14" t="e">
        <f>'Open Order'!#REF!</f>
        <v>#REF!</v>
      </c>
      <c r="L235" s="8" t="e">
        <f>'Open Order'!#REF!</f>
        <v>#REF!</v>
      </c>
    </row>
    <row r="236" spans="1:12" ht="30.75" customHeight="1" thickBot="1" x14ac:dyDescent="0.25">
      <c r="A236" s="10" t="e">
        <f>'Open Order'!#REF!</f>
        <v>#REF!</v>
      </c>
      <c r="B236" s="6" t="e">
        <f>'Open Order'!#REF!</f>
        <v>#REF!</v>
      </c>
      <c r="C236" s="6" t="e">
        <f>'Open Order'!#REF!</f>
        <v>#REF!</v>
      </c>
      <c r="D236" s="8" t="e">
        <f>'Open Order'!#REF!</f>
        <v>#REF!</v>
      </c>
      <c r="E236" s="9" t="e">
        <f>'Open Order'!#REF!</f>
        <v>#REF!</v>
      </c>
      <c r="F236" s="14" t="e">
        <f>'Open Order'!#REF!</f>
        <v>#REF!</v>
      </c>
      <c r="L236" s="8" t="e">
        <f>'Open Order'!#REF!</f>
        <v>#REF!</v>
      </c>
    </row>
    <row r="237" spans="1:12" ht="30.75" customHeight="1" thickBot="1" x14ac:dyDescent="0.25">
      <c r="A237" s="10" t="e">
        <f>'Open Order'!#REF!</f>
        <v>#REF!</v>
      </c>
      <c r="B237" s="6" t="e">
        <f>'Open Order'!#REF!</f>
        <v>#REF!</v>
      </c>
      <c r="C237" s="6" t="e">
        <f>'Open Order'!#REF!</f>
        <v>#REF!</v>
      </c>
      <c r="D237" s="8" t="e">
        <f>'Open Order'!#REF!</f>
        <v>#REF!</v>
      </c>
      <c r="E237" s="9" t="e">
        <f>'Open Order'!#REF!</f>
        <v>#REF!</v>
      </c>
      <c r="F237" s="14" t="e">
        <f>'Open Order'!#REF!</f>
        <v>#REF!</v>
      </c>
      <c r="L237" s="8" t="e">
        <f>'Open Order'!#REF!</f>
        <v>#REF!</v>
      </c>
    </row>
    <row r="238" spans="1:12" ht="30.75" customHeight="1" thickBot="1" x14ac:dyDescent="0.25">
      <c r="A238" s="10" t="e">
        <f>'Open Order'!#REF!</f>
        <v>#REF!</v>
      </c>
      <c r="B238" s="6" t="e">
        <f>'Open Order'!#REF!</f>
        <v>#REF!</v>
      </c>
      <c r="C238" s="6" t="e">
        <f>'Open Order'!#REF!</f>
        <v>#REF!</v>
      </c>
      <c r="D238" s="8" t="e">
        <f>'Open Order'!#REF!</f>
        <v>#REF!</v>
      </c>
      <c r="E238" s="9" t="e">
        <f>'Open Order'!#REF!</f>
        <v>#REF!</v>
      </c>
      <c r="F238" s="14" t="e">
        <f>'Open Order'!#REF!</f>
        <v>#REF!</v>
      </c>
      <c r="L238" s="8" t="e">
        <f>'Open Order'!#REF!</f>
        <v>#REF!</v>
      </c>
    </row>
    <row r="239" spans="1:12" ht="30.75" customHeight="1" thickBot="1" x14ac:dyDescent="0.25">
      <c r="A239" s="10" t="e">
        <f>'Open Order'!#REF!</f>
        <v>#REF!</v>
      </c>
      <c r="B239" s="6" t="e">
        <f>'Open Order'!#REF!</f>
        <v>#REF!</v>
      </c>
      <c r="C239" s="6" t="e">
        <f>'Open Order'!#REF!</f>
        <v>#REF!</v>
      </c>
      <c r="D239" s="8" t="e">
        <f>'Open Order'!#REF!</f>
        <v>#REF!</v>
      </c>
      <c r="E239" s="9" t="e">
        <f>'Open Order'!#REF!</f>
        <v>#REF!</v>
      </c>
      <c r="F239" s="14" t="e">
        <f>'Open Order'!#REF!</f>
        <v>#REF!</v>
      </c>
      <c r="L239" s="8" t="e">
        <f>'Open Order'!#REF!</f>
        <v>#REF!</v>
      </c>
    </row>
    <row r="240" spans="1:12" ht="30.75" customHeight="1" thickBot="1" x14ac:dyDescent="0.25">
      <c r="A240" s="10" t="e">
        <f>'Open Order'!#REF!</f>
        <v>#REF!</v>
      </c>
      <c r="B240" s="6" t="e">
        <f>'Open Order'!#REF!</f>
        <v>#REF!</v>
      </c>
      <c r="C240" s="6" t="e">
        <f>'Open Order'!#REF!</f>
        <v>#REF!</v>
      </c>
      <c r="D240" s="8" t="e">
        <f>'Open Order'!#REF!</f>
        <v>#REF!</v>
      </c>
      <c r="E240" s="9" t="e">
        <f>'Open Order'!#REF!</f>
        <v>#REF!</v>
      </c>
      <c r="F240" s="14" t="e">
        <f>'Open Order'!#REF!</f>
        <v>#REF!</v>
      </c>
      <c r="L240" s="8" t="e">
        <f>'Open Order'!#REF!</f>
        <v>#REF!</v>
      </c>
    </row>
    <row r="241" spans="1:12" ht="30.75" customHeight="1" thickBot="1" x14ac:dyDescent="0.25">
      <c r="A241" s="10" t="e">
        <f>'Open Order'!#REF!</f>
        <v>#REF!</v>
      </c>
      <c r="B241" s="6" t="e">
        <f>'Open Order'!#REF!</f>
        <v>#REF!</v>
      </c>
      <c r="C241" s="6" t="e">
        <f>'Open Order'!#REF!</f>
        <v>#REF!</v>
      </c>
      <c r="D241" s="8" t="e">
        <f>'Open Order'!#REF!</f>
        <v>#REF!</v>
      </c>
      <c r="E241" s="9" t="e">
        <f>'Open Order'!#REF!</f>
        <v>#REF!</v>
      </c>
      <c r="F241" s="14" t="e">
        <f>'Open Order'!#REF!</f>
        <v>#REF!</v>
      </c>
      <c r="L241" s="8" t="e">
        <f>'Open Order'!#REF!</f>
        <v>#REF!</v>
      </c>
    </row>
    <row r="242" spans="1:12" ht="30.75" customHeight="1" thickBot="1" x14ac:dyDescent="0.25">
      <c r="A242" s="10" t="e">
        <f>'Open Order'!#REF!</f>
        <v>#REF!</v>
      </c>
      <c r="B242" s="6" t="e">
        <f>'Open Order'!#REF!</f>
        <v>#REF!</v>
      </c>
      <c r="C242" s="6" t="e">
        <f>'Open Order'!#REF!</f>
        <v>#REF!</v>
      </c>
      <c r="D242" s="8" t="e">
        <f>'Open Order'!#REF!</f>
        <v>#REF!</v>
      </c>
      <c r="E242" s="9" t="e">
        <f>'Open Order'!#REF!</f>
        <v>#REF!</v>
      </c>
      <c r="F242" s="14" t="e">
        <f>'Open Order'!#REF!</f>
        <v>#REF!</v>
      </c>
      <c r="L242" s="8" t="e">
        <f>'Open Order'!#REF!</f>
        <v>#REF!</v>
      </c>
    </row>
    <row r="243" spans="1:12" ht="30.75" customHeight="1" thickBot="1" x14ac:dyDescent="0.25">
      <c r="A243" s="10" t="e">
        <f>'Open Order'!#REF!</f>
        <v>#REF!</v>
      </c>
      <c r="B243" s="6" t="e">
        <f>'Open Order'!#REF!</f>
        <v>#REF!</v>
      </c>
      <c r="C243" s="6" t="e">
        <f>'Open Order'!#REF!</f>
        <v>#REF!</v>
      </c>
      <c r="D243" s="8" t="e">
        <f>'Open Order'!#REF!</f>
        <v>#REF!</v>
      </c>
      <c r="E243" s="9" t="e">
        <f>'Open Order'!#REF!</f>
        <v>#REF!</v>
      </c>
      <c r="F243" s="14" t="e">
        <f>'Open Order'!#REF!</f>
        <v>#REF!</v>
      </c>
      <c r="L243" s="8" t="e">
        <f>'Open Order'!#REF!</f>
        <v>#REF!</v>
      </c>
    </row>
    <row r="244" spans="1:12" ht="30.75" customHeight="1" thickBot="1" x14ac:dyDescent="0.25">
      <c r="A244" s="10" t="e">
        <f>'Open Order'!#REF!</f>
        <v>#REF!</v>
      </c>
      <c r="B244" s="6" t="e">
        <f>'Open Order'!#REF!</f>
        <v>#REF!</v>
      </c>
      <c r="C244" s="6" t="e">
        <f>'Open Order'!#REF!</f>
        <v>#REF!</v>
      </c>
      <c r="D244" s="8" t="e">
        <f>'Open Order'!#REF!</f>
        <v>#REF!</v>
      </c>
      <c r="E244" s="9" t="e">
        <f>'Open Order'!#REF!</f>
        <v>#REF!</v>
      </c>
      <c r="F244" s="14" t="e">
        <f>'Open Order'!#REF!</f>
        <v>#REF!</v>
      </c>
      <c r="L244" s="8" t="e">
        <f>'Open Order'!#REF!</f>
        <v>#REF!</v>
      </c>
    </row>
    <row r="245" spans="1:12" ht="30.75" customHeight="1" thickBot="1" x14ac:dyDescent="0.25">
      <c r="A245" s="10" t="e">
        <f>'Open Order'!#REF!</f>
        <v>#REF!</v>
      </c>
      <c r="B245" s="6" t="e">
        <f>'Open Order'!#REF!</f>
        <v>#REF!</v>
      </c>
      <c r="C245" s="6" t="e">
        <f>'Open Order'!#REF!</f>
        <v>#REF!</v>
      </c>
      <c r="D245" s="8" t="e">
        <f>'Open Order'!#REF!</f>
        <v>#REF!</v>
      </c>
      <c r="E245" s="9" t="e">
        <f>'Open Order'!#REF!</f>
        <v>#REF!</v>
      </c>
      <c r="F245" s="14" t="e">
        <f>'Open Order'!#REF!</f>
        <v>#REF!</v>
      </c>
      <c r="L245" s="8" t="e">
        <f>'Open Order'!#REF!</f>
        <v>#REF!</v>
      </c>
    </row>
    <row r="246" spans="1:12" ht="30.75" customHeight="1" thickBot="1" x14ac:dyDescent="0.25">
      <c r="A246" s="10" t="e">
        <f>'Open Order'!#REF!</f>
        <v>#REF!</v>
      </c>
      <c r="B246" s="6" t="e">
        <f>'Open Order'!#REF!</f>
        <v>#REF!</v>
      </c>
      <c r="C246" s="6" t="e">
        <f>'Open Order'!#REF!</f>
        <v>#REF!</v>
      </c>
      <c r="D246" s="8" t="e">
        <f>'Open Order'!#REF!</f>
        <v>#REF!</v>
      </c>
      <c r="E246" s="9" t="e">
        <f>'Open Order'!#REF!</f>
        <v>#REF!</v>
      </c>
      <c r="F246" s="14" t="e">
        <f>'Open Order'!#REF!</f>
        <v>#REF!</v>
      </c>
      <c r="L246" s="8" t="e">
        <f>'Open Order'!#REF!</f>
        <v>#REF!</v>
      </c>
    </row>
    <row r="247" spans="1:12" ht="30.75" customHeight="1" thickBot="1" x14ac:dyDescent="0.25">
      <c r="A247" s="10" t="e">
        <f>'Open Order'!#REF!</f>
        <v>#REF!</v>
      </c>
      <c r="B247" s="6" t="e">
        <f>'Open Order'!#REF!</f>
        <v>#REF!</v>
      </c>
      <c r="C247" s="6" t="e">
        <f>'Open Order'!#REF!</f>
        <v>#REF!</v>
      </c>
      <c r="D247" s="8" t="e">
        <f>'Open Order'!#REF!</f>
        <v>#REF!</v>
      </c>
      <c r="E247" s="9" t="e">
        <f>'Open Order'!#REF!</f>
        <v>#REF!</v>
      </c>
      <c r="F247" s="14" t="e">
        <f>'Open Order'!#REF!</f>
        <v>#REF!</v>
      </c>
      <c r="L247" s="8" t="e">
        <f>'Open Order'!#REF!</f>
        <v>#REF!</v>
      </c>
    </row>
    <row r="248" spans="1:12" ht="30.75" customHeight="1" thickBot="1" x14ac:dyDescent="0.25">
      <c r="A248" s="10" t="e">
        <f>'Open Order'!#REF!</f>
        <v>#REF!</v>
      </c>
      <c r="B248" s="6" t="e">
        <f>'Open Order'!#REF!</f>
        <v>#REF!</v>
      </c>
      <c r="C248" s="6" t="e">
        <f>'Open Order'!#REF!</f>
        <v>#REF!</v>
      </c>
      <c r="D248" s="8" t="e">
        <f>'Open Order'!#REF!</f>
        <v>#REF!</v>
      </c>
      <c r="E248" s="9" t="e">
        <f>'Open Order'!#REF!</f>
        <v>#REF!</v>
      </c>
      <c r="F248" s="14" t="e">
        <f>'Open Order'!#REF!</f>
        <v>#REF!</v>
      </c>
      <c r="L248" s="8" t="e">
        <f>'Open Order'!#REF!</f>
        <v>#REF!</v>
      </c>
    </row>
    <row r="249" spans="1:12" ht="30.75" customHeight="1" thickBot="1" x14ac:dyDescent="0.25">
      <c r="A249" s="10" t="e">
        <f>'Open Order'!#REF!</f>
        <v>#REF!</v>
      </c>
      <c r="B249" s="6" t="e">
        <f>'Open Order'!#REF!</f>
        <v>#REF!</v>
      </c>
      <c r="C249" s="6" t="e">
        <f>'Open Order'!#REF!</f>
        <v>#REF!</v>
      </c>
      <c r="D249" s="8" t="e">
        <f>'Open Order'!#REF!</f>
        <v>#REF!</v>
      </c>
      <c r="E249" s="9" t="e">
        <f>'Open Order'!#REF!</f>
        <v>#REF!</v>
      </c>
      <c r="F249" s="14" t="e">
        <f>'Open Order'!#REF!</f>
        <v>#REF!</v>
      </c>
      <c r="L249" s="8" t="e">
        <f>'Open Order'!#REF!</f>
        <v>#REF!</v>
      </c>
    </row>
    <row r="250" spans="1:12" ht="30.75" customHeight="1" thickBot="1" x14ac:dyDescent="0.25">
      <c r="A250" s="10" t="e">
        <f>'Open Order'!#REF!</f>
        <v>#REF!</v>
      </c>
      <c r="B250" s="6" t="e">
        <f>'Open Order'!#REF!</f>
        <v>#REF!</v>
      </c>
      <c r="C250" s="6" t="e">
        <f>'Open Order'!#REF!</f>
        <v>#REF!</v>
      </c>
      <c r="D250" s="8" t="e">
        <f>'Open Order'!#REF!</f>
        <v>#REF!</v>
      </c>
      <c r="E250" s="9" t="e">
        <f>'Open Order'!#REF!</f>
        <v>#REF!</v>
      </c>
      <c r="F250" s="14" t="e">
        <f>'Open Order'!#REF!</f>
        <v>#REF!</v>
      </c>
      <c r="L250" s="8" t="e">
        <f>'Open Order'!#REF!</f>
        <v>#REF!</v>
      </c>
    </row>
    <row r="251" spans="1:12" ht="30.75" customHeight="1" thickBot="1" x14ac:dyDescent="0.25">
      <c r="A251" s="10" t="e">
        <f>'Open Order'!#REF!</f>
        <v>#REF!</v>
      </c>
      <c r="B251" s="6" t="e">
        <f>'Open Order'!#REF!</f>
        <v>#REF!</v>
      </c>
      <c r="C251" s="6" t="e">
        <f>'Open Order'!#REF!</f>
        <v>#REF!</v>
      </c>
      <c r="D251" s="8" t="e">
        <f>'Open Order'!#REF!</f>
        <v>#REF!</v>
      </c>
      <c r="E251" s="9" t="e">
        <f>'Open Order'!#REF!</f>
        <v>#REF!</v>
      </c>
      <c r="F251" s="14" t="e">
        <f>'Open Order'!#REF!</f>
        <v>#REF!</v>
      </c>
      <c r="L251" s="8" t="e">
        <f>'Open Order'!#REF!</f>
        <v>#REF!</v>
      </c>
    </row>
    <row r="252" spans="1:12" ht="30.75" customHeight="1" thickBot="1" x14ac:dyDescent="0.25">
      <c r="A252" s="10" t="e">
        <f>'Open Order'!#REF!</f>
        <v>#REF!</v>
      </c>
      <c r="B252" s="6" t="e">
        <f>'Open Order'!#REF!</f>
        <v>#REF!</v>
      </c>
      <c r="C252" s="6" t="e">
        <f>'Open Order'!#REF!</f>
        <v>#REF!</v>
      </c>
      <c r="D252" s="8" t="e">
        <f>'Open Order'!#REF!</f>
        <v>#REF!</v>
      </c>
      <c r="E252" s="9" t="e">
        <f>'Open Order'!#REF!</f>
        <v>#REF!</v>
      </c>
      <c r="F252" s="14" t="e">
        <f>'Open Order'!#REF!</f>
        <v>#REF!</v>
      </c>
      <c r="L252" s="8" t="e">
        <f>'Open Order'!#REF!</f>
        <v>#REF!</v>
      </c>
    </row>
    <row r="253" spans="1:12" ht="30.75" customHeight="1" thickBot="1" x14ac:dyDescent="0.25">
      <c r="A253" s="10" t="e">
        <f>'Open Order'!#REF!</f>
        <v>#REF!</v>
      </c>
      <c r="B253" s="6" t="e">
        <f>'Open Order'!#REF!</f>
        <v>#REF!</v>
      </c>
      <c r="C253" s="6" t="e">
        <f>'Open Order'!#REF!</f>
        <v>#REF!</v>
      </c>
      <c r="D253" s="8" t="e">
        <f>'Open Order'!#REF!</f>
        <v>#REF!</v>
      </c>
      <c r="E253" s="9" t="e">
        <f>'Open Order'!#REF!</f>
        <v>#REF!</v>
      </c>
      <c r="F253" s="14" t="e">
        <f>'Open Order'!#REF!</f>
        <v>#REF!</v>
      </c>
      <c r="L253" s="8" t="e">
        <f>'Open Order'!#REF!</f>
        <v>#REF!</v>
      </c>
    </row>
    <row r="254" spans="1:12" ht="30.75" customHeight="1" thickBot="1" x14ac:dyDescent="0.25">
      <c r="A254" s="10" t="e">
        <f>'Open Order'!#REF!</f>
        <v>#REF!</v>
      </c>
      <c r="B254" s="6" t="e">
        <f>'Open Order'!#REF!</f>
        <v>#REF!</v>
      </c>
      <c r="C254" s="6" t="e">
        <f>'Open Order'!#REF!</f>
        <v>#REF!</v>
      </c>
      <c r="D254" s="8" t="e">
        <f>'Open Order'!#REF!</f>
        <v>#REF!</v>
      </c>
      <c r="E254" s="9" t="e">
        <f>'Open Order'!#REF!</f>
        <v>#REF!</v>
      </c>
      <c r="F254" s="14" t="e">
        <f>'Open Order'!#REF!</f>
        <v>#REF!</v>
      </c>
      <c r="L254" s="8" t="e">
        <f>'Open Order'!#REF!</f>
        <v>#REF!</v>
      </c>
    </row>
    <row r="255" spans="1:12" ht="30.75" customHeight="1" thickBot="1" x14ac:dyDescent="0.25">
      <c r="A255" s="10" t="e">
        <f>'Open Order'!#REF!</f>
        <v>#REF!</v>
      </c>
      <c r="B255" s="6" t="e">
        <f>'Open Order'!#REF!</f>
        <v>#REF!</v>
      </c>
      <c r="C255" s="6" t="e">
        <f>'Open Order'!#REF!</f>
        <v>#REF!</v>
      </c>
      <c r="D255" s="8" t="e">
        <f>'Open Order'!#REF!</f>
        <v>#REF!</v>
      </c>
      <c r="E255" s="9" t="e">
        <f>'Open Order'!#REF!</f>
        <v>#REF!</v>
      </c>
      <c r="F255" s="14" t="e">
        <f>'Open Order'!#REF!</f>
        <v>#REF!</v>
      </c>
      <c r="L255" s="8" t="e">
        <f>'Open Order'!#REF!</f>
        <v>#REF!</v>
      </c>
    </row>
    <row r="256" spans="1:12" ht="30.75" customHeight="1" thickBot="1" x14ac:dyDescent="0.25">
      <c r="A256" s="10" t="e">
        <f>'Open Order'!#REF!</f>
        <v>#REF!</v>
      </c>
      <c r="B256" s="6" t="e">
        <f>'Open Order'!#REF!</f>
        <v>#REF!</v>
      </c>
      <c r="C256" s="6" t="e">
        <f>'Open Order'!#REF!</f>
        <v>#REF!</v>
      </c>
      <c r="D256" s="8" t="e">
        <f>'Open Order'!#REF!</f>
        <v>#REF!</v>
      </c>
      <c r="E256" s="9" t="e">
        <f>'Open Order'!#REF!</f>
        <v>#REF!</v>
      </c>
      <c r="F256" s="14" t="e">
        <f>'Open Order'!#REF!</f>
        <v>#REF!</v>
      </c>
      <c r="L256" s="8" t="e">
        <f>'Open Order'!#REF!</f>
        <v>#REF!</v>
      </c>
    </row>
    <row r="257" spans="1:12" ht="30.75" customHeight="1" thickBot="1" x14ac:dyDescent="0.25">
      <c r="A257" s="10" t="e">
        <f>'Open Order'!#REF!</f>
        <v>#REF!</v>
      </c>
      <c r="B257" s="6" t="e">
        <f>'Open Order'!#REF!</f>
        <v>#REF!</v>
      </c>
      <c r="C257" s="6" t="e">
        <f>'Open Order'!#REF!</f>
        <v>#REF!</v>
      </c>
      <c r="D257" s="8" t="e">
        <f>'Open Order'!#REF!</f>
        <v>#REF!</v>
      </c>
      <c r="E257" s="9" t="e">
        <f>'Open Order'!#REF!</f>
        <v>#REF!</v>
      </c>
      <c r="F257" s="14" t="e">
        <f>'Open Order'!#REF!</f>
        <v>#REF!</v>
      </c>
      <c r="L257" s="8" t="e">
        <f>'Open Order'!#REF!</f>
        <v>#REF!</v>
      </c>
    </row>
    <row r="258" spans="1:12" ht="30.75" customHeight="1" thickBot="1" x14ac:dyDescent="0.25">
      <c r="A258" s="10" t="e">
        <f>'Open Order'!#REF!</f>
        <v>#REF!</v>
      </c>
      <c r="B258" s="6" t="e">
        <f>'Open Order'!#REF!</f>
        <v>#REF!</v>
      </c>
      <c r="C258" s="6" t="e">
        <f>'Open Order'!#REF!</f>
        <v>#REF!</v>
      </c>
      <c r="D258" s="8" t="e">
        <f>'Open Order'!#REF!</f>
        <v>#REF!</v>
      </c>
      <c r="E258" s="9" t="e">
        <f>'Open Order'!#REF!</f>
        <v>#REF!</v>
      </c>
      <c r="F258" s="14" t="e">
        <f>'Open Order'!#REF!</f>
        <v>#REF!</v>
      </c>
      <c r="L258" s="8" t="e">
        <f>'Open Order'!#REF!</f>
        <v>#REF!</v>
      </c>
    </row>
    <row r="259" spans="1:12" ht="30.75" customHeight="1" thickBot="1" x14ac:dyDescent="0.25">
      <c r="A259" s="10" t="e">
        <f>'Open Order'!#REF!</f>
        <v>#REF!</v>
      </c>
      <c r="B259" s="6" t="e">
        <f>'Open Order'!#REF!</f>
        <v>#REF!</v>
      </c>
      <c r="C259" s="6" t="e">
        <f>'Open Order'!#REF!</f>
        <v>#REF!</v>
      </c>
      <c r="D259" s="8" t="e">
        <f>'Open Order'!#REF!</f>
        <v>#REF!</v>
      </c>
      <c r="E259" s="9" t="e">
        <f>'Open Order'!#REF!</f>
        <v>#REF!</v>
      </c>
      <c r="F259" s="14" t="e">
        <f>'Open Order'!#REF!</f>
        <v>#REF!</v>
      </c>
      <c r="L259" s="8" t="e">
        <f>'Open Order'!#REF!</f>
        <v>#REF!</v>
      </c>
    </row>
    <row r="260" spans="1:12" ht="30.75" customHeight="1" thickBot="1" x14ac:dyDescent="0.25">
      <c r="A260" s="10" t="e">
        <f>'Open Order'!#REF!</f>
        <v>#REF!</v>
      </c>
      <c r="B260" s="6" t="e">
        <f>'Open Order'!#REF!</f>
        <v>#REF!</v>
      </c>
      <c r="C260" s="6" t="e">
        <f>'Open Order'!#REF!</f>
        <v>#REF!</v>
      </c>
      <c r="D260" s="8" t="e">
        <f>'Open Order'!#REF!</f>
        <v>#REF!</v>
      </c>
      <c r="E260" s="9" t="e">
        <f>'Open Order'!#REF!</f>
        <v>#REF!</v>
      </c>
      <c r="F260" s="14" t="e">
        <f>'Open Order'!#REF!</f>
        <v>#REF!</v>
      </c>
      <c r="L260" s="8" t="e">
        <f>'Open Order'!#REF!</f>
        <v>#REF!</v>
      </c>
    </row>
    <row r="261" spans="1:12" ht="30.75" customHeight="1" thickBot="1" x14ac:dyDescent="0.25">
      <c r="A261" s="10" t="e">
        <f>'Open Order'!#REF!</f>
        <v>#REF!</v>
      </c>
      <c r="B261" s="6" t="e">
        <f>'Open Order'!#REF!</f>
        <v>#REF!</v>
      </c>
      <c r="C261" s="6" t="e">
        <f>'Open Order'!#REF!</f>
        <v>#REF!</v>
      </c>
      <c r="D261" s="8" t="e">
        <f>'Open Order'!#REF!</f>
        <v>#REF!</v>
      </c>
      <c r="E261" s="9" t="e">
        <f>'Open Order'!#REF!</f>
        <v>#REF!</v>
      </c>
      <c r="F261" s="14" t="e">
        <f>'Open Order'!#REF!</f>
        <v>#REF!</v>
      </c>
      <c r="L261" s="8" t="e">
        <f>'Open Order'!#REF!</f>
        <v>#REF!</v>
      </c>
    </row>
    <row r="262" spans="1:12" ht="30.75" customHeight="1" thickBot="1" x14ac:dyDescent="0.25">
      <c r="A262" s="10" t="e">
        <f>'Open Order'!#REF!</f>
        <v>#REF!</v>
      </c>
      <c r="B262" s="6" t="e">
        <f>'Open Order'!#REF!</f>
        <v>#REF!</v>
      </c>
      <c r="C262" s="6" t="e">
        <f>'Open Order'!#REF!</f>
        <v>#REF!</v>
      </c>
      <c r="D262" s="8" t="e">
        <f>'Open Order'!#REF!</f>
        <v>#REF!</v>
      </c>
      <c r="E262" s="9" t="e">
        <f>'Open Order'!#REF!</f>
        <v>#REF!</v>
      </c>
      <c r="F262" s="14" t="e">
        <f>'Open Order'!#REF!</f>
        <v>#REF!</v>
      </c>
      <c r="L262" s="8" t="e">
        <f>'Open Order'!#REF!</f>
        <v>#REF!</v>
      </c>
    </row>
    <row r="263" spans="1:12" ht="30.75" customHeight="1" thickBot="1" x14ac:dyDescent="0.25">
      <c r="A263" s="10" t="e">
        <f>'Open Order'!#REF!</f>
        <v>#REF!</v>
      </c>
      <c r="B263" s="6" t="e">
        <f>'Open Order'!#REF!</f>
        <v>#REF!</v>
      </c>
      <c r="C263" s="6" t="e">
        <f>'Open Order'!#REF!</f>
        <v>#REF!</v>
      </c>
      <c r="D263" s="8" t="e">
        <f>'Open Order'!#REF!</f>
        <v>#REF!</v>
      </c>
      <c r="E263" s="9" t="e">
        <f>'Open Order'!#REF!</f>
        <v>#REF!</v>
      </c>
      <c r="F263" s="14" t="e">
        <f>'Open Order'!#REF!</f>
        <v>#REF!</v>
      </c>
      <c r="L263" s="8" t="e">
        <f>'Open Order'!#REF!</f>
        <v>#REF!</v>
      </c>
    </row>
    <row r="264" spans="1:12" ht="30.75" customHeight="1" thickBot="1" x14ac:dyDescent="0.25">
      <c r="A264" s="10" t="e">
        <f>'Open Order'!#REF!</f>
        <v>#REF!</v>
      </c>
      <c r="B264" s="6" t="e">
        <f>'Open Order'!#REF!</f>
        <v>#REF!</v>
      </c>
      <c r="C264" s="6" t="e">
        <f>'Open Order'!#REF!</f>
        <v>#REF!</v>
      </c>
      <c r="D264" s="8" t="e">
        <f>'Open Order'!#REF!</f>
        <v>#REF!</v>
      </c>
      <c r="E264" s="9" t="e">
        <f>'Open Order'!#REF!</f>
        <v>#REF!</v>
      </c>
      <c r="F264" s="14" t="e">
        <f>'Open Order'!#REF!</f>
        <v>#REF!</v>
      </c>
      <c r="L264" s="8" t="e">
        <f>'Open Order'!#REF!</f>
        <v>#REF!</v>
      </c>
    </row>
    <row r="265" spans="1:12" ht="30.75" customHeight="1" thickBot="1" x14ac:dyDescent="0.25">
      <c r="A265" s="10" t="e">
        <f>'Open Order'!#REF!</f>
        <v>#REF!</v>
      </c>
      <c r="B265" s="6" t="e">
        <f>'Open Order'!#REF!</f>
        <v>#REF!</v>
      </c>
      <c r="C265" s="6" t="e">
        <f>'Open Order'!#REF!</f>
        <v>#REF!</v>
      </c>
      <c r="D265" s="8" t="e">
        <f>'Open Order'!#REF!</f>
        <v>#REF!</v>
      </c>
      <c r="E265" s="9" t="e">
        <f>'Open Order'!#REF!</f>
        <v>#REF!</v>
      </c>
      <c r="F265" s="14" t="e">
        <f>'Open Order'!#REF!</f>
        <v>#REF!</v>
      </c>
      <c r="L265" s="8" t="e">
        <f>'Open Order'!#REF!</f>
        <v>#REF!</v>
      </c>
    </row>
    <row r="266" spans="1:12" ht="30.75" customHeight="1" thickBot="1" x14ac:dyDescent="0.25">
      <c r="A266" s="10" t="e">
        <f>'Open Order'!#REF!</f>
        <v>#REF!</v>
      </c>
      <c r="B266" s="6" t="e">
        <f>'Open Order'!#REF!</f>
        <v>#REF!</v>
      </c>
      <c r="C266" s="6" t="e">
        <f>'Open Order'!#REF!</f>
        <v>#REF!</v>
      </c>
      <c r="D266" s="8" t="e">
        <f>'Open Order'!#REF!</f>
        <v>#REF!</v>
      </c>
      <c r="E266" s="9" t="e">
        <f>'Open Order'!#REF!</f>
        <v>#REF!</v>
      </c>
      <c r="F266" s="14" t="e">
        <f>'Open Order'!#REF!</f>
        <v>#REF!</v>
      </c>
      <c r="L266" s="8" t="e">
        <f>'Open Order'!#REF!</f>
        <v>#REF!</v>
      </c>
    </row>
    <row r="267" spans="1:12" ht="30.75" customHeight="1" thickBot="1" x14ac:dyDescent="0.25">
      <c r="A267" s="10" t="e">
        <f>'Open Order'!#REF!</f>
        <v>#REF!</v>
      </c>
      <c r="B267" s="6" t="e">
        <f>'Open Order'!#REF!</f>
        <v>#REF!</v>
      </c>
      <c r="C267" s="6" t="e">
        <f>'Open Order'!#REF!</f>
        <v>#REF!</v>
      </c>
      <c r="D267" s="8" t="e">
        <f>'Open Order'!#REF!</f>
        <v>#REF!</v>
      </c>
      <c r="E267" s="9" t="e">
        <f>'Open Order'!#REF!</f>
        <v>#REF!</v>
      </c>
      <c r="F267" s="14" t="e">
        <f>'Open Order'!#REF!</f>
        <v>#REF!</v>
      </c>
      <c r="L267" s="8" t="e">
        <f>'Open Order'!#REF!</f>
        <v>#REF!</v>
      </c>
    </row>
    <row r="268" spans="1:12" ht="30.75" customHeight="1" thickBot="1" x14ac:dyDescent="0.25">
      <c r="A268" s="10" t="e">
        <f>'Open Order'!#REF!</f>
        <v>#REF!</v>
      </c>
      <c r="B268" s="6" t="e">
        <f>'Open Order'!#REF!</f>
        <v>#REF!</v>
      </c>
      <c r="C268" s="6" t="e">
        <f>'Open Order'!#REF!</f>
        <v>#REF!</v>
      </c>
      <c r="D268" s="8" t="e">
        <f>'Open Order'!#REF!</f>
        <v>#REF!</v>
      </c>
      <c r="E268" s="9" t="e">
        <f>'Open Order'!#REF!</f>
        <v>#REF!</v>
      </c>
      <c r="F268" s="14" t="e">
        <f>'Open Order'!#REF!</f>
        <v>#REF!</v>
      </c>
      <c r="L268" s="8" t="e">
        <f>'Open Order'!#REF!</f>
        <v>#REF!</v>
      </c>
    </row>
    <row r="269" spans="1:12" ht="30.75" customHeight="1" thickBot="1" x14ac:dyDescent="0.25">
      <c r="A269" s="10" t="e">
        <f>'Open Order'!#REF!</f>
        <v>#REF!</v>
      </c>
      <c r="B269" s="6" t="e">
        <f>'Open Order'!#REF!</f>
        <v>#REF!</v>
      </c>
      <c r="C269" s="6" t="e">
        <f>'Open Order'!#REF!</f>
        <v>#REF!</v>
      </c>
      <c r="D269" s="8" t="e">
        <f>'Open Order'!#REF!</f>
        <v>#REF!</v>
      </c>
      <c r="E269" s="9" t="e">
        <f>'Open Order'!#REF!</f>
        <v>#REF!</v>
      </c>
      <c r="F269" s="14" t="e">
        <f>'Open Order'!#REF!</f>
        <v>#REF!</v>
      </c>
      <c r="L269" s="8" t="e">
        <f>'Open Order'!#REF!</f>
        <v>#REF!</v>
      </c>
    </row>
    <row r="270" spans="1:12" ht="30.75" customHeight="1" thickBot="1" x14ac:dyDescent="0.25">
      <c r="A270" s="10" t="e">
        <f>'Open Order'!#REF!</f>
        <v>#REF!</v>
      </c>
      <c r="B270" s="6" t="e">
        <f>'Open Order'!#REF!</f>
        <v>#REF!</v>
      </c>
      <c r="C270" s="6" t="e">
        <f>'Open Order'!#REF!</f>
        <v>#REF!</v>
      </c>
      <c r="D270" s="8" t="e">
        <f>'Open Order'!#REF!</f>
        <v>#REF!</v>
      </c>
      <c r="E270" s="9" t="e">
        <f>'Open Order'!#REF!</f>
        <v>#REF!</v>
      </c>
      <c r="F270" s="14" t="e">
        <f>'Open Order'!#REF!</f>
        <v>#REF!</v>
      </c>
      <c r="L270" s="8" t="e">
        <f>'Open Order'!#REF!</f>
        <v>#REF!</v>
      </c>
    </row>
    <row r="271" spans="1:12" ht="30.75" customHeight="1" thickBot="1" x14ac:dyDescent="0.25">
      <c r="A271" s="10" t="e">
        <f>'Open Order'!#REF!</f>
        <v>#REF!</v>
      </c>
      <c r="B271" s="6" t="e">
        <f>'Open Order'!#REF!</f>
        <v>#REF!</v>
      </c>
      <c r="C271" s="6" t="e">
        <f>'Open Order'!#REF!</f>
        <v>#REF!</v>
      </c>
      <c r="D271" s="8" t="e">
        <f>'Open Order'!#REF!</f>
        <v>#REF!</v>
      </c>
      <c r="E271" s="9" t="e">
        <f>'Open Order'!#REF!</f>
        <v>#REF!</v>
      </c>
      <c r="F271" s="14" t="e">
        <f>'Open Order'!#REF!</f>
        <v>#REF!</v>
      </c>
      <c r="L271" s="8" t="e">
        <f>'Open Order'!#REF!</f>
        <v>#REF!</v>
      </c>
    </row>
    <row r="272" spans="1:12" ht="30.75" customHeight="1" thickBot="1" x14ac:dyDescent="0.25">
      <c r="A272" s="10" t="e">
        <f>'Open Order'!#REF!</f>
        <v>#REF!</v>
      </c>
      <c r="B272" s="6" t="e">
        <f>'Open Order'!#REF!</f>
        <v>#REF!</v>
      </c>
      <c r="C272" s="6" t="e">
        <f>'Open Order'!#REF!</f>
        <v>#REF!</v>
      </c>
      <c r="D272" s="8" t="e">
        <f>'Open Order'!#REF!</f>
        <v>#REF!</v>
      </c>
      <c r="E272" s="9" t="e">
        <f>'Open Order'!#REF!</f>
        <v>#REF!</v>
      </c>
      <c r="F272" s="14" t="e">
        <f>'Open Order'!#REF!</f>
        <v>#REF!</v>
      </c>
      <c r="L272" s="8" t="e">
        <f>'Open Order'!#REF!</f>
        <v>#REF!</v>
      </c>
    </row>
    <row r="273" spans="1:12" ht="30.75" customHeight="1" thickBot="1" x14ac:dyDescent="0.25">
      <c r="A273" s="10" t="e">
        <f>'Open Order'!#REF!</f>
        <v>#REF!</v>
      </c>
      <c r="B273" s="6" t="e">
        <f>'Open Order'!#REF!</f>
        <v>#REF!</v>
      </c>
      <c r="C273" s="6" t="e">
        <f>'Open Order'!#REF!</f>
        <v>#REF!</v>
      </c>
      <c r="D273" s="8" t="e">
        <f>'Open Order'!#REF!</f>
        <v>#REF!</v>
      </c>
      <c r="E273" s="9" t="e">
        <f>'Open Order'!#REF!</f>
        <v>#REF!</v>
      </c>
      <c r="F273" s="14" t="e">
        <f>'Open Order'!#REF!</f>
        <v>#REF!</v>
      </c>
      <c r="L273" s="8" t="e">
        <f>'Open Order'!#REF!</f>
        <v>#REF!</v>
      </c>
    </row>
    <row r="274" spans="1:12" ht="30.75" customHeight="1" thickBot="1" x14ac:dyDescent="0.25">
      <c r="A274" s="10" t="e">
        <f>'Open Order'!#REF!</f>
        <v>#REF!</v>
      </c>
      <c r="B274" s="6" t="e">
        <f>'Open Order'!#REF!</f>
        <v>#REF!</v>
      </c>
      <c r="C274" s="6" t="e">
        <f>'Open Order'!#REF!</f>
        <v>#REF!</v>
      </c>
      <c r="D274" s="8" t="e">
        <f>'Open Order'!#REF!</f>
        <v>#REF!</v>
      </c>
      <c r="E274" s="9" t="e">
        <f>'Open Order'!#REF!</f>
        <v>#REF!</v>
      </c>
      <c r="F274" s="14" t="e">
        <f>'Open Order'!#REF!</f>
        <v>#REF!</v>
      </c>
      <c r="L274" s="8" t="e">
        <f>'Open Order'!#REF!</f>
        <v>#REF!</v>
      </c>
    </row>
    <row r="275" spans="1:12" ht="30.75" customHeight="1" thickBot="1" x14ac:dyDescent="0.25">
      <c r="A275" s="10" t="e">
        <f>'Open Order'!#REF!</f>
        <v>#REF!</v>
      </c>
      <c r="B275" s="6" t="e">
        <f>'Open Order'!#REF!</f>
        <v>#REF!</v>
      </c>
      <c r="C275" s="6" t="e">
        <f>'Open Order'!#REF!</f>
        <v>#REF!</v>
      </c>
      <c r="D275" s="8" t="e">
        <f>'Open Order'!#REF!</f>
        <v>#REF!</v>
      </c>
      <c r="E275" s="9" t="e">
        <f>'Open Order'!#REF!</f>
        <v>#REF!</v>
      </c>
      <c r="F275" s="14" t="e">
        <f>'Open Order'!#REF!</f>
        <v>#REF!</v>
      </c>
      <c r="L275" s="8" t="e">
        <f>'Open Order'!#REF!</f>
        <v>#REF!</v>
      </c>
    </row>
    <row r="276" spans="1:12" ht="30.75" customHeight="1" thickBot="1" x14ac:dyDescent="0.25">
      <c r="A276" s="10" t="e">
        <f>'Open Order'!#REF!</f>
        <v>#REF!</v>
      </c>
      <c r="B276" s="6" t="e">
        <f>'Open Order'!#REF!</f>
        <v>#REF!</v>
      </c>
      <c r="C276" s="6" t="e">
        <f>'Open Order'!#REF!</f>
        <v>#REF!</v>
      </c>
      <c r="D276" s="8" t="e">
        <f>'Open Order'!#REF!</f>
        <v>#REF!</v>
      </c>
      <c r="E276" s="9" t="e">
        <f>'Open Order'!#REF!</f>
        <v>#REF!</v>
      </c>
      <c r="F276" s="14" t="e">
        <f>'Open Order'!#REF!</f>
        <v>#REF!</v>
      </c>
      <c r="L276" s="8" t="e">
        <f>'Open Order'!#REF!</f>
        <v>#REF!</v>
      </c>
    </row>
    <row r="277" spans="1:12" ht="30.75" customHeight="1" thickBot="1" x14ac:dyDescent="0.25">
      <c r="A277" s="10" t="e">
        <f>'Open Order'!#REF!</f>
        <v>#REF!</v>
      </c>
      <c r="B277" s="6" t="e">
        <f>'Open Order'!#REF!</f>
        <v>#REF!</v>
      </c>
      <c r="C277" s="6" t="e">
        <f>'Open Order'!#REF!</f>
        <v>#REF!</v>
      </c>
      <c r="D277" s="8" t="e">
        <f>'Open Order'!#REF!</f>
        <v>#REF!</v>
      </c>
      <c r="E277" s="9" t="e">
        <f>'Open Order'!#REF!</f>
        <v>#REF!</v>
      </c>
      <c r="F277" s="14" t="e">
        <f>'Open Order'!#REF!</f>
        <v>#REF!</v>
      </c>
      <c r="L277" s="8" t="e">
        <f>'Open Order'!#REF!</f>
        <v>#REF!</v>
      </c>
    </row>
    <row r="278" spans="1:12" ht="30.75" customHeight="1" thickBot="1" x14ac:dyDescent="0.25">
      <c r="A278" s="10" t="e">
        <f>'Open Order'!#REF!</f>
        <v>#REF!</v>
      </c>
      <c r="B278" s="6" t="e">
        <f>'Open Order'!#REF!</f>
        <v>#REF!</v>
      </c>
      <c r="C278" s="6" t="e">
        <f>'Open Order'!#REF!</f>
        <v>#REF!</v>
      </c>
      <c r="D278" s="8" t="e">
        <f>'Open Order'!#REF!</f>
        <v>#REF!</v>
      </c>
      <c r="E278" s="9" t="e">
        <f>'Open Order'!#REF!</f>
        <v>#REF!</v>
      </c>
      <c r="F278" s="14" t="e">
        <f>'Open Order'!#REF!</f>
        <v>#REF!</v>
      </c>
      <c r="L278" s="8" t="e">
        <f>'Open Order'!#REF!</f>
        <v>#REF!</v>
      </c>
    </row>
    <row r="279" spans="1:12" ht="30.75" customHeight="1" thickBot="1" x14ac:dyDescent="0.25">
      <c r="A279" s="10" t="e">
        <f>'Open Order'!#REF!</f>
        <v>#REF!</v>
      </c>
      <c r="B279" s="6" t="e">
        <f>'Open Order'!#REF!</f>
        <v>#REF!</v>
      </c>
      <c r="C279" s="6" t="e">
        <f>'Open Order'!#REF!</f>
        <v>#REF!</v>
      </c>
      <c r="D279" s="8" t="e">
        <f>'Open Order'!#REF!</f>
        <v>#REF!</v>
      </c>
      <c r="E279" s="9" t="e">
        <f>'Open Order'!#REF!</f>
        <v>#REF!</v>
      </c>
      <c r="F279" s="14" t="e">
        <f>'Open Order'!#REF!</f>
        <v>#REF!</v>
      </c>
      <c r="L279" s="8" t="e">
        <f>'Open Order'!#REF!</f>
        <v>#REF!</v>
      </c>
    </row>
    <row r="280" spans="1:12" ht="30.75" customHeight="1" thickBot="1" x14ac:dyDescent="0.25">
      <c r="A280" s="10" t="e">
        <f>'Open Order'!#REF!</f>
        <v>#REF!</v>
      </c>
      <c r="B280" s="6" t="e">
        <f>'Open Order'!#REF!</f>
        <v>#REF!</v>
      </c>
      <c r="C280" s="6" t="e">
        <f>'Open Order'!#REF!</f>
        <v>#REF!</v>
      </c>
      <c r="D280" s="8" t="e">
        <f>'Open Order'!#REF!</f>
        <v>#REF!</v>
      </c>
      <c r="E280" s="9" t="e">
        <f>'Open Order'!#REF!</f>
        <v>#REF!</v>
      </c>
      <c r="F280" s="14" t="e">
        <f>'Open Order'!#REF!</f>
        <v>#REF!</v>
      </c>
      <c r="L280" s="8" t="e">
        <f>'Open Order'!#REF!</f>
        <v>#REF!</v>
      </c>
    </row>
    <row r="281" spans="1:12" ht="30.75" customHeight="1" thickBot="1" x14ac:dyDescent="0.25">
      <c r="A281" s="10" t="e">
        <f>'Open Order'!#REF!</f>
        <v>#REF!</v>
      </c>
      <c r="B281" s="6" t="e">
        <f>'Open Order'!#REF!</f>
        <v>#REF!</v>
      </c>
      <c r="C281" s="6" t="e">
        <f>'Open Order'!#REF!</f>
        <v>#REF!</v>
      </c>
      <c r="D281" s="8" t="e">
        <f>'Open Order'!#REF!</f>
        <v>#REF!</v>
      </c>
      <c r="E281" s="9" t="e">
        <f>'Open Order'!#REF!</f>
        <v>#REF!</v>
      </c>
      <c r="F281" s="14" t="e">
        <f>'Open Order'!#REF!</f>
        <v>#REF!</v>
      </c>
      <c r="L281" s="8" t="e">
        <f>'Open Order'!#REF!</f>
        <v>#REF!</v>
      </c>
    </row>
    <row r="282" spans="1:12" ht="30.75" customHeight="1" thickBot="1" x14ac:dyDescent="0.25">
      <c r="A282" s="10" t="e">
        <f>'Open Order'!#REF!</f>
        <v>#REF!</v>
      </c>
      <c r="B282" s="6" t="e">
        <f>'Open Order'!#REF!</f>
        <v>#REF!</v>
      </c>
      <c r="C282" s="6" t="e">
        <f>'Open Order'!#REF!</f>
        <v>#REF!</v>
      </c>
      <c r="D282" s="8" t="e">
        <f>'Open Order'!#REF!</f>
        <v>#REF!</v>
      </c>
      <c r="E282" s="9" t="e">
        <f>'Open Order'!#REF!</f>
        <v>#REF!</v>
      </c>
      <c r="F282" s="14" t="e">
        <f>'Open Order'!#REF!</f>
        <v>#REF!</v>
      </c>
      <c r="L282" s="8" t="e">
        <f>'Open Order'!#REF!</f>
        <v>#REF!</v>
      </c>
    </row>
    <row r="283" spans="1:12" ht="30.75" customHeight="1" thickBot="1" x14ac:dyDescent="0.25">
      <c r="A283" s="10" t="e">
        <f>'Open Order'!#REF!</f>
        <v>#REF!</v>
      </c>
      <c r="B283" s="6" t="e">
        <f>'Open Order'!#REF!</f>
        <v>#REF!</v>
      </c>
      <c r="C283" s="6" t="e">
        <f>'Open Order'!#REF!</f>
        <v>#REF!</v>
      </c>
      <c r="D283" s="8" t="e">
        <f>'Open Order'!#REF!</f>
        <v>#REF!</v>
      </c>
      <c r="E283" s="9" t="e">
        <f>'Open Order'!#REF!</f>
        <v>#REF!</v>
      </c>
      <c r="F283" s="14" t="e">
        <f>'Open Order'!#REF!</f>
        <v>#REF!</v>
      </c>
      <c r="L283" s="8" t="e">
        <f>'Open Order'!#REF!</f>
        <v>#REF!</v>
      </c>
    </row>
    <row r="284" spans="1:12" ht="30.75" customHeight="1" thickBot="1" x14ac:dyDescent="0.25">
      <c r="A284" s="10" t="e">
        <f>'Open Order'!#REF!</f>
        <v>#REF!</v>
      </c>
      <c r="B284" s="6" t="e">
        <f>'Open Order'!#REF!</f>
        <v>#REF!</v>
      </c>
      <c r="C284" s="6" t="e">
        <f>'Open Order'!#REF!</f>
        <v>#REF!</v>
      </c>
      <c r="D284" s="8" t="e">
        <f>'Open Order'!#REF!</f>
        <v>#REF!</v>
      </c>
      <c r="E284" s="9" t="e">
        <f>'Open Order'!#REF!</f>
        <v>#REF!</v>
      </c>
      <c r="F284" s="14" t="e">
        <f>'Open Order'!#REF!</f>
        <v>#REF!</v>
      </c>
      <c r="L284" s="8" t="e">
        <f>'Open Order'!#REF!</f>
        <v>#REF!</v>
      </c>
    </row>
    <row r="285" spans="1:12" ht="30.75" customHeight="1" thickBot="1" x14ac:dyDescent="0.25">
      <c r="A285" s="10" t="e">
        <f>'Open Order'!#REF!</f>
        <v>#REF!</v>
      </c>
      <c r="B285" s="6" t="e">
        <f>'Open Order'!#REF!</f>
        <v>#REF!</v>
      </c>
      <c r="C285" s="6" t="e">
        <f>'Open Order'!#REF!</f>
        <v>#REF!</v>
      </c>
      <c r="D285" s="8" t="e">
        <f>'Open Order'!#REF!</f>
        <v>#REF!</v>
      </c>
      <c r="E285" s="9" t="e">
        <f>'Open Order'!#REF!</f>
        <v>#REF!</v>
      </c>
      <c r="F285" s="14" t="e">
        <f>'Open Order'!#REF!</f>
        <v>#REF!</v>
      </c>
      <c r="L285" s="8" t="e">
        <f>'Open Order'!#REF!</f>
        <v>#REF!</v>
      </c>
    </row>
    <row r="286" spans="1:12" ht="30.75" customHeight="1" thickBot="1" x14ac:dyDescent="0.25">
      <c r="A286" s="10" t="e">
        <f>'Open Order'!#REF!</f>
        <v>#REF!</v>
      </c>
      <c r="B286" s="6" t="e">
        <f>'Open Order'!#REF!</f>
        <v>#REF!</v>
      </c>
      <c r="C286" s="6" t="e">
        <f>'Open Order'!#REF!</f>
        <v>#REF!</v>
      </c>
      <c r="D286" s="8" t="e">
        <f>'Open Order'!#REF!</f>
        <v>#REF!</v>
      </c>
      <c r="E286" s="9" t="e">
        <f>'Open Order'!#REF!</f>
        <v>#REF!</v>
      </c>
      <c r="F286" s="14" t="e">
        <f>'Open Order'!#REF!</f>
        <v>#REF!</v>
      </c>
      <c r="L286" s="8" t="e">
        <f>'Open Order'!#REF!</f>
        <v>#REF!</v>
      </c>
    </row>
    <row r="287" spans="1:12" ht="30.75" customHeight="1" thickBot="1" x14ac:dyDescent="0.25">
      <c r="A287" s="10" t="e">
        <f>'Open Order'!#REF!</f>
        <v>#REF!</v>
      </c>
      <c r="B287" s="6" t="e">
        <f>'Open Order'!#REF!</f>
        <v>#REF!</v>
      </c>
      <c r="C287" s="6" t="e">
        <f>'Open Order'!#REF!</f>
        <v>#REF!</v>
      </c>
      <c r="D287" s="8" t="e">
        <f>'Open Order'!#REF!</f>
        <v>#REF!</v>
      </c>
      <c r="E287" s="9" t="e">
        <f>'Open Order'!#REF!</f>
        <v>#REF!</v>
      </c>
      <c r="F287" s="14" t="e">
        <f>'Open Order'!#REF!</f>
        <v>#REF!</v>
      </c>
      <c r="L287" s="8" t="e">
        <f>'Open Order'!#REF!</f>
        <v>#REF!</v>
      </c>
    </row>
    <row r="288" spans="1:12" ht="30.75" customHeight="1" thickBot="1" x14ac:dyDescent="0.25">
      <c r="A288" s="10" t="e">
        <f>'Open Order'!#REF!</f>
        <v>#REF!</v>
      </c>
      <c r="B288" s="6" t="e">
        <f>'Open Order'!#REF!</f>
        <v>#REF!</v>
      </c>
      <c r="C288" s="6" t="e">
        <f>'Open Order'!#REF!</f>
        <v>#REF!</v>
      </c>
      <c r="D288" s="8" t="e">
        <f>'Open Order'!#REF!</f>
        <v>#REF!</v>
      </c>
      <c r="E288" s="9" t="e">
        <f>'Open Order'!#REF!</f>
        <v>#REF!</v>
      </c>
      <c r="F288" s="14" t="e">
        <f>'Open Order'!#REF!</f>
        <v>#REF!</v>
      </c>
      <c r="L288" s="8" t="e">
        <f>'Open Order'!#REF!</f>
        <v>#REF!</v>
      </c>
    </row>
    <row r="289" spans="1:12" ht="30.75" customHeight="1" thickBot="1" x14ac:dyDescent="0.25">
      <c r="A289" s="10" t="e">
        <f>'Open Order'!#REF!</f>
        <v>#REF!</v>
      </c>
      <c r="B289" s="6" t="e">
        <f>'Open Order'!#REF!</f>
        <v>#REF!</v>
      </c>
      <c r="C289" s="6" t="e">
        <f>'Open Order'!#REF!</f>
        <v>#REF!</v>
      </c>
      <c r="D289" s="8" t="e">
        <f>'Open Order'!#REF!</f>
        <v>#REF!</v>
      </c>
      <c r="E289" s="9" t="e">
        <f>'Open Order'!#REF!</f>
        <v>#REF!</v>
      </c>
      <c r="F289" s="14" t="e">
        <f>'Open Order'!#REF!</f>
        <v>#REF!</v>
      </c>
      <c r="L289" s="8" t="e">
        <f>'Open Order'!#REF!</f>
        <v>#REF!</v>
      </c>
    </row>
    <row r="290" spans="1:12" ht="30.75" customHeight="1" thickBot="1" x14ac:dyDescent="0.25">
      <c r="A290" s="10"/>
      <c r="E290" s="9"/>
      <c r="F290" s="14"/>
    </row>
    <row r="291" spans="1:12" ht="30.75" customHeight="1" thickBot="1" x14ac:dyDescent="0.25">
      <c r="A291" s="10"/>
      <c r="E291" s="9"/>
      <c r="F291" s="14"/>
    </row>
    <row r="292" spans="1:12" ht="30.75" customHeight="1" thickBot="1" x14ac:dyDescent="0.25">
      <c r="A292" s="10"/>
      <c r="E292" s="9"/>
      <c r="F292" s="14"/>
    </row>
    <row r="293" spans="1:12" ht="30.75" customHeight="1" thickBot="1" x14ac:dyDescent="0.25">
      <c r="A293" s="10"/>
      <c r="E293" s="9"/>
      <c r="F293" s="14"/>
    </row>
    <row r="294" spans="1:12" ht="30.75" customHeight="1" thickBot="1" x14ac:dyDescent="0.25">
      <c r="A294" s="10"/>
      <c r="E294" s="9"/>
      <c r="F294" s="14"/>
    </row>
    <row r="295" spans="1:12" ht="30.75" customHeight="1" thickBot="1" x14ac:dyDescent="0.25">
      <c r="A295" s="10"/>
      <c r="E295" s="9"/>
      <c r="F295" s="14"/>
    </row>
    <row r="296" spans="1:12" ht="30.75" customHeight="1" thickBot="1" x14ac:dyDescent="0.25">
      <c r="A296" s="10"/>
      <c r="E296" s="9"/>
      <c r="F296" s="14"/>
    </row>
    <row r="297" spans="1:12" ht="30.75" customHeight="1" thickBot="1" x14ac:dyDescent="0.25">
      <c r="A297" s="10"/>
      <c r="E297" s="9"/>
      <c r="F297" s="14"/>
    </row>
    <row r="298" spans="1:12" ht="30.75" customHeight="1" thickBot="1" x14ac:dyDescent="0.25">
      <c r="A298" s="10"/>
      <c r="E298" s="9"/>
      <c r="F298" s="14"/>
    </row>
    <row r="299" spans="1:12" ht="30.75" customHeight="1" thickBot="1" x14ac:dyDescent="0.25">
      <c r="A299" s="10"/>
      <c r="E299" s="9"/>
      <c r="F299" s="14"/>
    </row>
    <row r="300" spans="1:12" ht="30.75" customHeight="1" thickBot="1" x14ac:dyDescent="0.25">
      <c r="A300" s="10"/>
      <c r="E300" s="9"/>
      <c r="F300" s="14"/>
    </row>
    <row r="301" spans="1:12" ht="30.75" customHeight="1" thickBot="1" x14ac:dyDescent="0.25">
      <c r="A301" s="10"/>
      <c r="E301" s="9"/>
      <c r="F301" s="14"/>
    </row>
    <row r="302" spans="1:12" ht="30.75" customHeight="1" thickBot="1" x14ac:dyDescent="0.25">
      <c r="A302" s="10"/>
      <c r="E302" s="9"/>
      <c r="F302" s="14"/>
    </row>
    <row r="303" spans="1:12" ht="30.75" customHeight="1" thickBot="1" x14ac:dyDescent="0.25">
      <c r="A303" s="10"/>
      <c r="E303" s="9"/>
      <c r="F303" s="14"/>
    </row>
    <row r="304" spans="1:12" ht="30.75" customHeight="1" thickBot="1" x14ac:dyDescent="0.25">
      <c r="A304" s="10"/>
      <c r="E304" s="9"/>
      <c r="F304" s="14"/>
    </row>
    <row r="305" spans="1:6" ht="30.75" customHeight="1" thickBot="1" x14ac:dyDescent="0.25">
      <c r="A305" s="10"/>
      <c r="E305" s="9"/>
      <c r="F305" s="14"/>
    </row>
    <row r="306" spans="1:6" ht="30.75" customHeight="1" thickBot="1" x14ac:dyDescent="0.25">
      <c r="A306" s="10"/>
      <c r="E306" s="9"/>
      <c r="F306" s="14"/>
    </row>
    <row r="307" spans="1:6" ht="30.75" customHeight="1" thickBot="1" x14ac:dyDescent="0.25">
      <c r="A307" s="10"/>
      <c r="E307" s="9"/>
      <c r="F307" s="14"/>
    </row>
    <row r="308" spans="1:6" ht="30.75" customHeight="1" thickBot="1" x14ac:dyDescent="0.25">
      <c r="A308" s="10"/>
      <c r="E308" s="9"/>
      <c r="F308" s="14"/>
    </row>
    <row r="309" spans="1:6" ht="30.75" customHeight="1" thickBot="1" x14ac:dyDescent="0.25">
      <c r="A309" s="10"/>
      <c r="E309" s="9"/>
      <c r="F309" s="14"/>
    </row>
    <row r="310" spans="1:6" ht="30.75" customHeight="1" thickBot="1" x14ac:dyDescent="0.25">
      <c r="A310" s="10"/>
      <c r="E310" s="9"/>
      <c r="F310" s="14"/>
    </row>
    <row r="311" spans="1:6" ht="30.75" customHeight="1" thickBot="1" x14ac:dyDescent="0.25">
      <c r="A311" s="10"/>
      <c r="E311" s="9"/>
      <c r="F311" s="14"/>
    </row>
    <row r="312" spans="1:6" ht="30.75" customHeight="1" thickBot="1" x14ac:dyDescent="0.25">
      <c r="A312" s="10"/>
      <c r="E312" s="9"/>
      <c r="F312" s="14"/>
    </row>
    <row r="313" spans="1:6" ht="30.75" customHeight="1" thickBot="1" x14ac:dyDescent="0.25">
      <c r="A313" s="10"/>
      <c r="E313" s="9"/>
      <c r="F313" s="14"/>
    </row>
    <row r="314" spans="1:6" ht="30.75" customHeight="1" thickBot="1" x14ac:dyDescent="0.25">
      <c r="A314" s="10"/>
      <c r="E314" s="9"/>
      <c r="F314" s="14"/>
    </row>
    <row r="315" spans="1:6" ht="30.75" customHeight="1" thickBot="1" x14ac:dyDescent="0.25">
      <c r="A315" s="10"/>
      <c r="E315" s="9"/>
      <c r="F315" s="14"/>
    </row>
    <row r="316" spans="1:6" ht="30.75" customHeight="1" thickBot="1" x14ac:dyDescent="0.25">
      <c r="A316" s="10"/>
      <c r="E316" s="9"/>
      <c r="F316" s="14"/>
    </row>
    <row r="317" spans="1:6" ht="30.75" customHeight="1" thickBot="1" x14ac:dyDescent="0.25">
      <c r="A317" s="10"/>
      <c r="E317" s="9"/>
      <c r="F317" s="14"/>
    </row>
    <row r="318" spans="1:6" ht="30.75" customHeight="1" thickBot="1" x14ac:dyDescent="0.25">
      <c r="A318" s="10"/>
      <c r="E318" s="9"/>
      <c r="F318" s="14"/>
    </row>
    <row r="319" spans="1:6" ht="30.75" customHeight="1" thickBot="1" x14ac:dyDescent="0.25">
      <c r="A319" s="10"/>
      <c r="E319" s="9"/>
      <c r="F319" s="14"/>
    </row>
    <row r="320" spans="1:6" ht="30.75" customHeight="1" thickBot="1" x14ac:dyDescent="0.25">
      <c r="A320" s="10"/>
      <c r="E320" s="9"/>
      <c r="F320" s="14"/>
    </row>
    <row r="321" spans="1:6" ht="30.75" customHeight="1" thickBot="1" x14ac:dyDescent="0.25">
      <c r="A321" s="10"/>
      <c r="E321" s="9"/>
      <c r="F321" s="14"/>
    </row>
    <row r="322" spans="1:6" ht="30.75" customHeight="1" thickBot="1" x14ac:dyDescent="0.25">
      <c r="A322" s="10"/>
      <c r="E322" s="9"/>
      <c r="F322" s="14"/>
    </row>
    <row r="323" spans="1:6" ht="30.75" customHeight="1" thickBot="1" x14ac:dyDescent="0.25">
      <c r="A323" s="10"/>
      <c r="E323" s="9"/>
      <c r="F323" s="14"/>
    </row>
    <row r="324" spans="1:6" ht="30.75" customHeight="1" thickBot="1" x14ac:dyDescent="0.25">
      <c r="A324" s="10"/>
      <c r="E324" s="9"/>
      <c r="F324" s="14"/>
    </row>
    <row r="325" spans="1:6" ht="30.75" customHeight="1" thickBot="1" x14ac:dyDescent="0.25">
      <c r="A325" s="10"/>
      <c r="E325" s="9"/>
      <c r="F325" s="14"/>
    </row>
    <row r="326" spans="1:6" ht="30.75" customHeight="1" thickBot="1" x14ac:dyDescent="0.25">
      <c r="A326" s="10"/>
      <c r="E326" s="9"/>
      <c r="F326" s="14"/>
    </row>
    <row r="327" spans="1:6" ht="30.75" customHeight="1" thickBot="1" x14ac:dyDescent="0.25">
      <c r="A327" s="10"/>
      <c r="E327" s="9"/>
      <c r="F327" s="14"/>
    </row>
    <row r="328" spans="1:6" ht="30.75" customHeight="1" thickBot="1" x14ac:dyDescent="0.25">
      <c r="A328" s="10"/>
      <c r="E328" s="9"/>
      <c r="F328" s="14"/>
    </row>
    <row r="329" spans="1:6" ht="30.75" customHeight="1" thickBot="1" x14ac:dyDescent="0.25">
      <c r="A329" s="10"/>
      <c r="E329" s="9"/>
      <c r="F329" s="14"/>
    </row>
    <row r="330" spans="1:6" ht="30.75" customHeight="1" thickBot="1" x14ac:dyDescent="0.25">
      <c r="A330" s="10"/>
      <c r="E330" s="9"/>
      <c r="F330" s="14"/>
    </row>
    <row r="331" spans="1:6" ht="30.75" customHeight="1" thickBot="1" x14ac:dyDescent="0.25">
      <c r="A331" s="10"/>
      <c r="E331" s="9"/>
      <c r="F331" s="14"/>
    </row>
    <row r="332" spans="1:6" ht="30.75" customHeight="1" thickBot="1" x14ac:dyDescent="0.25">
      <c r="A332" s="10"/>
      <c r="E332" s="9"/>
      <c r="F332" s="14"/>
    </row>
    <row r="333" spans="1:6" ht="30.75" customHeight="1" thickBot="1" x14ac:dyDescent="0.25">
      <c r="A333" s="10"/>
      <c r="E333" s="9"/>
      <c r="F333" s="14"/>
    </row>
    <row r="334" spans="1:6" ht="30.75" customHeight="1" thickBot="1" x14ac:dyDescent="0.25">
      <c r="A334" s="10"/>
      <c r="E334" s="9"/>
      <c r="F334" s="14"/>
    </row>
    <row r="335" spans="1:6" ht="30.75" customHeight="1" thickBot="1" x14ac:dyDescent="0.25">
      <c r="A335" s="10"/>
      <c r="E335" s="9"/>
      <c r="F335" s="14"/>
    </row>
    <row r="336" spans="1:6" ht="30.75" customHeight="1" thickBot="1" x14ac:dyDescent="0.25">
      <c r="A336" s="10"/>
      <c r="E336" s="9"/>
      <c r="F336" s="14"/>
    </row>
    <row r="337" spans="1:6" ht="30.75" customHeight="1" thickBot="1" x14ac:dyDescent="0.25">
      <c r="A337" s="10"/>
      <c r="E337" s="9"/>
      <c r="F337" s="14"/>
    </row>
    <row r="338" spans="1:6" ht="30.75" customHeight="1" thickBot="1" x14ac:dyDescent="0.25">
      <c r="A338" s="10"/>
      <c r="E338" s="9"/>
      <c r="F338" s="14"/>
    </row>
    <row r="339" spans="1:6" ht="30.75" customHeight="1" thickBot="1" x14ac:dyDescent="0.25">
      <c r="A339" s="10"/>
      <c r="E339" s="9"/>
      <c r="F339" s="14"/>
    </row>
    <row r="340" spans="1:6" ht="30.75" customHeight="1" thickBot="1" x14ac:dyDescent="0.25">
      <c r="A340" s="10"/>
      <c r="E340" s="9"/>
      <c r="F340" s="14"/>
    </row>
    <row r="341" spans="1:6" ht="30.75" customHeight="1" thickBot="1" x14ac:dyDescent="0.25">
      <c r="A341" s="10"/>
      <c r="E341" s="9"/>
      <c r="F341" s="14"/>
    </row>
    <row r="342" spans="1:6" ht="30.75" customHeight="1" thickBot="1" x14ac:dyDescent="0.25">
      <c r="A342" s="10"/>
      <c r="E342" s="9"/>
      <c r="F342" s="14"/>
    </row>
    <row r="343" spans="1:6" ht="30.75" customHeight="1" thickBot="1" x14ac:dyDescent="0.25">
      <c r="A343" s="10"/>
      <c r="E343" s="9"/>
      <c r="F343" s="14"/>
    </row>
    <row r="344" spans="1:6" ht="30.75" customHeight="1" thickBot="1" x14ac:dyDescent="0.25">
      <c r="A344" s="10"/>
      <c r="E344" s="9"/>
      <c r="F344" s="14"/>
    </row>
    <row r="345" spans="1:6" ht="30.75" customHeight="1" thickBot="1" x14ac:dyDescent="0.25">
      <c r="A345" s="10"/>
      <c r="E345" s="9"/>
      <c r="F345" s="14"/>
    </row>
    <row r="346" spans="1:6" ht="30.75" customHeight="1" thickBot="1" x14ac:dyDescent="0.25">
      <c r="A346" s="10"/>
      <c r="E346" s="9"/>
      <c r="F346" s="14"/>
    </row>
    <row r="347" spans="1:6" ht="30.75" customHeight="1" thickBot="1" x14ac:dyDescent="0.25">
      <c r="A347" s="10"/>
      <c r="E347" s="9"/>
      <c r="F347" s="14"/>
    </row>
    <row r="348" spans="1:6" ht="30.75" customHeight="1" thickBot="1" x14ac:dyDescent="0.25">
      <c r="A348" s="10"/>
      <c r="E348" s="9"/>
      <c r="F348" s="14"/>
    </row>
    <row r="349" spans="1:6" ht="30.75" customHeight="1" thickBot="1" x14ac:dyDescent="0.25">
      <c r="A349" s="10"/>
      <c r="E349" s="9"/>
      <c r="F349" s="14"/>
    </row>
    <row r="350" spans="1:6" ht="30.75" customHeight="1" thickBot="1" x14ac:dyDescent="0.25">
      <c r="A350" s="10"/>
      <c r="E350" s="9"/>
      <c r="F350" s="14"/>
    </row>
    <row r="351" spans="1:6" ht="30.75" customHeight="1" thickBot="1" x14ac:dyDescent="0.25">
      <c r="A351" s="10"/>
      <c r="E351" s="9"/>
      <c r="F351" s="14"/>
    </row>
    <row r="352" spans="1:6" ht="30.75" customHeight="1" thickBot="1" x14ac:dyDescent="0.25">
      <c r="A352" s="10"/>
      <c r="E352" s="9"/>
      <c r="F352" s="14"/>
    </row>
    <row r="353" spans="1:6" ht="30.75" customHeight="1" thickBot="1" x14ac:dyDescent="0.25">
      <c r="A353" s="10"/>
      <c r="E353" s="9"/>
      <c r="F353" s="14"/>
    </row>
    <row r="354" spans="1:6" ht="30.75" customHeight="1" thickBot="1" x14ac:dyDescent="0.25">
      <c r="A354" s="10"/>
      <c r="E354" s="9"/>
      <c r="F354" s="14"/>
    </row>
    <row r="355" spans="1:6" ht="30.75" customHeight="1" thickBot="1" x14ac:dyDescent="0.25">
      <c r="A355" s="10"/>
      <c r="E355" s="9"/>
      <c r="F355" s="14"/>
    </row>
    <row r="356" spans="1:6" ht="30.75" customHeight="1" thickBot="1" x14ac:dyDescent="0.25">
      <c r="A356" s="10"/>
      <c r="E356" s="9"/>
      <c r="F356" s="14"/>
    </row>
    <row r="357" spans="1:6" ht="30.75" customHeight="1" thickBot="1" x14ac:dyDescent="0.25">
      <c r="A357" s="10"/>
      <c r="E357" s="9"/>
      <c r="F357" s="14"/>
    </row>
    <row r="358" spans="1:6" ht="30.75" customHeight="1" thickBot="1" x14ac:dyDescent="0.25">
      <c r="A358" s="10"/>
      <c r="E358" s="9"/>
      <c r="F358" s="14"/>
    </row>
    <row r="359" spans="1:6" ht="30.75" customHeight="1" thickBot="1" x14ac:dyDescent="0.25">
      <c r="A359" s="10"/>
      <c r="E359" s="9"/>
      <c r="F359" s="14"/>
    </row>
    <row r="360" spans="1:6" ht="30.75" customHeight="1" thickBot="1" x14ac:dyDescent="0.25">
      <c r="A360" s="10"/>
      <c r="E360" s="9"/>
      <c r="F360" s="14"/>
    </row>
    <row r="361" spans="1:6" ht="30.75" customHeight="1" thickBot="1" x14ac:dyDescent="0.25">
      <c r="A361" s="10"/>
      <c r="E361" s="9"/>
      <c r="F361" s="14"/>
    </row>
    <row r="362" spans="1:6" ht="30.75" customHeight="1" thickBot="1" x14ac:dyDescent="0.25">
      <c r="A362" s="10"/>
      <c r="E362" s="9"/>
      <c r="F362" s="14"/>
    </row>
    <row r="363" spans="1:6" ht="30.75" customHeight="1" thickBot="1" x14ac:dyDescent="0.25">
      <c r="A363" s="10"/>
      <c r="E363" s="9"/>
      <c r="F363" s="14"/>
    </row>
    <row r="364" spans="1:6" ht="30.75" customHeight="1" thickBot="1" x14ac:dyDescent="0.25">
      <c r="A364" s="10"/>
      <c r="E364" s="9"/>
      <c r="F364" s="14"/>
    </row>
    <row r="365" spans="1:6" ht="30.75" customHeight="1" thickBot="1" x14ac:dyDescent="0.25">
      <c r="A365" s="10"/>
      <c r="E365" s="9"/>
      <c r="F365" s="14"/>
    </row>
    <row r="366" spans="1:6" ht="30.75" customHeight="1" thickBot="1" x14ac:dyDescent="0.25">
      <c r="A366" s="10"/>
      <c r="E366" s="9"/>
      <c r="F366" s="14"/>
    </row>
    <row r="367" spans="1:6" ht="30.75" customHeight="1" thickBot="1" x14ac:dyDescent="0.25">
      <c r="A367" s="10"/>
      <c r="E367" s="9"/>
      <c r="F367" s="14"/>
    </row>
    <row r="368" spans="1:6" ht="30.75" customHeight="1" thickBot="1" x14ac:dyDescent="0.25">
      <c r="A368" s="10"/>
      <c r="E368" s="9"/>
      <c r="F368" s="14"/>
    </row>
    <row r="369" spans="1:6" ht="30.75" customHeight="1" thickBot="1" x14ac:dyDescent="0.25">
      <c r="A369" s="10"/>
      <c r="E369" s="9"/>
      <c r="F369" s="14"/>
    </row>
    <row r="370" spans="1:6" ht="30.75" customHeight="1" thickBot="1" x14ac:dyDescent="0.25">
      <c r="A370" s="10"/>
      <c r="E370" s="9"/>
      <c r="F370" s="14"/>
    </row>
    <row r="371" spans="1:6" ht="30.75" customHeight="1" thickBot="1" x14ac:dyDescent="0.25">
      <c r="A371" s="10"/>
      <c r="E371" s="9"/>
      <c r="F371" s="14"/>
    </row>
    <row r="372" spans="1:6" ht="30.75" customHeight="1" thickBot="1" x14ac:dyDescent="0.25">
      <c r="A372" s="10"/>
      <c r="E372" s="9"/>
      <c r="F372" s="14"/>
    </row>
    <row r="373" spans="1:6" ht="30.75" customHeight="1" thickBot="1" x14ac:dyDescent="0.25">
      <c r="A373" s="10"/>
      <c r="E373" s="9"/>
      <c r="F373" s="14"/>
    </row>
    <row r="374" spans="1:6" ht="30.75" customHeight="1" thickBot="1" x14ac:dyDescent="0.25">
      <c r="A374" s="10"/>
      <c r="E374" s="9"/>
      <c r="F374" s="14"/>
    </row>
    <row r="375" spans="1:6" ht="30.75" customHeight="1" thickBot="1" x14ac:dyDescent="0.25">
      <c r="A375" s="10"/>
      <c r="E375" s="9"/>
      <c r="F375" s="14"/>
    </row>
    <row r="376" spans="1:6" ht="30.75" customHeight="1" thickBot="1" x14ac:dyDescent="0.25">
      <c r="A376" s="10"/>
      <c r="E376" s="9"/>
      <c r="F376" s="14"/>
    </row>
    <row r="377" spans="1:6" ht="30.75" customHeight="1" thickBot="1" x14ac:dyDescent="0.25">
      <c r="A377" s="10"/>
      <c r="E377" s="9"/>
      <c r="F377" s="14"/>
    </row>
    <row r="378" spans="1:6" ht="30.75" customHeight="1" thickBot="1" x14ac:dyDescent="0.25">
      <c r="A378" s="10"/>
      <c r="E378" s="9"/>
      <c r="F378" s="14"/>
    </row>
    <row r="379" spans="1:6" ht="30.75" customHeight="1" thickBot="1" x14ac:dyDescent="0.25">
      <c r="A379" s="10"/>
      <c r="E379" s="9"/>
      <c r="F379" s="14"/>
    </row>
    <row r="380" spans="1:6" ht="30.75" customHeight="1" thickBot="1" x14ac:dyDescent="0.25">
      <c r="A380" s="10"/>
      <c r="E380" s="9"/>
      <c r="F380" s="14"/>
    </row>
    <row r="381" spans="1:6" ht="30.75" customHeight="1" thickBot="1" x14ac:dyDescent="0.25">
      <c r="A381" s="10"/>
      <c r="E381" s="9"/>
      <c r="F381" s="14"/>
    </row>
    <row r="382" spans="1:6" ht="30.75" customHeight="1" thickBot="1" x14ac:dyDescent="0.25">
      <c r="A382" s="10"/>
      <c r="E382" s="9"/>
      <c r="F382" s="14"/>
    </row>
    <row r="383" spans="1:6" ht="30.75" customHeight="1" thickBot="1" x14ac:dyDescent="0.25">
      <c r="A383" s="10"/>
      <c r="E383" s="9"/>
      <c r="F383" s="14"/>
    </row>
    <row r="384" spans="1:6" ht="30.75" customHeight="1" thickBot="1" x14ac:dyDescent="0.25">
      <c r="A384" s="10"/>
      <c r="E384" s="9"/>
      <c r="F384" s="14"/>
    </row>
    <row r="385" spans="1:6" ht="30.75" customHeight="1" thickBot="1" x14ac:dyDescent="0.25">
      <c r="A385" s="10"/>
      <c r="E385" s="9"/>
      <c r="F385" s="14"/>
    </row>
    <row r="386" spans="1:6" ht="30.75" customHeight="1" thickBot="1" x14ac:dyDescent="0.25">
      <c r="A386" s="10"/>
      <c r="E386" s="9"/>
      <c r="F386" s="14"/>
    </row>
    <row r="387" spans="1:6" ht="30.75" customHeight="1" thickBot="1" x14ac:dyDescent="0.25">
      <c r="A387" s="10"/>
      <c r="E387" s="9"/>
      <c r="F387" s="14"/>
    </row>
    <row r="388" spans="1:6" ht="30.75" customHeight="1" thickBot="1" x14ac:dyDescent="0.25">
      <c r="A388" s="10"/>
      <c r="E388" s="9"/>
      <c r="F388" s="14"/>
    </row>
    <row r="389" spans="1:6" ht="30.75" customHeight="1" thickBot="1" x14ac:dyDescent="0.25">
      <c r="A389" s="10"/>
      <c r="E389" s="9"/>
      <c r="F389" s="14"/>
    </row>
    <row r="390" spans="1:6" ht="30.75" customHeight="1" thickBot="1" x14ac:dyDescent="0.25">
      <c r="A390" s="10"/>
      <c r="E390" s="9"/>
      <c r="F390" s="14"/>
    </row>
    <row r="391" spans="1:6" ht="30.75" customHeight="1" thickBot="1" x14ac:dyDescent="0.25">
      <c r="A391" s="10"/>
      <c r="E391" s="9"/>
      <c r="F391" s="14"/>
    </row>
    <row r="392" spans="1:6" ht="30.75" customHeight="1" thickBot="1" x14ac:dyDescent="0.25">
      <c r="A392" s="10"/>
      <c r="E392" s="9"/>
      <c r="F392" s="14"/>
    </row>
    <row r="393" spans="1:6" ht="30.75" customHeight="1" thickBot="1" x14ac:dyDescent="0.25">
      <c r="A393" s="10"/>
      <c r="E393" s="9"/>
      <c r="F393" s="14"/>
    </row>
    <row r="394" spans="1:6" ht="30.75" customHeight="1" thickBot="1" x14ac:dyDescent="0.25">
      <c r="A394" s="10"/>
      <c r="E394" s="9"/>
      <c r="F394" s="14"/>
    </row>
    <row r="395" spans="1:6" ht="30.75" customHeight="1" thickBot="1" x14ac:dyDescent="0.25">
      <c r="A395" s="10"/>
      <c r="E395" s="9"/>
      <c r="F395" s="14"/>
    </row>
    <row r="396" spans="1:6" ht="30.75" customHeight="1" thickBot="1" x14ac:dyDescent="0.25">
      <c r="A396" s="10"/>
      <c r="E396" s="9"/>
      <c r="F396" s="14"/>
    </row>
    <row r="397" spans="1:6" ht="30.75" customHeight="1" thickBot="1" x14ac:dyDescent="0.25">
      <c r="A397" s="10"/>
      <c r="E397" s="9"/>
      <c r="F397" s="14"/>
    </row>
    <row r="398" spans="1:6" ht="30.75" customHeight="1" thickBot="1" x14ac:dyDescent="0.25">
      <c r="A398" s="10"/>
      <c r="E398" s="9"/>
      <c r="F398" s="14"/>
    </row>
    <row r="399" spans="1:6" ht="30.75" customHeight="1" thickBot="1" x14ac:dyDescent="0.25">
      <c r="A399" s="10"/>
      <c r="E399" s="9"/>
      <c r="F399" s="14"/>
    </row>
    <row r="400" spans="1:6" ht="30.75" customHeight="1" thickBot="1" x14ac:dyDescent="0.25">
      <c r="A400" s="10"/>
      <c r="E400" s="9"/>
      <c r="F400" s="14"/>
    </row>
    <row r="401" spans="1:6" ht="30.75" customHeight="1" thickBot="1" x14ac:dyDescent="0.25">
      <c r="A401" s="10"/>
      <c r="E401" s="9"/>
      <c r="F401" s="14"/>
    </row>
    <row r="402" spans="1:6" ht="30.75" customHeight="1" thickBot="1" x14ac:dyDescent="0.25">
      <c r="A402" s="10"/>
      <c r="E402" s="9"/>
      <c r="F402" s="14"/>
    </row>
    <row r="403" spans="1:6" ht="30.75" customHeight="1" thickBot="1" x14ac:dyDescent="0.25">
      <c r="A403" s="10"/>
      <c r="E403" s="9"/>
      <c r="F403" s="14"/>
    </row>
    <row r="404" spans="1:6" ht="30.75" customHeight="1" thickBot="1" x14ac:dyDescent="0.25">
      <c r="A404" s="10"/>
      <c r="E404" s="9"/>
      <c r="F404" s="14"/>
    </row>
    <row r="405" spans="1:6" ht="30.75" customHeight="1" thickBot="1" x14ac:dyDescent="0.25">
      <c r="A405" s="10"/>
      <c r="E405" s="9"/>
      <c r="F405" s="14"/>
    </row>
    <row r="406" spans="1:6" ht="30.75" customHeight="1" thickBot="1" x14ac:dyDescent="0.25">
      <c r="A406" s="10"/>
      <c r="E406" s="9"/>
      <c r="F406" s="14"/>
    </row>
    <row r="407" spans="1:6" ht="30.75" customHeight="1" thickBot="1" x14ac:dyDescent="0.25">
      <c r="A407" s="10"/>
      <c r="E407" s="9"/>
      <c r="F407" s="14"/>
    </row>
    <row r="408" spans="1:6" ht="30.75" customHeight="1" thickBot="1" x14ac:dyDescent="0.25">
      <c r="A408" s="10"/>
      <c r="E408" s="9"/>
      <c r="F408" s="14"/>
    </row>
    <row r="409" spans="1:6" ht="30.75" customHeight="1" thickBot="1" x14ac:dyDescent="0.25">
      <c r="A409" s="10"/>
      <c r="E409" s="9"/>
      <c r="F409" s="14"/>
    </row>
    <row r="410" spans="1:6" ht="30.75" customHeight="1" thickBot="1" x14ac:dyDescent="0.25">
      <c r="A410" s="10"/>
      <c r="E410" s="9"/>
      <c r="F410" s="14"/>
    </row>
    <row r="411" spans="1:6" ht="30.75" customHeight="1" thickBot="1" x14ac:dyDescent="0.25">
      <c r="A411" s="10"/>
      <c r="E411" s="9"/>
      <c r="F411" s="14"/>
    </row>
    <row r="412" spans="1:6" ht="30.75" customHeight="1" thickBot="1" x14ac:dyDescent="0.25">
      <c r="A412" s="10"/>
      <c r="E412" s="9"/>
      <c r="F412" s="14"/>
    </row>
    <row r="413" spans="1:6" ht="30.75" customHeight="1" thickBot="1" x14ac:dyDescent="0.25">
      <c r="A413" s="10"/>
      <c r="E413" s="9"/>
      <c r="F413" s="14"/>
    </row>
    <row r="414" spans="1:6" ht="30.75" customHeight="1" thickBot="1" x14ac:dyDescent="0.25">
      <c r="A414" s="10"/>
      <c r="E414" s="9"/>
      <c r="F414" s="14"/>
    </row>
    <row r="415" spans="1:6" ht="30.75" customHeight="1" thickBot="1" x14ac:dyDescent="0.25">
      <c r="A415" s="10"/>
      <c r="E415" s="9"/>
      <c r="F415" s="14"/>
    </row>
    <row r="416" spans="1:6" ht="30.75" customHeight="1" thickBot="1" x14ac:dyDescent="0.25">
      <c r="A416" s="10"/>
      <c r="E416" s="9"/>
      <c r="F416" s="14"/>
    </row>
    <row r="417" spans="1:6" ht="30.75" customHeight="1" thickBot="1" x14ac:dyDescent="0.25">
      <c r="A417" s="10"/>
      <c r="E417" s="9"/>
      <c r="F417" s="14"/>
    </row>
    <row r="418" spans="1:6" ht="30.75" customHeight="1" thickBot="1" x14ac:dyDescent="0.25">
      <c r="A418" s="10"/>
      <c r="E418" s="9"/>
      <c r="F418" s="14"/>
    </row>
    <row r="419" spans="1:6" ht="30.75" customHeight="1" thickBot="1" x14ac:dyDescent="0.25">
      <c r="A419" s="10"/>
      <c r="E419" s="9"/>
      <c r="F419" s="14"/>
    </row>
    <row r="420" spans="1:6" ht="30.75" customHeight="1" thickBot="1" x14ac:dyDescent="0.25">
      <c r="A420" s="10"/>
      <c r="E420" s="9"/>
      <c r="F420" s="14"/>
    </row>
    <row r="421" spans="1:6" ht="30.75" customHeight="1" thickBot="1" x14ac:dyDescent="0.25">
      <c r="A421" s="10"/>
      <c r="E421" s="9"/>
      <c r="F421" s="14"/>
    </row>
    <row r="422" spans="1:6" ht="30.75" customHeight="1" thickBot="1" x14ac:dyDescent="0.25">
      <c r="A422" s="10"/>
      <c r="E422" s="9"/>
      <c r="F422" s="14"/>
    </row>
    <row r="423" spans="1:6" ht="30.75" customHeight="1" thickBot="1" x14ac:dyDescent="0.25">
      <c r="A423" s="10"/>
      <c r="E423" s="9"/>
      <c r="F423" s="14"/>
    </row>
    <row r="424" spans="1:6" ht="30.75" customHeight="1" thickBot="1" x14ac:dyDescent="0.25">
      <c r="A424" s="10"/>
      <c r="E424" s="9"/>
      <c r="F424" s="14"/>
    </row>
    <row r="425" spans="1:6" ht="30.75" customHeight="1" thickBot="1" x14ac:dyDescent="0.25">
      <c r="A425" s="10"/>
      <c r="E425" s="9"/>
      <c r="F425" s="14"/>
    </row>
    <row r="426" spans="1:6" ht="30.75" customHeight="1" thickBot="1" x14ac:dyDescent="0.25">
      <c r="A426" s="10"/>
      <c r="E426" s="9"/>
      <c r="F426" s="14"/>
    </row>
    <row r="427" spans="1:6" ht="30.75" customHeight="1" thickBot="1" x14ac:dyDescent="0.25">
      <c r="A427" s="10"/>
      <c r="E427" s="9"/>
      <c r="F427" s="14"/>
    </row>
    <row r="428" spans="1:6" ht="30.75" customHeight="1" thickBot="1" x14ac:dyDescent="0.25">
      <c r="A428" s="10"/>
      <c r="E428" s="9"/>
      <c r="F428" s="14"/>
    </row>
    <row r="429" spans="1:6" ht="30.75" customHeight="1" thickBot="1" x14ac:dyDescent="0.25">
      <c r="A429" s="10"/>
      <c r="E429" s="9"/>
      <c r="F429" s="14"/>
    </row>
    <row r="430" spans="1:6" ht="30.75" customHeight="1" thickBot="1" x14ac:dyDescent="0.25">
      <c r="A430" s="10"/>
      <c r="E430" s="9"/>
      <c r="F430" s="14"/>
    </row>
    <row r="431" spans="1:6" ht="30.75" customHeight="1" thickBot="1" x14ac:dyDescent="0.25">
      <c r="A431" s="10"/>
      <c r="E431" s="9"/>
      <c r="F431" s="14"/>
    </row>
    <row r="432" spans="1:6" ht="30.75" customHeight="1" thickBot="1" x14ac:dyDescent="0.25">
      <c r="A432" s="10"/>
      <c r="E432" s="9"/>
      <c r="F432" s="14"/>
    </row>
    <row r="433" spans="1:6" ht="30.75" customHeight="1" thickBot="1" x14ac:dyDescent="0.25">
      <c r="A433" s="10"/>
      <c r="E433" s="9"/>
      <c r="F433" s="14"/>
    </row>
    <row r="434" spans="1:6" ht="30.75" customHeight="1" thickBot="1" x14ac:dyDescent="0.25">
      <c r="A434" s="10"/>
      <c r="E434" s="9"/>
      <c r="F434" s="14"/>
    </row>
    <row r="435" spans="1:6" ht="30.75" customHeight="1" thickBot="1" x14ac:dyDescent="0.25">
      <c r="A435" s="10"/>
      <c r="E435" s="9"/>
      <c r="F435" s="14"/>
    </row>
    <row r="436" spans="1:6" ht="30.75" customHeight="1" thickBot="1" x14ac:dyDescent="0.25">
      <c r="A436" s="10"/>
      <c r="E436" s="9"/>
      <c r="F436" s="14"/>
    </row>
    <row r="437" spans="1:6" ht="30.75" customHeight="1" thickBot="1" x14ac:dyDescent="0.25">
      <c r="A437" s="10"/>
      <c r="E437" s="9"/>
      <c r="F437" s="14"/>
    </row>
    <row r="438" spans="1:6" ht="30.75" customHeight="1" thickBot="1" x14ac:dyDescent="0.25">
      <c r="A438" s="10"/>
      <c r="E438" s="9"/>
      <c r="F438" s="14"/>
    </row>
    <row r="439" spans="1:6" ht="30.75" customHeight="1" thickBot="1" x14ac:dyDescent="0.25">
      <c r="A439" s="10"/>
      <c r="E439" s="9"/>
      <c r="F439" s="14"/>
    </row>
    <row r="440" spans="1:6" ht="30.75" customHeight="1" thickBot="1" x14ac:dyDescent="0.25">
      <c r="A440" s="10"/>
      <c r="E440" s="9"/>
      <c r="F440" s="14"/>
    </row>
    <row r="441" spans="1:6" ht="30.75" customHeight="1" thickBot="1" x14ac:dyDescent="0.25">
      <c r="A441" s="10"/>
      <c r="E441" s="9"/>
      <c r="F441" s="14"/>
    </row>
    <row r="442" spans="1:6" ht="30.75" customHeight="1" thickBot="1" x14ac:dyDescent="0.25">
      <c r="A442" s="10"/>
      <c r="E442" s="9"/>
      <c r="F442" s="14"/>
    </row>
    <row r="443" spans="1:6" ht="30.75" customHeight="1" thickBot="1" x14ac:dyDescent="0.25">
      <c r="A443" s="10"/>
      <c r="E443" s="9"/>
      <c r="F443" s="14"/>
    </row>
    <row r="444" spans="1:6" ht="30.75" customHeight="1" thickBot="1" x14ac:dyDescent="0.25">
      <c r="A444" s="10"/>
      <c r="E444" s="9"/>
      <c r="F444" s="14"/>
    </row>
    <row r="445" spans="1:6" ht="30.75" customHeight="1" thickBot="1" x14ac:dyDescent="0.25">
      <c r="A445" s="10"/>
      <c r="E445" s="9"/>
      <c r="F445" s="14"/>
    </row>
    <row r="446" spans="1:6" ht="30.75" customHeight="1" thickBot="1" x14ac:dyDescent="0.25">
      <c r="A446" s="10"/>
      <c r="E446" s="9"/>
      <c r="F446" s="14"/>
    </row>
    <row r="447" spans="1:6" ht="30.75" customHeight="1" thickBot="1" x14ac:dyDescent="0.25">
      <c r="A447" s="10"/>
      <c r="E447" s="9"/>
      <c r="F447" s="14"/>
    </row>
    <row r="448" spans="1:6" ht="30.75" customHeight="1" thickBot="1" x14ac:dyDescent="0.25">
      <c r="A448" s="10"/>
      <c r="E448" s="9"/>
      <c r="F448" s="14"/>
    </row>
    <row r="449" spans="1:6" ht="30.75" customHeight="1" thickBot="1" x14ac:dyDescent="0.25">
      <c r="A449" s="10"/>
      <c r="E449" s="9"/>
      <c r="F449" s="14"/>
    </row>
    <row r="450" spans="1:6" ht="30.75" customHeight="1" thickBot="1" x14ac:dyDescent="0.25">
      <c r="A450" s="10"/>
      <c r="E450" s="9"/>
      <c r="F450" s="14"/>
    </row>
    <row r="451" spans="1:6" ht="30.75" customHeight="1" thickBot="1" x14ac:dyDescent="0.25">
      <c r="A451" s="10"/>
      <c r="E451" s="9"/>
      <c r="F451" s="14"/>
    </row>
    <row r="452" spans="1:6" ht="30.75" customHeight="1" thickBot="1" x14ac:dyDescent="0.25">
      <c r="A452" s="10"/>
      <c r="E452" s="9"/>
      <c r="F452" s="14"/>
    </row>
    <row r="453" spans="1:6" ht="30.75" customHeight="1" thickBot="1" x14ac:dyDescent="0.25">
      <c r="A453" s="10"/>
      <c r="E453" s="9"/>
      <c r="F453" s="14"/>
    </row>
    <row r="454" spans="1:6" ht="30.75" customHeight="1" thickBot="1" x14ac:dyDescent="0.25">
      <c r="A454" s="10"/>
      <c r="E454" s="9"/>
      <c r="F454" s="14"/>
    </row>
    <row r="455" spans="1:6" ht="30.75" customHeight="1" thickBot="1" x14ac:dyDescent="0.25">
      <c r="A455" s="10"/>
      <c r="E455" s="9"/>
      <c r="F455" s="14"/>
    </row>
    <row r="456" spans="1:6" ht="30.75" customHeight="1" thickBot="1" x14ac:dyDescent="0.25">
      <c r="A456" s="10"/>
      <c r="E456" s="9"/>
      <c r="F456" s="14"/>
    </row>
    <row r="457" spans="1:6" ht="30.75" customHeight="1" thickBot="1" x14ac:dyDescent="0.25">
      <c r="A457" s="10"/>
      <c r="E457" s="9"/>
      <c r="F457" s="14"/>
    </row>
    <row r="458" spans="1:6" ht="30.75" customHeight="1" thickBot="1" x14ac:dyDescent="0.25">
      <c r="A458" s="10"/>
      <c r="E458" s="9"/>
      <c r="F458" s="14"/>
    </row>
    <row r="459" spans="1:6" ht="30.75" customHeight="1" thickBot="1" x14ac:dyDescent="0.25">
      <c r="A459" s="10"/>
      <c r="E459" s="9"/>
      <c r="F459" s="14"/>
    </row>
    <row r="460" spans="1:6" ht="30.75" customHeight="1" thickBot="1" x14ac:dyDescent="0.25">
      <c r="A460" s="10"/>
      <c r="E460" s="9"/>
      <c r="F460" s="14"/>
    </row>
    <row r="461" spans="1:6" ht="30.75" customHeight="1" thickBot="1" x14ac:dyDescent="0.25">
      <c r="A461" s="10"/>
      <c r="E461" s="9"/>
      <c r="F461" s="14"/>
    </row>
    <row r="462" spans="1:6" ht="30.75" customHeight="1" thickBot="1" x14ac:dyDescent="0.25">
      <c r="A462" s="10"/>
      <c r="E462" s="9"/>
      <c r="F462" s="14"/>
    </row>
    <row r="463" spans="1:6" ht="30.75" customHeight="1" thickBot="1" x14ac:dyDescent="0.25">
      <c r="A463" s="10"/>
      <c r="E463" s="9"/>
      <c r="F463" s="14"/>
    </row>
    <row r="464" spans="1:6" ht="30.75" customHeight="1" thickBot="1" x14ac:dyDescent="0.25">
      <c r="A464" s="10"/>
      <c r="E464" s="9"/>
      <c r="F464" s="14"/>
    </row>
    <row r="465" spans="1:6" ht="30.75" customHeight="1" thickBot="1" x14ac:dyDescent="0.25">
      <c r="A465" s="10"/>
      <c r="E465" s="9"/>
      <c r="F465" s="14"/>
    </row>
    <row r="466" spans="1:6" ht="30.75" customHeight="1" thickBot="1" x14ac:dyDescent="0.25">
      <c r="A466" s="10"/>
      <c r="E466" s="9"/>
      <c r="F466" s="14"/>
    </row>
    <row r="467" spans="1:6" ht="30.75" customHeight="1" thickBot="1" x14ac:dyDescent="0.25">
      <c r="A467" s="10"/>
      <c r="E467" s="9"/>
      <c r="F467" s="14"/>
    </row>
    <row r="468" spans="1:6" ht="30.75" customHeight="1" thickBot="1" x14ac:dyDescent="0.25">
      <c r="A468" s="10"/>
      <c r="E468" s="9"/>
      <c r="F468" s="14"/>
    </row>
    <row r="469" spans="1:6" ht="30.75" customHeight="1" thickBot="1" x14ac:dyDescent="0.25">
      <c r="A469" s="10"/>
      <c r="E469" s="9"/>
      <c r="F469" s="14"/>
    </row>
    <row r="470" spans="1:6" ht="30.75" customHeight="1" thickBot="1" x14ac:dyDescent="0.25">
      <c r="A470" s="10"/>
      <c r="E470" s="9"/>
      <c r="F470" s="14"/>
    </row>
    <row r="471" spans="1:6" ht="30.75" customHeight="1" thickBot="1" x14ac:dyDescent="0.25">
      <c r="A471" s="10"/>
      <c r="E471" s="9"/>
      <c r="F471" s="14"/>
    </row>
    <row r="472" spans="1:6" ht="30.75" customHeight="1" thickBot="1" x14ac:dyDescent="0.25">
      <c r="A472" s="10"/>
      <c r="E472" s="9"/>
      <c r="F472" s="14"/>
    </row>
    <row r="473" spans="1:6" ht="30.75" customHeight="1" thickBot="1" x14ac:dyDescent="0.25">
      <c r="A473" s="10"/>
      <c r="E473" s="9"/>
      <c r="F473" s="14"/>
    </row>
    <row r="474" spans="1:6" ht="30.75" customHeight="1" thickBot="1" x14ac:dyDescent="0.25">
      <c r="A474" s="10"/>
      <c r="E474" s="9"/>
      <c r="F474" s="14"/>
    </row>
    <row r="475" spans="1:6" ht="30.75" customHeight="1" thickBot="1" x14ac:dyDescent="0.25">
      <c r="A475" s="10"/>
      <c r="E475" s="9"/>
      <c r="F475" s="14"/>
    </row>
    <row r="476" spans="1:6" ht="30.75" customHeight="1" thickBot="1" x14ac:dyDescent="0.25">
      <c r="A476" s="10"/>
      <c r="E476" s="9"/>
      <c r="F476" s="14"/>
    </row>
    <row r="477" spans="1:6" ht="30.75" customHeight="1" thickBot="1" x14ac:dyDescent="0.25">
      <c r="A477" s="10"/>
      <c r="E477" s="9"/>
      <c r="F477" s="14"/>
    </row>
    <row r="478" spans="1:6" ht="30.75" customHeight="1" thickBot="1" x14ac:dyDescent="0.25">
      <c r="A478" s="10"/>
      <c r="E478" s="9"/>
      <c r="F478" s="14"/>
    </row>
    <row r="479" spans="1:6" ht="30.75" customHeight="1" thickBot="1" x14ac:dyDescent="0.25">
      <c r="A479" s="10"/>
      <c r="E479" s="9"/>
      <c r="F479" s="14"/>
    </row>
    <row r="480" spans="1:6" ht="30.75" customHeight="1" thickBot="1" x14ac:dyDescent="0.25">
      <c r="A480" s="10"/>
      <c r="E480" s="9"/>
      <c r="F480" s="14"/>
    </row>
    <row r="481" spans="1:6" ht="30.75" customHeight="1" thickBot="1" x14ac:dyDescent="0.25">
      <c r="A481" s="10"/>
      <c r="E481" s="9"/>
      <c r="F481" s="14"/>
    </row>
    <row r="482" spans="1:6" ht="30.75" customHeight="1" thickBot="1" x14ac:dyDescent="0.25">
      <c r="A482" s="10"/>
      <c r="E482" s="9"/>
      <c r="F482" s="14"/>
    </row>
    <row r="483" spans="1:6" ht="30.75" customHeight="1" thickBot="1" x14ac:dyDescent="0.25">
      <c r="A483" s="10"/>
      <c r="E483" s="9"/>
      <c r="F483" s="14"/>
    </row>
    <row r="484" spans="1:6" ht="30.75" customHeight="1" thickBot="1" x14ac:dyDescent="0.25">
      <c r="A484" s="10"/>
      <c r="E484" s="9"/>
      <c r="F484" s="14"/>
    </row>
    <row r="485" spans="1:6" ht="30.75" customHeight="1" thickBot="1" x14ac:dyDescent="0.25">
      <c r="A485" s="10"/>
      <c r="E485" s="9"/>
      <c r="F485" s="14"/>
    </row>
    <row r="486" spans="1:6" ht="30.75" customHeight="1" thickBot="1" x14ac:dyDescent="0.25">
      <c r="A486" s="10"/>
      <c r="E486" s="9"/>
      <c r="F486" s="14"/>
    </row>
    <row r="487" spans="1:6" ht="30.75" customHeight="1" thickBot="1" x14ac:dyDescent="0.25">
      <c r="A487" s="10"/>
      <c r="E487" s="9"/>
      <c r="F487" s="14"/>
    </row>
    <row r="488" spans="1:6" ht="30.75" customHeight="1" thickBot="1" x14ac:dyDescent="0.25">
      <c r="A488" s="10"/>
      <c r="E488" s="9"/>
      <c r="F488" s="14"/>
    </row>
    <row r="489" spans="1:6" ht="30.75" customHeight="1" thickBot="1" x14ac:dyDescent="0.25">
      <c r="A489" s="10"/>
      <c r="E489" s="9"/>
      <c r="F489" s="14"/>
    </row>
    <row r="490" spans="1:6" ht="30.75" customHeight="1" thickBot="1" x14ac:dyDescent="0.25">
      <c r="A490" s="10"/>
      <c r="E490" s="9"/>
      <c r="F490" s="14"/>
    </row>
    <row r="491" spans="1:6" ht="30.75" customHeight="1" thickBot="1" x14ac:dyDescent="0.25">
      <c r="A491" s="10"/>
      <c r="E491" s="9"/>
      <c r="F491" s="14"/>
    </row>
    <row r="492" spans="1:6" ht="30.75" customHeight="1" thickBot="1" x14ac:dyDescent="0.25">
      <c r="A492" s="10"/>
      <c r="E492" s="9"/>
      <c r="F492" s="14"/>
    </row>
    <row r="493" spans="1:6" ht="30.75" customHeight="1" thickBot="1" x14ac:dyDescent="0.25">
      <c r="A493" s="10"/>
      <c r="E493" s="9"/>
      <c r="F493" s="14"/>
    </row>
    <row r="494" spans="1:6" ht="30.75" customHeight="1" thickBot="1" x14ac:dyDescent="0.25">
      <c r="A494" s="10"/>
      <c r="E494" s="9"/>
      <c r="F494" s="14"/>
    </row>
    <row r="495" spans="1:6" ht="30.75" customHeight="1" thickBot="1" x14ac:dyDescent="0.25">
      <c r="A495" s="10"/>
      <c r="E495" s="9"/>
      <c r="F495" s="14"/>
    </row>
    <row r="496" spans="1:6" ht="30.75" customHeight="1" thickBot="1" x14ac:dyDescent="0.25">
      <c r="A496" s="10"/>
      <c r="E496" s="9"/>
      <c r="F496" s="14"/>
    </row>
    <row r="497" spans="1:6" ht="30.75" customHeight="1" thickBot="1" x14ac:dyDescent="0.25">
      <c r="A497" s="10"/>
      <c r="E497" s="9"/>
      <c r="F497" s="14"/>
    </row>
    <row r="498" spans="1:6" ht="30.75" customHeight="1" thickBot="1" x14ac:dyDescent="0.25">
      <c r="A498" s="10"/>
      <c r="E498" s="9"/>
      <c r="F498" s="14"/>
    </row>
    <row r="499" spans="1:6" ht="30.75" customHeight="1" thickBot="1" x14ac:dyDescent="0.25">
      <c r="A499" s="10"/>
      <c r="E499" s="9"/>
      <c r="F499" s="14"/>
    </row>
    <row r="500" spans="1:6" ht="30.75" customHeight="1" thickBot="1" x14ac:dyDescent="0.25">
      <c r="A500" s="10"/>
      <c r="E500" s="9"/>
      <c r="F500" s="14"/>
    </row>
    <row r="501" spans="1:6" ht="30.75" customHeight="1" thickBot="1" x14ac:dyDescent="0.25">
      <c r="A501" s="10"/>
      <c r="E501" s="9"/>
      <c r="F501" s="14"/>
    </row>
    <row r="502" spans="1:6" ht="30.75" customHeight="1" thickBot="1" x14ac:dyDescent="0.25">
      <c r="A502" s="10"/>
      <c r="E502" s="9"/>
      <c r="F502" s="14"/>
    </row>
    <row r="503" spans="1:6" ht="30.75" customHeight="1" thickBot="1" x14ac:dyDescent="0.25">
      <c r="A503" s="10"/>
      <c r="E503" s="9"/>
      <c r="F503" s="14"/>
    </row>
    <row r="504" spans="1:6" ht="30.75" customHeight="1" thickBot="1" x14ac:dyDescent="0.25">
      <c r="A504" s="10"/>
      <c r="E504" s="9"/>
      <c r="F504" s="14"/>
    </row>
    <row r="505" spans="1:6" ht="30.75" customHeight="1" thickBot="1" x14ac:dyDescent="0.25">
      <c r="A505" s="10"/>
      <c r="E505" s="9"/>
      <c r="F505" s="14"/>
    </row>
    <row r="506" spans="1:6" ht="30.75" customHeight="1" thickBot="1" x14ac:dyDescent="0.25">
      <c r="A506" s="10"/>
      <c r="E506" s="9"/>
      <c r="F506" s="14"/>
    </row>
    <row r="507" spans="1:6" ht="30.75" customHeight="1" thickBot="1" x14ac:dyDescent="0.25">
      <c r="A507" s="10"/>
      <c r="E507" s="9"/>
      <c r="F507" s="14"/>
    </row>
    <row r="508" spans="1:6" ht="30.75" customHeight="1" thickBot="1" x14ac:dyDescent="0.25">
      <c r="A508" s="10"/>
      <c r="E508" s="9"/>
      <c r="F508" s="14"/>
    </row>
    <row r="509" spans="1:6" ht="30.75" customHeight="1" thickBot="1" x14ac:dyDescent="0.25">
      <c r="A509" s="10"/>
      <c r="E509" s="9"/>
      <c r="F509" s="14"/>
    </row>
    <row r="510" spans="1:6" ht="30.75" customHeight="1" thickBot="1" x14ac:dyDescent="0.25">
      <c r="A510" s="10"/>
      <c r="E510" s="9"/>
      <c r="F510" s="14"/>
    </row>
    <row r="511" spans="1:6" ht="30.75" customHeight="1" thickBot="1" x14ac:dyDescent="0.25">
      <c r="A511" s="10"/>
      <c r="E511" s="9"/>
      <c r="F511" s="14"/>
    </row>
    <row r="512" spans="1:6" ht="30.75" customHeight="1" thickBot="1" x14ac:dyDescent="0.25">
      <c r="A512" s="10"/>
      <c r="E512" s="9"/>
      <c r="F512" s="14"/>
    </row>
    <row r="513" spans="1:6" ht="30.75" customHeight="1" thickBot="1" x14ac:dyDescent="0.25">
      <c r="A513" s="10"/>
      <c r="E513" s="9"/>
      <c r="F513" s="14"/>
    </row>
    <row r="514" spans="1:6" ht="30.75" customHeight="1" thickBot="1" x14ac:dyDescent="0.25">
      <c r="A514" s="10"/>
      <c r="E514" s="9"/>
      <c r="F514" s="14"/>
    </row>
    <row r="515" spans="1:6" ht="30.75" customHeight="1" thickBot="1" x14ac:dyDescent="0.25">
      <c r="A515" s="10"/>
      <c r="E515" s="9"/>
      <c r="F515" s="14"/>
    </row>
    <row r="516" spans="1:6" ht="30.75" customHeight="1" thickBot="1" x14ac:dyDescent="0.25">
      <c r="A516" s="10"/>
      <c r="E516" s="9"/>
      <c r="F516" s="14"/>
    </row>
    <row r="517" spans="1:6" ht="30.75" customHeight="1" thickBot="1" x14ac:dyDescent="0.25">
      <c r="A517" s="10"/>
      <c r="E517" s="9"/>
      <c r="F517" s="14"/>
    </row>
    <row r="518" spans="1:6" ht="30.75" customHeight="1" thickBot="1" x14ac:dyDescent="0.25">
      <c r="A518" s="10"/>
      <c r="E518" s="9"/>
      <c r="F518" s="14"/>
    </row>
    <row r="519" spans="1:6" ht="30.75" customHeight="1" thickBot="1" x14ac:dyDescent="0.25">
      <c r="A519" s="10"/>
      <c r="E519" s="9"/>
      <c r="F519" s="14"/>
    </row>
    <row r="520" spans="1:6" ht="30.75" customHeight="1" thickBot="1" x14ac:dyDescent="0.25">
      <c r="A520" s="10"/>
      <c r="E520" s="9"/>
      <c r="F520" s="14"/>
    </row>
    <row r="521" spans="1:6" ht="30.75" customHeight="1" thickBot="1" x14ac:dyDescent="0.25">
      <c r="A521" s="10"/>
      <c r="E521" s="9"/>
      <c r="F521" s="14"/>
    </row>
    <row r="522" spans="1:6" ht="30.75" customHeight="1" thickBot="1" x14ac:dyDescent="0.25">
      <c r="A522" s="10"/>
      <c r="E522" s="9"/>
      <c r="F522" s="14"/>
    </row>
    <row r="523" spans="1:6" ht="30.75" customHeight="1" thickBot="1" x14ac:dyDescent="0.25">
      <c r="A523" s="10"/>
      <c r="E523" s="9"/>
      <c r="F523" s="14"/>
    </row>
    <row r="524" spans="1:6" ht="30.75" customHeight="1" thickBot="1" x14ac:dyDescent="0.25">
      <c r="A524" s="10"/>
      <c r="E524" s="9"/>
      <c r="F524" s="14"/>
    </row>
    <row r="525" spans="1:6" ht="30.75" customHeight="1" thickBot="1" x14ac:dyDescent="0.25">
      <c r="A525" s="10"/>
      <c r="E525" s="9"/>
      <c r="F525" s="14"/>
    </row>
    <row r="526" spans="1:6" ht="30.75" customHeight="1" thickBot="1" x14ac:dyDescent="0.25">
      <c r="A526" s="10"/>
      <c r="E526" s="9"/>
      <c r="F526" s="14"/>
    </row>
    <row r="527" spans="1:6" ht="30.75" customHeight="1" thickBot="1" x14ac:dyDescent="0.25">
      <c r="A527" s="10"/>
      <c r="E527" s="9"/>
      <c r="F527" s="14"/>
    </row>
    <row r="528" spans="1:6" ht="30.75" customHeight="1" thickBot="1" x14ac:dyDescent="0.25">
      <c r="A528" s="10"/>
      <c r="E528" s="9"/>
      <c r="F528" s="14"/>
    </row>
    <row r="529" spans="1:6" ht="30.75" customHeight="1" thickBot="1" x14ac:dyDescent="0.25">
      <c r="A529" s="10"/>
      <c r="E529" s="9"/>
      <c r="F529" s="14"/>
    </row>
    <row r="530" spans="1:6" ht="30.75" customHeight="1" thickBot="1" x14ac:dyDescent="0.25">
      <c r="A530" s="10"/>
      <c r="E530" s="9"/>
      <c r="F530" s="14"/>
    </row>
    <row r="531" spans="1:6" ht="30.75" customHeight="1" thickBot="1" x14ac:dyDescent="0.25">
      <c r="A531" s="10"/>
      <c r="E531" s="9"/>
      <c r="F531" s="14"/>
    </row>
    <row r="532" spans="1:6" ht="30.75" customHeight="1" thickBot="1" x14ac:dyDescent="0.25">
      <c r="A532" s="10"/>
      <c r="E532" s="9"/>
      <c r="F532" s="14"/>
    </row>
    <row r="533" spans="1:6" ht="30.75" customHeight="1" thickBot="1" x14ac:dyDescent="0.25">
      <c r="A533" s="10"/>
      <c r="E533" s="9"/>
      <c r="F533" s="14"/>
    </row>
    <row r="534" spans="1:6" ht="30.75" customHeight="1" thickBot="1" x14ac:dyDescent="0.25">
      <c r="A534" s="10"/>
      <c r="E534" s="9"/>
      <c r="F534" s="14"/>
    </row>
    <row r="535" spans="1:6" ht="30.75" customHeight="1" thickBot="1" x14ac:dyDescent="0.25">
      <c r="A535" s="10"/>
      <c r="E535" s="9"/>
      <c r="F535" s="14"/>
    </row>
    <row r="536" spans="1:6" ht="30.75" customHeight="1" thickBot="1" x14ac:dyDescent="0.25">
      <c r="A536" s="10"/>
      <c r="E536" s="9"/>
      <c r="F536" s="14"/>
    </row>
    <row r="537" spans="1:6" ht="30.75" customHeight="1" thickBot="1" x14ac:dyDescent="0.25">
      <c r="A537" s="10"/>
      <c r="E537" s="9"/>
      <c r="F537" s="14"/>
    </row>
    <row r="538" spans="1:6" ht="30.75" customHeight="1" thickBot="1" x14ac:dyDescent="0.25">
      <c r="A538" s="10"/>
      <c r="E538" s="9"/>
      <c r="F538" s="14"/>
    </row>
    <row r="539" spans="1:6" ht="30.75" customHeight="1" thickBot="1" x14ac:dyDescent="0.25">
      <c r="A539" s="10"/>
      <c r="E539" s="9"/>
      <c r="F539" s="14"/>
    </row>
    <row r="540" spans="1:6" ht="30.75" customHeight="1" thickBot="1" x14ac:dyDescent="0.25">
      <c r="A540" s="10"/>
      <c r="E540" s="9"/>
      <c r="F540" s="14"/>
    </row>
    <row r="541" spans="1:6" ht="30.75" customHeight="1" thickBot="1" x14ac:dyDescent="0.25">
      <c r="A541" s="10"/>
      <c r="E541" s="9"/>
      <c r="F541" s="14"/>
    </row>
    <row r="542" spans="1:6" ht="30.75" customHeight="1" thickBot="1" x14ac:dyDescent="0.25">
      <c r="A542" s="10"/>
      <c r="E542" s="9"/>
      <c r="F542" s="14"/>
    </row>
    <row r="543" spans="1:6" ht="30.75" customHeight="1" thickBot="1" x14ac:dyDescent="0.25">
      <c r="A543" s="10"/>
      <c r="E543" s="9"/>
      <c r="F543" s="14"/>
    </row>
    <row r="544" spans="1:6" ht="30.75" customHeight="1" thickBot="1" x14ac:dyDescent="0.25">
      <c r="A544" s="10"/>
      <c r="E544" s="9"/>
      <c r="F544" s="14"/>
    </row>
    <row r="545" spans="1:6" ht="30.75" customHeight="1" thickBot="1" x14ac:dyDescent="0.25">
      <c r="A545" s="10"/>
      <c r="E545" s="9"/>
      <c r="F545" s="14"/>
    </row>
    <row r="546" spans="1:6" ht="30.75" customHeight="1" thickBot="1" x14ac:dyDescent="0.25">
      <c r="A546" s="10"/>
      <c r="E546" s="9"/>
      <c r="F546" s="14"/>
    </row>
    <row r="547" spans="1:6" ht="30.75" customHeight="1" thickBot="1" x14ac:dyDescent="0.25">
      <c r="A547" s="10"/>
      <c r="E547" s="9"/>
      <c r="F547" s="14"/>
    </row>
    <row r="548" spans="1:6" ht="30.75" customHeight="1" thickBot="1" x14ac:dyDescent="0.25">
      <c r="A548" s="10"/>
      <c r="E548" s="9"/>
      <c r="F548" s="14"/>
    </row>
    <row r="549" spans="1:6" ht="30.75" customHeight="1" thickBot="1" x14ac:dyDescent="0.25">
      <c r="A549" s="10"/>
      <c r="E549" s="9"/>
      <c r="F549" s="14"/>
    </row>
    <row r="550" spans="1:6" ht="30.75" customHeight="1" thickBot="1" x14ac:dyDescent="0.25">
      <c r="A550" s="10"/>
      <c r="E550" s="9"/>
      <c r="F550" s="14"/>
    </row>
    <row r="551" spans="1:6" ht="30.75" customHeight="1" thickBot="1" x14ac:dyDescent="0.25">
      <c r="A551" s="10"/>
      <c r="E551" s="9"/>
      <c r="F551" s="14"/>
    </row>
    <row r="552" spans="1:6" ht="30.75" customHeight="1" thickBot="1" x14ac:dyDescent="0.25">
      <c r="A552" s="10"/>
      <c r="E552" s="9"/>
      <c r="F552" s="14"/>
    </row>
    <row r="553" spans="1:6" ht="30.75" customHeight="1" thickBot="1" x14ac:dyDescent="0.25">
      <c r="A553" s="10"/>
      <c r="E553" s="9"/>
      <c r="F553" s="14"/>
    </row>
    <row r="554" spans="1:6" ht="30.75" customHeight="1" thickBot="1" x14ac:dyDescent="0.25">
      <c r="A554" s="10"/>
      <c r="E554" s="9"/>
      <c r="F554" s="14"/>
    </row>
    <row r="555" spans="1:6" ht="30.75" customHeight="1" thickBot="1" x14ac:dyDescent="0.25">
      <c r="A555" s="10"/>
      <c r="E555" s="9"/>
      <c r="F555" s="14"/>
    </row>
    <row r="556" spans="1:6" ht="30.75" customHeight="1" thickBot="1" x14ac:dyDescent="0.25">
      <c r="A556" s="10"/>
      <c r="E556" s="9"/>
      <c r="F556" s="14"/>
    </row>
    <row r="557" spans="1:6" ht="30.75" customHeight="1" thickBot="1" x14ac:dyDescent="0.25">
      <c r="A557" s="10"/>
      <c r="E557" s="9"/>
      <c r="F557" s="14"/>
    </row>
    <row r="558" spans="1:6" ht="30.75" customHeight="1" thickBot="1" x14ac:dyDescent="0.25">
      <c r="A558" s="10"/>
      <c r="E558" s="9"/>
      <c r="F558" s="14"/>
    </row>
    <row r="559" spans="1:6" ht="30.75" customHeight="1" thickBot="1" x14ac:dyDescent="0.25">
      <c r="A559" s="10"/>
      <c r="E559" s="9"/>
      <c r="F559" s="14"/>
    </row>
    <row r="560" spans="1:6" ht="30.75" customHeight="1" thickBot="1" x14ac:dyDescent="0.25">
      <c r="A560" s="10"/>
      <c r="E560" s="9"/>
      <c r="F560" s="14"/>
    </row>
    <row r="561" spans="1:6" ht="30.75" customHeight="1" thickBot="1" x14ac:dyDescent="0.25">
      <c r="A561" s="10"/>
      <c r="E561" s="9"/>
      <c r="F561" s="14"/>
    </row>
    <row r="562" spans="1:6" ht="30.75" customHeight="1" thickBot="1" x14ac:dyDescent="0.25">
      <c r="A562" s="10"/>
      <c r="E562" s="9"/>
      <c r="F562" s="14"/>
    </row>
    <row r="563" spans="1:6" ht="30.75" customHeight="1" thickBot="1" x14ac:dyDescent="0.25">
      <c r="A563" s="10"/>
      <c r="E563" s="9"/>
      <c r="F563" s="14"/>
    </row>
    <row r="564" spans="1:6" ht="30.75" customHeight="1" thickBot="1" x14ac:dyDescent="0.25">
      <c r="A564" s="10"/>
      <c r="E564" s="9"/>
      <c r="F564" s="14"/>
    </row>
    <row r="565" spans="1:6" ht="30.75" customHeight="1" thickBot="1" x14ac:dyDescent="0.25">
      <c r="A565" s="10"/>
      <c r="E565" s="9"/>
      <c r="F565" s="14"/>
    </row>
    <row r="566" spans="1:6" ht="30.75" customHeight="1" thickBot="1" x14ac:dyDescent="0.25">
      <c r="A566" s="10"/>
      <c r="E566" s="9"/>
      <c r="F566" s="14"/>
    </row>
    <row r="567" spans="1:6" ht="30.75" customHeight="1" thickBot="1" x14ac:dyDescent="0.25">
      <c r="A567" s="10"/>
      <c r="E567" s="9"/>
      <c r="F567" s="14"/>
    </row>
    <row r="568" spans="1:6" ht="30.75" customHeight="1" thickBot="1" x14ac:dyDescent="0.25">
      <c r="A568" s="10"/>
      <c r="E568" s="9"/>
      <c r="F568" s="14"/>
    </row>
    <row r="569" spans="1:6" ht="30.75" customHeight="1" thickBot="1" x14ac:dyDescent="0.25">
      <c r="A569" s="10"/>
      <c r="E569" s="9"/>
      <c r="F569" s="14"/>
    </row>
    <row r="570" spans="1:6" ht="30.75" customHeight="1" thickBot="1" x14ac:dyDescent="0.25">
      <c r="A570" s="10"/>
      <c r="E570" s="9"/>
      <c r="F570" s="14"/>
    </row>
    <row r="571" spans="1:6" ht="30.75" customHeight="1" thickBot="1" x14ac:dyDescent="0.25">
      <c r="A571" s="10"/>
      <c r="E571" s="9"/>
      <c r="F571" s="14"/>
    </row>
    <row r="572" spans="1:6" ht="30.75" customHeight="1" thickBot="1" x14ac:dyDescent="0.25">
      <c r="A572" s="10"/>
      <c r="E572" s="9"/>
      <c r="F572" s="14"/>
    </row>
    <row r="573" spans="1:6" ht="30.75" customHeight="1" thickBot="1" x14ac:dyDescent="0.25">
      <c r="A573" s="10"/>
      <c r="E573" s="9"/>
      <c r="F573" s="14"/>
    </row>
    <row r="574" spans="1:6" ht="30.75" customHeight="1" thickBot="1" x14ac:dyDescent="0.25">
      <c r="A574" s="10"/>
      <c r="E574" s="9"/>
      <c r="F574" s="14"/>
    </row>
    <row r="575" spans="1:6" ht="30.75" customHeight="1" thickBot="1" x14ac:dyDescent="0.25">
      <c r="A575" s="10"/>
      <c r="E575" s="9"/>
      <c r="F575" s="14"/>
    </row>
    <row r="576" spans="1:6" ht="30.75" customHeight="1" thickBot="1" x14ac:dyDescent="0.25">
      <c r="A576" s="10"/>
      <c r="E576" s="9"/>
      <c r="F576" s="14"/>
    </row>
    <row r="577" spans="1:6" ht="30.75" customHeight="1" thickBot="1" x14ac:dyDescent="0.25">
      <c r="A577" s="10"/>
      <c r="E577" s="9"/>
      <c r="F577" s="14"/>
    </row>
    <row r="578" spans="1:6" ht="30.75" customHeight="1" thickBot="1" x14ac:dyDescent="0.25">
      <c r="A578" s="10"/>
      <c r="E578" s="9"/>
      <c r="F578" s="14"/>
    </row>
    <row r="579" spans="1:6" ht="30.75" customHeight="1" thickBot="1" x14ac:dyDescent="0.25">
      <c r="A579" s="10"/>
      <c r="E579" s="9"/>
      <c r="F579" s="14"/>
    </row>
    <row r="580" spans="1:6" ht="30.75" customHeight="1" thickBot="1" x14ac:dyDescent="0.25">
      <c r="A580" s="10"/>
      <c r="E580" s="9"/>
      <c r="F580" s="14"/>
    </row>
    <row r="581" spans="1:6" ht="30.75" customHeight="1" thickBot="1" x14ac:dyDescent="0.25">
      <c r="A581" s="10"/>
      <c r="E581" s="9"/>
      <c r="F581" s="14"/>
    </row>
    <row r="582" spans="1:6" ht="30.75" customHeight="1" thickBot="1" x14ac:dyDescent="0.25">
      <c r="A582" s="10"/>
      <c r="E582" s="9"/>
      <c r="F582" s="14"/>
    </row>
    <row r="583" spans="1:6" ht="30.75" customHeight="1" thickBot="1" x14ac:dyDescent="0.25">
      <c r="A583" s="10"/>
      <c r="E583" s="9"/>
      <c r="F583" s="14"/>
    </row>
    <row r="584" spans="1:6" ht="30.75" customHeight="1" thickBot="1" x14ac:dyDescent="0.25">
      <c r="A584" s="10"/>
      <c r="E584" s="9"/>
      <c r="F584" s="14"/>
    </row>
    <row r="585" spans="1:6" ht="30.75" customHeight="1" thickBot="1" x14ac:dyDescent="0.25">
      <c r="A585" s="10"/>
      <c r="E585" s="9"/>
      <c r="F585" s="14"/>
    </row>
    <row r="586" spans="1:6" ht="30.75" customHeight="1" thickBot="1" x14ac:dyDescent="0.25">
      <c r="A586" s="10"/>
      <c r="E586" s="9"/>
      <c r="F586" s="14"/>
    </row>
    <row r="587" spans="1:6" ht="30.75" customHeight="1" thickBot="1" x14ac:dyDescent="0.25">
      <c r="A587" s="10"/>
      <c r="E587" s="9"/>
      <c r="F587" s="14"/>
    </row>
    <row r="588" spans="1:6" ht="30.75" customHeight="1" thickBot="1" x14ac:dyDescent="0.25">
      <c r="A588" s="10"/>
      <c r="E588" s="9"/>
      <c r="F588" s="14"/>
    </row>
    <row r="589" spans="1:6" ht="30.75" customHeight="1" thickBot="1" x14ac:dyDescent="0.25">
      <c r="A589" s="10"/>
      <c r="E589" s="9"/>
      <c r="F589" s="14"/>
    </row>
    <row r="590" spans="1:6" ht="30.75" customHeight="1" thickBot="1" x14ac:dyDescent="0.25">
      <c r="A590" s="10"/>
      <c r="E590" s="9"/>
      <c r="F590" s="14"/>
    </row>
    <row r="591" spans="1:6" ht="30.75" customHeight="1" thickBot="1" x14ac:dyDescent="0.25">
      <c r="A591" s="10"/>
      <c r="E591" s="9"/>
      <c r="F591" s="14"/>
    </row>
    <row r="592" spans="1:6" ht="30.75" customHeight="1" thickBot="1" x14ac:dyDescent="0.25">
      <c r="A592" s="10"/>
      <c r="E592" s="9"/>
      <c r="F592" s="14"/>
    </row>
    <row r="593" spans="1:6" ht="30.75" customHeight="1" thickBot="1" x14ac:dyDescent="0.25">
      <c r="A593" s="10"/>
      <c r="E593" s="9"/>
      <c r="F593" s="14"/>
    </row>
    <row r="594" spans="1:6" ht="30.75" customHeight="1" thickBot="1" x14ac:dyDescent="0.25">
      <c r="A594" s="10"/>
      <c r="E594" s="9"/>
      <c r="F594" s="14"/>
    </row>
    <row r="595" spans="1:6" ht="30.75" customHeight="1" thickBot="1" x14ac:dyDescent="0.25">
      <c r="A595" s="10"/>
      <c r="E595" s="9"/>
      <c r="F595" s="14"/>
    </row>
    <row r="596" spans="1:6" ht="30.75" customHeight="1" thickBot="1" x14ac:dyDescent="0.25">
      <c r="A596" s="10"/>
      <c r="E596" s="9"/>
      <c r="F596" s="14"/>
    </row>
    <row r="597" spans="1:6" ht="30.75" customHeight="1" thickBot="1" x14ac:dyDescent="0.25">
      <c r="A597" s="10"/>
      <c r="E597" s="9"/>
      <c r="F597" s="14"/>
    </row>
    <row r="598" spans="1:6" ht="30.75" customHeight="1" thickBot="1" x14ac:dyDescent="0.25">
      <c r="A598" s="10"/>
      <c r="E598" s="9"/>
      <c r="F598" s="14"/>
    </row>
    <row r="599" spans="1:6" ht="30.75" customHeight="1" thickBot="1" x14ac:dyDescent="0.25">
      <c r="A599" s="10"/>
      <c r="E599" s="9"/>
      <c r="F599" s="14"/>
    </row>
    <row r="600" spans="1:6" ht="30.75" customHeight="1" thickBot="1" x14ac:dyDescent="0.25">
      <c r="A600" s="10"/>
      <c r="E600" s="9"/>
      <c r="F600" s="14"/>
    </row>
    <row r="601" spans="1:6" ht="30.75" customHeight="1" thickBot="1" x14ac:dyDescent="0.25">
      <c r="A601" s="10"/>
      <c r="E601" s="9"/>
      <c r="F601" s="14"/>
    </row>
    <row r="602" spans="1:6" ht="30.75" customHeight="1" thickBot="1" x14ac:dyDescent="0.25">
      <c r="A602" s="10"/>
      <c r="E602" s="9"/>
      <c r="F602" s="14"/>
    </row>
    <row r="603" spans="1:6" ht="30.75" customHeight="1" thickBot="1" x14ac:dyDescent="0.25">
      <c r="A603" s="10"/>
      <c r="E603" s="9"/>
      <c r="F603" s="14"/>
    </row>
    <row r="604" spans="1:6" ht="30.75" customHeight="1" thickBot="1" x14ac:dyDescent="0.25">
      <c r="A604" s="10"/>
      <c r="E604" s="9"/>
      <c r="F604" s="14"/>
    </row>
    <row r="605" spans="1:6" ht="30.75" customHeight="1" thickBot="1" x14ac:dyDescent="0.25">
      <c r="A605" s="10"/>
      <c r="E605" s="9"/>
      <c r="F605" s="14"/>
    </row>
    <row r="606" spans="1:6" ht="30.75" customHeight="1" thickBot="1" x14ac:dyDescent="0.25">
      <c r="A606" s="10"/>
      <c r="E606" s="9"/>
      <c r="F606" s="14"/>
    </row>
    <row r="607" spans="1:6" ht="30.75" customHeight="1" thickBot="1" x14ac:dyDescent="0.25">
      <c r="A607" s="10"/>
      <c r="E607" s="9"/>
      <c r="F607" s="14"/>
    </row>
    <row r="608" spans="1:6" ht="30.75" customHeight="1" thickBot="1" x14ac:dyDescent="0.25">
      <c r="A608" s="10"/>
      <c r="E608" s="9"/>
      <c r="F608" s="14"/>
    </row>
    <row r="609" spans="1:6" ht="30.75" customHeight="1" thickBot="1" x14ac:dyDescent="0.25">
      <c r="A609" s="10"/>
      <c r="E609" s="9"/>
      <c r="F609" s="14"/>
    </row>
    <row r="610" spans="1:6" ht="30.75" customHeight="1" thickBot="1" x14ac:dyDescent="0.25">
      <c r="A610" s="10"/>
      <c r="E610" s="9"/>
      <c r="F610" s="14"/>
    </row>
    <row r="611" spans="1:6" ht="30.75" customHeight="1" thickBot="1" x14ac:dyDescent="0.25">
      <c r="A611" s="10"/>
      <c r="E611" s="9"/>
      <c r="F611" s="14"/>
    </row>
    <row r="612" spans="1:6" ht="30.75" customHeight="1" thickBot="1" x14ac:dyDescent="0.25">
      <c r="A612" s="10"/>
      <c r="E612" s="9"/>
      <c r="F612" s="14"/>
    </row>
    <row r="613" spans="1:6" ht="30.75" customHeight="1" thickBot="1" x14ac:dyDescent="0.25">
      <c r="A613" s="10"/>
      <c r="E613" s="9"/>
      <c r="F613" s="14"/>
    </row>
    <row r="614" spans="1:6" ht="30.75" customHeight="1" thickBot="1" x14ac:dyDescent="0.25">
      <c r="A614" s="10"/>
      <c r="E614" s="9"/>
      <c r="F614" s="14"/>
    </row>
    <row r="615" spans="1:6" ht="30.75" customHeight="1" thickBot="1" x14ac:dyDescent="0.25">
      <c r="A615" s="10"/>
      <c r="E615" s="9"/>
      <c r="F615" s="14"/>
    </row>
    <row r="616" spans="1:6" ht="30.75" customHeight="1" thickBot="1" x14ac:dyDescent="0.25">
      <c r="A616" s="10"/>
      <c r="E616" s="9"/>
      <c r="F616" s="14"/>
    </row>
    <row r="617" spans="1:6" ht="30.75" customHeight="1" thickBot="1" x14ac:dyDescent="0.25">
      <c r="A617" s="10"/>
      <c r="E617" s="9"/>
      <c r="F617" s="14"/>
    </row>
    <row r="618" spans="1:6" ht="30.75" customHeight="1" thickBot="1" x14ac:dyDescent="0.25">
      <c r="A618" s="10"/>
      <c r="E618" s="9"/>
      <c r="F618" s="14"/>
    </row>
    <row r="619" spans="1:6" ht="30.75" customHeight="1" thickBot="1" x14ac:dyDescent="0.25">
      <c r="A619" s="10"/>
      <c r="E619" s="9"/>
      <c r="F619" s="14"/>
    </row>
    <row r="620" spans="1:6" ht="30.75" customHeight="1" thickBot="1" x14ac:dyDescent="0.25">
      <c r="A620" s="10"/>
      <c r="E620" s="9"/>
      <c r="F620" s="14"/>
    </row>
    <row r="621" spans="1:6" ht="30.75" customHeight="1" thickBot="1" x14ac:dyDescent="0.25">
      <c r="A621" s="10"/>
      <c r="E621" s="9"/>
      <c r="F621" s="14"/>
    </row>
    <row r="622" spans="1:6" ht="30.75" customHeight="1" thickBot="1" x14ac:dyDescent="0.25">
      <c r="A622" s="10"/>
      <c r="E622" s="9"/>
      <c r="F622" s="14"/>
    </row>
    <row r="623" spans="1:6" ht="30.75" customHeight="1" thickBot="1" x14ac:dyDescent="0.25">
      <c r="A623" s="10"/>
      <c r="E623" s="9"/>
      <c r="F623" s="14"/>
    </row>
    <row r="624" spans="1:6" ht="30.75" customHeight="1" thickBot="1" x14ac:dyDescent="0.25">
      <c r="A624" s="10"/>
      <c r="E624" s="9"/>
      <c r="F624" s="14"/>
    </row>
    <row r="625" spans="1:6" ht="30.75" customHeight="1" thickBot="1" x14ac:dyDescent="0.25">
      <c r="A625" s="10"/>
      <c r="E625" s="9"/>
      <c r="F625" s="14"/>
    </row>
    <row r="626" spans="1:6" ht="30.75" customHeight="1" thickBot="1" x14ac:dyDescent="0.25">
      <c r="A626" s="10"/>
      <c r="E626" s="9"/>
      <c r="F626" s="14"/>
    </row>
    <row r="627" spans="1:6" ht="30.75" customHeight="1" thickBot="1" x14ac:dyDescent="0.25">
      <c r="A627" s="10"/>
      <c r="E627" s="9"/>
      <c r="F627" s="14"/>
    </row>
    <row r="628" spans="1:6" ht="30.75" customHeight="1" thickBot="1" x14ac:dyDescent="0.25">
      <c r="A628" s="10"/>
      <c r="E628" s="9"/>
      <c r="F628" s="14"/>
    </row>
    <row r="629" spans="1:6" ht="30.75" customHeight="1" thickBot="1" x14ac:dyDescent="0.25">
      <c r="A629" s="10"/>
      <c r="E629" s="9"/>
      <c r="F629" s="14"/>
    </row>
    <row r="630" spans="1:6" ht="30.75" customHeight="1" thickBot="1" x14ac:dyDescent="0.25">
      <c r="A630" s="10"/>
      <c r="E630" s="9"/>
      <c r="F630" s="14"/>
    </row>
    <row r="631" spans="1:6" ht="30.75" customHeight="1" thickBot="1" x14ac:dyDescent="0.25">
      <c r="A631" s="10"/>
      <c r="E631" s="9"/>
      <c r="F631" s="14"/>
    </row>
    <row r="632" spans="1:6" ht="30.75" customHeight="1" thickBot="1" x14ac:dyDescent="0.25">
      <c r="A632" s="10"/>
      <c r="E632" s="9"/>
      <c r="F632" s="14"/>
    </row>
    <row r="633" spans="1:6" ht="30.75" customHeight="1" thickBot="1" x14ac:dyDescent="0.25">
      <c r="A633" s="10"/>
      <c r="E633" s="9"/>
      <c r="F633" s="14"/>
    </row>
    <row r="634" spans="1:6" ht="30.75" customHeight="1" thickBot="1" x14ac:dyDescent="0.25">
      <c r="A634" s="10"/>
      <c r="E634" s="9"/>
      <c r="F634" s="14"/>
    </row>
    <row r="635" spans="1:6" ht="30.75" customHeight="1" thickBot="1" x14ac:dyDescent="0.25">
      <c r="A635" s="10"/>
      <c r="E635" s="9"/>
      <c r="F635" s="14"/>
    </row>
    <row r="636" spans="1:6" ht="30.75" customHeight="1" thickBot="1" x14ac:dyDescent="0.25">
      <c r="A636" s="10"/>
      <c r="E636" s="9"/>
      <c r="F636" s="14"/>
    </row>
    <row r="637" spans="1:6" ht="30.75" customHeight="1" thickBot="1" x14ac:dyDescent="0.25">
      <c r="A637" s="10"/>
      <c r="E637" s="9"/>
      <c r="F637" s="14"/>
    </row>
    <row r="638" spans="1:6" ht="30.75" customHeight="1" thickBot="1" x14ac:dyDescent="0.25">
      <c r="A638" s="10"/>
      <c r="E638" s="9"/>
      <c r="F638" s="14"/>
    </row>
    <row r="639" spans="1:6" ht="30.75" customHeight="1" thickBot="1" x14ac:dyDescent="0.25">
      <c r="A639" s="10"/>
      <c r="E639" s="9"/>
      <c r="F639" s="14"/>
    </row>
    <row r="640" spans="1:6" ht="30.75" customHeight="1" thickBot="1" x14ac:dyDescent="0.25">
      <c r="A640" s="10"/>
      <c r="E640" s="9"/>
      <c r="F640" s="14"/>
    </row>
    <row r="641" spans="1:6" ht="30.75" customHeight="1" thickBot="1" x14ac:dyDescent="0.25">
      <c r="A641" s="10"/>
      <c r="E641" s="9"/>
      <c r="F641" s="14"/>
    </row>
    <row r="642" spans="1:6" ht="30.75" customHeight="1" thickBot="1" x14ac:dyDescent="0.25">
      <c r="A642" s="10"/>
      <c r="E642" s="9"/>
      <c r="F642" s="14"/>
    </row>
    <row r="643" spans="1:6" ht="30.75" customHeight="1" thickBot="1" x14ac:dyDescent="0.25">
      <c r="A643" s="10"/>
      <c r="E643" s="9"/>
      <c r="F643" s="14"/>
    </row>
    <row r="644" spans="1:6" ht="30.75" customHeight="1" thickBot="1" x14ac:dyDescent="0.25">
      <c r="A644" s="10"/>
      <c r="E644" s="9"/>
      <c r="F644" s="14"/>
    </row>
    <row r="645" spans="1:6" ht="30.75" customHeight="1" thickBot="1" x14ac:dyDescent="0.25">
      <c r="A645" s="10"/>
      <c r="E645" s="9"/>
      <c r="F645" s="14"/>
    </row>
    <row r="646" spans="1:6" ht="30.75" customHeight="1" thickBot="1" x14ac:dyDescent="0.25">
      <c r="A646" s="10"/>
      <c r="E646" s="9"/>
      <c r="F646" s="14"/>
    </row>
    <row r="647" spans="1:6" ht="30.75" customHeight="1" thickBot="1" x14ac:dyDescent="0.25">
      <c r="A647" s="10"/>
      <c r="E647" s="9"/>
      <c r="F647" s="14"/>
    </row>
    <row r="648" spans="1:6" ht="30.75" customHeight="1" thickBot="1" x14ac:dyDescent="0.25">
      <c r="A648" s="10"/>
      <c r="E648" s="9"/>
      <c r="F648" s="14"/>
    </row>
    <row r="649" spans="1:6" ht="30.75" customHeight="1" thickBot="1" x14ac:dyDescent="0.25">
      <c r="A649" s="10"/>
      <c r="E649" s="9"/>
      <c r="F649" s="14"/>
    </row>
    <row r="650" spans="1:6" ht="30.75" customHeight="1" thickBot="1" x14ac:dyDescent="0.25">
      <c r="A650" s="10"/>
      <c r="E650" s="9"/>
      <c r="F650" s="14"/>
    </row>
    <row r="651" spans="1:6" ht="30.75" customHeight="1" thickBot="1" x14ac:dyDescent="0.25">
      <c r="A651" s="10"/>
      <c r="E651" s="9"/>
      <c r="F651" s="14"/>
    </row>
    <row r="652" spans="1:6" ht="30.75" customHeight="1" thickBot="1" x14ac:dyDescent="0.25">
      <c r="A652" s="10"/>
      <c r="E652" s="9"/>
      <c r="F652" s="14"/>
    </row>
    <row r="653" spans="1:6" ht="30.75" customHeight="1" thickBot="1" x14ac:dyDescent="0.25">
      <c r="A653" s="10"/>
      <c r="E653" s="9"/>
      <c r="F653" s="14"/>
    </row>
    <row r="654" spans="1:6" ht="30.75" customHeight="1" thickBot="1" x14ac:dyDescent="0.25">
      <c r="A654" s="10"/>
      <c r="E654" s="9"/>
      <c r="F654" s="14"/>
    </row>
    <row r="655" spans="1:6" ht="30.75" customHeight="1" thickBot="1" x14ac:dyDescent="0.25">
      <c r="A655" s="10"/>
      <c r="E655" s="9"/>
      <c r="F655" s="14"/>
    </row>
    <row r="656" spans="1:6" ht="30.75" customHeight="1" thickBot="1" x14ac:dyDescent="0.25">
      <c r="A656" s="10"/>
      <c r="E656" s="9"/>
      <c r="F656" s="14"/>
    </row>
    <row r="657" spans="1:6" ht="30.75" customHeight="1" thickBot="1" x14ac:dyDescent="0.25">
      <c r="A657" s="10"/>
      <c r="E657" s="9"/>
      <c r="F657" s="14"/>
    </row>
    <row r="658" spans="1:6" ht="30.75" customHeight="1" thickBot="1" x14ac:dyDescent="0.25">
      <c r="A658" s="10"/>
      <c r="E658" s="9"/>
      <c r="F658" s="14"/>
    </row>
    <row r="659" spans="1:6" ht="30.75" customHeight="1" thickBot="1" x14ac:dyDescent="0.25">
      <c r="A659" s="10"/>
      <c r="E659" s="9"/>
      <c r="F659" s="14"/>
    </row>
    <row r="660" spans="1:6" ht="30.75" customHeight="1" thickBot="1" x14ac:dyDescent="0.25">
      <c r="A660" s="10"/>
      <c r="E660" s="9"/>
      <c r="F660" s="14"/>
    </row>
    <row r="661" spans="1:6" ht="30.75" customHeight="1" thickBot="1" x14ac:dyDescent="0.25">
      <c r="A661" s="10"/>
      <c r="E661" s="9"/>
      <c r="F661" s="14"/>
    </row>
    <row r="662" spans="1:6" ht="30.75" customHeight="1" thickBot="1" x14ac:dyDescent="0.25">
      <c r="A662" s="10"/>
      <c r="E662" s="9"/>
      <c r="F662" s="14"/>
    </row>
    <row r="663" spans="1:6" ht="30.75" customHeight="1" thickBot="1" x14ac:dyDescent="0.25">
      <c r="A663" s="10"/>
      <c r="E663" s="9"/>
      <c r="F663" s="14"/>
    </row>
    <row r="664" spans="1:6" ht="30.75" customHeight="1" thickBot="1" x14ac:dyDescent="0.25">
      <c r="A664" s="10"/>
      <c r="E664" s="9"/>
      <c r="F664" s="14"/>
    </row>
    <row r="665" spans="1:6" ht="30.75" customHeight="1" thickBot="1" x14ac:dyDescent="0.25">
      <c r="A665" s="10"/>
      <c r="E665" s="9"/>
      <c r="F665" s="14"/>
    </row>
    <row r="666" spans="1:6" ht="30.75" customHeight="1" thickBot="1" x14ac:dyDescent="0.25">
      <c r="A666" s="10"/>
      <c r="E666" s="9"/>
      <c r="F666" s="14"/>
    </row>
    <row r="667" spans="1:6" ht="30.75" customHeight="1" thickBot="1" x14ac:dyDescent="0.25">
      <c r="A667" s="10"/>
      <c r="E667" s="9"/>
      <c r="F667" s="14"/>
    </row>
    <row r="668" spans="1:6" ht="30.75" customHeight="1" thickBot="1" x14ac:dyDescent="0.25">
      <c r="A668" s="10"/>
      <c r="E668" s="9"/>
      <c r="F668" s="14"/>
    </row>
    <row r="669" spans="1:6" ht="30.75" customHeight="1" thickBot="1" x14ac:dyDescent="0.25">
      <c r="A669" s="10"/>
      <c r="E669" s="9"/>
      <c r="F669" s="14"/>
    </row>
    <row r="670" spans="1:6" ht="30.75" customHeight="1" thickBot="1" x14ac:dyDescent="0.25">
      <c r="A670" s="10"/>
      <c r="E670" s="9"/>
      <c r="F670" s="14"/>
    </row>
    <row r="671" spans="1:6" ht="30.75" customHeight="1" thickBot="1" x14ac:dyDescent="0.25">
      <c r="A671" s="10"/>
      <c r="E671" s="9"/>
      <c r="F671" s="14"/>
    </row>
    <row r="672" spans="1:6" ht="30.75" customHeight="1" thickBot="1" x14ac:dyDescent="0.25">
      <c r="A672" s="10"/>
      <c r="E672" s="9"/>
      <c r="F672" s="14"/>
    </row>
    <row r="673" spans="1:6" ht="30.75" customHeight="1" thickBot="1" x14ac:dyDescent="0.25">
      <c r="A673" s="10"/>
      <c r="E673" s="9"/>
      <c r="F673" s="14"/>
    </row>
    <row r="674" spans="1:6" ht="30.75" customHeight="1" thickBot="1" x14ac:dyDescent="0.25">
      <c r="A674" s="10"/>
      <c r="E674" s="9"/>
      <c r="F674" s="14"/>
    </row>
    <row r="675" spans="1:6" ht="30.75" customHeight="1" thickBot="1" x14ac:dyDescent="0.25">
      <c r="A675" s="10"/>
      <c r="E675" s="9"/>
      <c r="F675" s="14"/>
    </row>
    <row r="676" spans="1:6" ht="30.75" customHeight="1" thickBot="1" x14ac:dyDescent="0.25">
      <c r="A676" s="10"/>
      <c r="E676" s="9"/>
      <c r="F676" s="14"/>
    </row>
    <row r="677" spans="1:6" ht="30.75" customHeight="1" thickBot="1" x14ac:dyDescent="0.25">
      <c r="A677" s="10"/>
      <c r="E677" s="9"/>
      <c r="F677" s="14"/>
    </row>
    <row r="678" spans="1:6" ht="30.75" customHeight="1" thickBot="1" x14ac:dyDescent="0.25">
      <c r="A678" s="10"/>
      <c r="E678" s="9"/>
      <c r="F678" s="14"/>
    </row>
    <row r="679" spans="1:6" ht="30.75" customHeight="1" thickBot="1" x14ac:dyDescent="0.25">
      <c r="A679" s="10"/>
      <c r="E679" s="9"/>
      <c r="F679" s="14"/>
    </row>
    <row r="680" spans="1:6" ht="30.75" customHeight="1" thickBot="1" x14ac:dyDescent="0.25">
      <c r="A680" s="10"/>
      <c r="E680" s="9"/>
      <c r="F680" s="14"/>
    </row>
    <row r="681" spans="1:6" ht="30.75" customHeight="1" thickBot="1" x14ac:dyDescent="0.25">
      <c r="A681" s="10"/>
      <c r="E681" s="9"/>
      <c r="F681" s="14"/>
    </row>
    <row r="682" spans="1:6" ht="30.75" customHeight="1" thickBot="1" x14ac:dyDescent="0.25">
      <c r="A682" s="10"/>
      <c r="E682" s="9"/>
      <c r="F682" s="14"/>
    </row>
    <row r="683" spans="1:6" ht="30.75" customHeight="1" thickBot="1" x14ac:dyDescent="0.25">
      <c r="A683" s="10"/>
      <c r="E683" s="9"/>
      <c r="F683" s="14"/>
    </row>
    <row r="684" spans="1:6" ht="30.75" customHeight="1" thickBot="1" x14ac:dyDescent="0.25">
      <c r="A684" s="10"/>
      <c r="E684" s="9"/>
      <c r="F684" s="14"/>
    </row>
    <row r="685" spans="1:6" ht="30.75" customHeight="1" thickBot="1" x14ac:dyDescent="0.25">
      <c r="A685" s="10"/>
      <c r="E685" s="9"/>
      <c r="F685" s="14"/>
    </row>
    <row r="686" spans="1:6" ht="30.75" customHeight="1" thickBot="1" x14ac:dyDescent="0.25">
      <c r="A686" s="10"/>
      <c r="E686" s="9"/>
      <c r="F686" s="14"/>
    </row>
    <row r="687" spans="1:6" ht="30.75" customHeight="1" thickBot="1" x14ac:dyDescent="0.25">
      <c r="A687" s="10"/>
      <c r="E687" s="9"/>
      <c r="F687" s="14"/>
    </row>
    <row r="688" spans="1:6" ht="30.75" customHeight="1" thickBot="1" x14ac:dyDescent="0.25">
      <c r="A688" s="10"/>
      <c r="E688" s="9"/>
      <c r="F688" s="14"/>
    </row>
    <row r="689" spans="1:6" ht="30.75" customHeight="1" thickBot="1" x14ac:dyDescent="0.25">
      <c r="A689" s="10"/>
      <c r="E689" s="9"/>
      <c r="F689" s="14"/>
    </row>
    <row r="690" spans="1:6" ht="30.75" customHeight="1" thickBot="1" x14ac:dyDescent="0.25">
      <c r="A690" s="10"/>
      <c r="E690" s="9"/>
      <c r="F690" s="14"/>
    </row>
    <row r="691" spans="1:6" ht="30.75" customHeight="1" thickBot="1" x14ac:dyDescent="0.25">
      <c r="A691" s="10"/>
      <c r="E691" s="9"/>
      <c r="F691" s="14"/>
    </row>
    <row r="692" spans="1:6" ht="30.75" customHeight="1" thickBot="1" x14ac:dyDescent="0.25">
      <c r="A692" s="10"/>
      <c r="E692" s="9"/>
      <c r="F692" s="14"/>
    </row>
    <row r="693" spans="1:6" ht="30.75" customHeight="1" thickBot="1" x14ac:dyDescent="0.25">
      <c r="A693" s="10"/>
      <c r="E693" s="9"/>
      <c r="F693" s="14"/>
    </row>
    <row r="694" spans="1:6" ht="30.75" customHeight="1" thickBot="1" x14ac:dyDescent="0.25">
      <c r="A694" s="10"/>
      <c r="E694" s="9"/>
      <c r="F694" s="14"/>
    </row>
    <row r="695" spans="1:6" ht="30.75" customHeight="1" thickBot="1" x14ac:dyDescent="0.25">
      <c r="A695" s="10"/>
      <c r="E695" s="9"/>
      <c r="F695" s="14"/>
    </row>
    <row r="696" spans="1:6" ht="30.75" customHeight="1" thickBot="1" x14ac:dyDescent="0.25">
      <c r="A696" s="10"/>
      <c r="E696" s="9"/>
      <c r="F696" s="14"/>
    </row>
    <row r="697" spans="1:6" ht="30.75" customHeight="1" thickBot="1" x14ac:dyDescent="0.25">
      <c r="A697" s="10"/>
      <c r="E697" s="9"/>
      <c r="F697" s="14"/>
    </row>
    <row r="698" spans="1:6" ht="30.75" customHeight="1" thickBot="1" x14ac:dyDescent="0.25">
      <c r="A698" s="10"/>
      <c r="E698" s="9"/>
      <c r="F698" s="14"/>
    </row>
    <row r="699" spans="1:6" ht="30.75" customHeight="1" thickBot="1" x14ac:dyDescent="0.25">
      <c r="A699" s="10"/>
      <c r="E699" s="9"/>
      <c r="F699" s="14"/>
    </row>
    <row r="700" spans="1:6" ht="30.75" customHeight="1" thickBot="1" x14ac:dyDescent="0.25">
      <c r="A700" s="10"/>
      <c r="E700" s="9"/>
      <c r="F700" s="14"/>
    </row>
    <row r="701" spans="1:6" ht="30.75" customHeight="1" thickBot="1" x14ac:dyDescent="0.25">
      <c r="A701" s="10"/>
      <c r="E701" s="9"/>
      <c r="F701" s="14"/>
    </row>
    <row r="702" spans="1:6" ht="30.75" customHeight="1" thickBot="1" x14ac:dyDescent="0.25">
      <c r="A702" s="10"/>
      <c r="E702" s="9"/>
      <c r="F702" s="14"/>
    </row>
    <row r="703" spans="1:6" ht="30.75" customHeight="1" thickBot="1" x14ac:dyDescent="0.25">
      <c r="A703" s="10"/>
      <c r="E703" s="9"/>
      <c r="F703" s="14"/>
    </row>
    <row r="704" spans="1:6" ht="30.75" customHeight="1" thickBot="1" x14ac:dyDescent="0.25">
      <c r="A704" s="10"/>
      <c r="E704" s="9"/>
      <c r="F704" s="14"/>
    </row>
    <row r="705" spans="1:6" ht="30.75" customHeight="1" thickBot="1" x14ac:dyDescent="0.25">
      <c r="A705" s="10"/>
      <c r="E705" s="9"/>
      <c r="F705" s="14"/>
    </row>
    <row r="706" spans="1:6" ht="30.75" customHeight="1" thickBot="1" x14ac:dyDescent="0.25">
      <c r="A706" s="10"/>
      <c r="E706" s="9"/>
      <c r="F706" s="14"/>
    </row>
    <row r="707" spans="1:6" ht="30.75" customHeight="1" thickBot="1" x14ac:dyDescent="0.25">
      <c r="A707" s="10"/>
      <c r="E707" s="9"/>
      <c r="F707" s="14"/>
    </row>
    <row r="708" spans="1:6" ht="30.75" customHeight="1" thickBot="1" x14ac:dyDescent="0.25">
      <c r="A708" s="10"/>
      <c r="E708" s="9"/>
      <c r="F708" s="14"/>
    </row>
    <row r="709" spans="1:6" ht="30.75" customHeight="1" thickBot="1" x14ac:dyDescent="0.25">
      <c r="A709" s="10"/>
      <c r="E709" s="9"/>
      <c r="F709" s="14"/>
    </row>
    <row r="710" spans="1:6" ht="30.75" customHeight="1" thickBot="1" x14ac:dyDescent="0.25">
      <c r="A710" s="10"/>
      <c r="E710" s="9"/>
      <c r="F710" s="14"/>
    </row>
    <row r="711" spans="1:6" ht="30.75" customHeight="1" thickBot="1" x14ac:dyDescent="0.25">
      <c r="A711" s="10"/>
      <c r="E711" s="9"/>
      <c r="F711" s="14"/>
    </row>
    <row r="712" spans="1:6" ht="30.75" customHeight="1" thickBot="1" x14ac:dyDescent="0.25">
      <c r="A712" s="10"/>
      <c r="E712" s="9"/>
      <c r="F712" s="14"/>
    </row>
    <row r="713" spans="1:6" ht="30.75" customHeight="1" thickBot="1" x14ac:dyDescent="0.25">
      <c r="A713" s="10"/>
      <c r="E713" s="9"/>
      <c r="F713" s="14"/>
    </row>
    <row r="714" spans="1:6" ht="30.75" customHeight="1" thickBot="1" x14ac:dyDescent="0.25">
      <c r="A714" s="10"/>
      <c r="E714" s="9"/>
      <c r="F714" s="14"/>
    </row>
    <row r="715" spans="1:6" ht="30.75" customHeight="1" thickBot="1" x14ac:dyDescent="0.25">
      <c r="A715" s="10"/>
      <c r="E715" s="9"/>
      <c r="F715" s="14"/>
    </row>
    <row r="716" spans="1:6" ht="30.75" customHeight="1" thickBot="1" x14ac:dyDescent="0.25">
      <c r="A716" s="10"/>
      <c r="E716" s="9"/>
      <c r="F716" s="14"/>
    </row>
    <row r="717" spans="1:6" ht="30.75" customHeight="1" thickBot="1" x14ac:dyDescent="0.25">
      <c r="A717" s="10"/>
      <c r="E717" s="9"/>
      <c r="F717" s="14"/>
    </row>
    <row r="718" spans="1:6" ht="30.75" customHeight="1" thickBot="1" x14ac:dyDescent="0.25">
      <c r="A718" s="10"/>
      <c r="E718" s="9"/>
      <c r="F718" s="14"/>
    </row>
    <row r="719" spans="1:6" ht="30.75" customHeight="1" thickBot="1" x14ac:dyDescent="0.25">
      <c r="A719" s="10"/>
      <c r="E719" s="9"/>
      <c r="F719" s="14"/>
    </row>
    <row r="720" spans="1:6" ht="30.75" customHeight="1" thickBot="1" x14ac:dyDescent="0.25">
      <c r="A720" s="10"/>
      <c r="E720" s="9"/>
      <c r="F720" s="14"/>
    </row>
    <row r="721" spans="1:6" ht="30.75" customHeight="1" thickBot="1" x14ac:dyDescent="0.25">
      <c r="A721" s="10"/>
      <c r="E721" s="9"/>
      <c r="F721" s="14"/>
    </row>
    <row r="722" spans="1:6" ht="30.75" customHeight="1" thickBot="1" x14ac:dyDescent="0.25">
      <c r="A722" s="10"/>
      <c r="E722" s="9"/>
      <c r="F722" s="14"/>
    </row>
    <row r="723" spans="1:6" ht="30.75" customHeight="1" thickBot="1" x14ac:dyDescent="0.25">
      <c r="A723" s="10"/>
      <c r="E723" s="9"/>
      <c r="F723" s="14"/>
    </row>
    <row r="724" spans="1:6" ht="30.75" customHeight="1" thickBot="1" x14ac:dyDescent="0.25">
      <c r="A724" s="10"/>
      <c r="E724" s="9"/>
      <c r="F724" s="14"/>
    </row>
    <row r="725" spans="1:6" ht="30.75" customHeight="1" thickBot="1" x14ac:dyDescent="0.25">
      <c r="A725" s="10"/>
      <c r="E725" s="9"/>
      <c r="F725" s="14"/>
    </row>
    <row r="726" spans="1:6" ht="30.75" customHeight="1" thickBot="1" x14ac:dyDescent="0.25">
      <c r="A726" s="10"/>
      <c r="E726" s="9"/>
      <c r="F726" s="14"/>
    </row>
    <row r="727" spans="1:6" ht="30.75" customHeight="1" thickBot="1" x14ac:dyDescent="0.25">
      <c r="A727" s="10"/>
      <c r="E727" s="9"/>
      <c r="F727" s="14"/>
    </row>
    <row r="728" spans="1:6" ht="30.75" customHeight="1" thickBot="1" x14ac:dyDescent="0.25">
      <c r="A728" s="10"/>
      <c r="E728" s="9"/>
      <c r="F728" s="14"/>
    </row>
    <row r="729" spans="1:6" ht="30.75" customHeight="1" thickBot="1" x14ac:dyDescent="0.25">
      <c r="A729" s="10"/>
      <c r="E729" s="9"/>
      <c r="F729" s="14"/>
    </row>
    <row r="730" spans="1:6" ht="30.75" customHeight="1" thickBot="1" x14ac:dyDescent="0.25">
      <c r="A730" s="10"/>
      <c r="E730" s="9"/>
      <c r="F730" s="14"/>
    </row>
    <row r="731" spans="1:6" ht="30.75" customHeight="1" thickBot="1" x14ac:dyDescent="0.25">
      <c r="A731" s="10"/>
      <c r="E731" s="9"/>
      <c r="F731" s="14"/>
    </row>
    <row r="732" spans="1:6" ht="30.75" customHeight="1" thickBot="1" x14ac:dyDescent="0.25">
      <c r="A732" s="10"/>
      <c r="E732" s="9"/>
      <c r="F732" s="14"/>
    </row>
    <row r="733" spans="1:6" ht="30.75" customHeight="1" thickBot="1" x14ac:dyDescent="0.25">
      <c r="A733" s="10"/>
      <c r="E733" s="9"/>
      <c r="F733" s="14"/>
    </row>
    <row r="734" spans="1:6" ht="30.75" customHeight="1" thickBot="1" x14ac:dyDescent="0.25">
      <c r="A734" s="10"/>
      <c r="E734" s="9"/>
      <c r="F734" s="14"/>
    </row>
    <row r="735" spans="1:6" ht="30.75" customHeight="1" thickBot="1" x14ac:dyDescent="0.25">
      <c r="A735" s="10"/>
      <c r="E735" s="9"/>
      <c r="F735" s="14"/>
    </row>
    <row r="736" spans="1:6" ht="30.75" customHeight="1" thickBot="1" x14ac:dyDescent="0.25">
      <c r="A736" s="10"/>
      <c r="E736" s="9"/>
      <c r="F736" s="14"/>
    </row>
    <row r="737" spans="1:6" ht="30.75" customHeight="1" thickBot="1" x14ac:dyDescent="0.25">
      <c r="A737" s="10"/>
      <c r="E737" s="9"/>
      <c r="F737" s="14"/>
    </row>
    <row r="738" spans="1:6" ht="30.75" customHeight="1" thickBot="1" x14ac:dyDescent="0.25">
      <c r="A738" s="10"/>
      <c r="E738" s="9"/>
      <c r="F738" s="14"/>
    </row>
    <row r="739" spans="1:6" ht="30.75" customHeight="1" thickBot="1" x14ac:dyDescent="0.25">
      <c r="A739" s="10"/>
      <c r="E739" s="9"/>
      <c r="F739" s="14"/>
    </row>
    <row r="740" spans="1:6" ht="30.75" customHeight="1" thickBot="1" x14ac:dyDescent="0.25">
      <c r="A740" s="10"/>
      <c r="E740" s="9"/>
      <c r="F740" s="14"/>
    </row>
    <row r="741" spans="1:6" ht="30.75" customHeight="1" thickBot="1" x14ac:dyDescent="0.25">
      <c r="A741" s="10"/>
      <c r="E741" s="9"/>
      <c r="F741" s="14"/>
    </row>
    <row r="742" spans="1:6" ht="30.75" customHeight="1" thickBot="1" x14ac:dyDescent="0.25">
      <c r="A742" s="10"/>
      <c r="E742" s="9"/>
      <c r="F742" s="14"/>
    </row>
    <row r="743" spans="1:6" ht="30.75" customHeight="1" thickBot="1" x14ac:dyDescent="0.25">
      <c r="A743" s="10"/>
      <c r="E743" s="9"/>
      <c r="F743" s="14"/>
    </row>
    <row r="744" spans="1:6" ht="30.75" customHeight="1" thickBot="1" x14ac:dyDescent="0.25">
      <c r="A744" s="10"/>
      <c r="E744" s="9"/>
      <c r="F744" s="14"/>
    </row>
    <row r="745" spans="1:6" ht="30.75" customHeight="1" thickBot="1" x14ac:dyDescent="0.25">
      <c r="A745" s="10"/>
      <c r="E745" s="9"/>
      <c r="F745" s="14"/>
    </row>
    <row r="746" spans="1:6" ht="30.75" customHeight="1" thickBot="1" x14ac:dyDescent="0.25">
      <c r="A746" s="10"/>
      <c r="E746" s="9"/>
      <c r="F746" s="14"/>
    </row>
    <row r="747" spans="1:6" ht="30.75" customHeight="1" thickBot="1" x14ac:dyDescent="0.25">
      <c r="A747" s="10"/>
      <c r="E747" s="9"/>
      <c r="F747" s="14"/>
    </row>
    <row r="748" spans="1:6" ht="30.75" customHeight="1" thickBot="1" x14ac:dyDescent="0.25">
      <c r="A748" s="10"/>
      <c r="E748" s="9"/>
      <c r="F748" s="14"/>
    </row>
    <row r="749" spans="1:6" ht="30.75" customHeight="1" thickBot="1" x14ac:dyDescent="0.25">
      <c r="A749" s="10"/>
      <c r="E749" s="9"/>
      <c r="F749" s="14"/>
    </row>
    <row r="750" spans="1:6" ht="30.75" customHeight="1" thickBot="1" x14ac:dyDescent="0.25">
      <c r="A750" s="10"/>
      <c r="E750" s="9"/>
      <c r="F750" s="14"/>
    </row>
    <row r="751" spans="1:6" ht="30.75" customHeight="1" thickBot="1" x14ac:dyDescent="0.25">
      <c r="A751" s="10"/>
      <c r="E751" s="9"/>
      <c r="F751" s="14"/>
    </row>
    <row r="752" spans="1:6" ht="30.75" customHeight="1" thickBot="1" x14ac:dyDescent="0.25">
      <c r="A752" s="10"/>
      <c r="E752" s="9"/>
      <c r="F752" s="14"/>
    </row>
    <row r="753" spans="1:6" ht="30.75" customHeight="1" thickBot="1" x14ac:dyDescent="0.25">
      <c r="A753" s="10"/>
      <c r="E753" s="9"/>
      <c r="F753" s="14"/>
    </row>
    <row r="754" spans="1:6" ht="30.75" customHeight="1" thickBot="1" x14ac:dyDescent="0.25">
      <c r="A754" s="10"/>
      <c r="E754" s="9"/>
      <c r="F754" s="14"/>
    </row>
    <row r="755" spans="1:6" ht="30.75" customHeight="1" thickBot="1" x14ac:dyDescent="0.25">
      <c r="A755" s="10"/>
      <c r="E755" s="9"/>
      <c r="F755" s="14"/>
    </row>
    <row r="756" spans="1:6" ht="30.75" customHeight="1" thickBot="1" x14ac:dyDescent="0.25">
      <c r="A756" s="10"/>
      <c r="E756" s="9"/>
      <c r="F756" s="14"/>
    </row>
    <row r="757" spans="1:6" ht="30.75" customHeight="1" thickBot="1" x14ac:dyDescent="0.25">
      <c r="A757" s="10"/>
      <c r="E757" s="9"/>
      <c r="F757" s="14"/>
    </row>
    <row r="758" spans="1:6" ht="30.75" customHeight="1" thickBot="1" x14ac:dyDescent="0.25">
      <c r="A758" s="10"/>
      <c r="E758" s="9"/>
      <c r="F758" s="14"/>
    </row>
    <row r="759" spans="1:6" ht="30.75" customHeight="1" thickBot="1" x14ac:dyDescent="0.25">
      <c r="A759" s="10"/>
      <c r="E759" s="9"/>
      <c r="F759" s="14"/>
    </row>
    <row r="760" spans="1:6" ht="30.75" customHeight="1" thickBot="1" x14ac:dyDescent="0.25">
      <c r="A760" s="10"/>
      <c r="E760" s="9"/>
      <c r="F760" s="14"/>
    </row>
    <row r="761" spans="1:6" ht="30.75" customHeight="1" thickBot="1" x14ac:dyDescent="0.25">
      <c r="A761" s="10"/>
      <c r="E761" s="9"/>
      <c r="F761" s="14"/>
    </row>
    <row r="762" spans="1:6" ht="30.75" customHeight="1" thickBot="1" x14ac:dyDescent="0.25">
      <c r="A762" s="10"/>
      <c r="E762" s="9"/>
      <c r="F762" s="14"/>
    </row>
    <row r="763" spans="1:6" ht="30.75" customHeight="1" thickBot="1" x14ac:dyDescent="0.25">
      <c r="A763" s="10"/>
      <c r="E763" s="9"/>
      <c r="F763" s="14"/>
    </row>
    <row r="764" spans="1:6" ht="30.75" customHeight="1" thickBot="1" x14ac:dyDescent="0.25">
      <c r="A764" s="10"/>
      <c r="E764" s="9"/>
      <c r="F764" s="14"/>
    </row>
    <row r="765" spans="1:6" ht="30.75" customHeight="1" thickBot="1" x14ac:dyDescent="0.25">
      <c r="A765" s="10"/>
      <c r="E765" s="9"/>
      <c r="F765" s="14"/>
    </row>
    <row r="766" spans="1:6" ht="30.75" customHeight="1" thickBot="1" x14ac:dyDescent="0.25">
      <c r="A766" s="10"/>
      <c r="E766" s="9"/>
      <c r="F766" s="14"/>
    </row>
    <row r="767" spans="1:6" ht="30.75" customHeight="1" thickBot="1" x14ac:dyDescent="0.25">
      <c r="A767" s="10"/>
      <c r="E767" s="9"/>
      <c r="F767" s="14"/>
    </row>
    <row r="768" spans="1:6" ht="30.75" customHeight="1" thickBot="1" x14ac:dyDescent="0.25">
      <c r="A768" s="10"/>
      <c r="E768" s="9"/>
      <c r="F768" s="14"/>
    </row>
    <row r="769" spans="1:6" ht="30.75" customHeight="1" thickBot="1" x14ac:dyDescent="0.25">
      <c r="A769" s="10"/>
      <c r="E769" s="9"/>
      <c r="F769" s="14"/>
    </row>
    <row r="770" spans="1:6" ht="30.75" customHeight="1" thickBot="1" x14ac:dyDescent="0.25">
      <c r="A770" s="10"/>
      <c r="E770" s="9"/>
      <c r="F770" s="14"/>
    </row>
    <row r="771" spans="1:6" ht="30.75" customHeight="1" thickBot="1" x14ac:dyDescent="0.25">
      <c r="A771" s="10"/>
      <c r="E771" s="9"/>
      <c r="F771" s="14"/>
    </row>
    <row r="772" spans="1:6" ht="30.75" customHeight="1" thickBot="1" x14ac:dyDescent="0.25">
      <c r="A772" s="10"/>
      <c r="E772" s="9"/>
      <c r="F772" s="14"/>
    </row>
    <row r="773" spans="1:6" ht="30.75" customHeight="1" thickBot="1" x14ac:dyDescent="0.25">
      <c r="A773" s="10"/>
      <c r="E773" s="9"/>
      <c r="F773" s="14"/>
    </row>
    <row r="774" spans="1:6" ht="30.75" customHeight="1" thickBot="1" x14ac:dyDescent="0.25">
      <c r="A774" s="10"/>
      <c r="E774" s="9"/>
      <c r="F774" s="14"/>
    </row>
    <row r="775" spans="1:6" ht="30.75" customHeight="1" thickBot="1" x14ac:dyDescent="0.25">
      <c r="A775" s="10"/>
      <c r="E775" s="9"/>
      <c r="F775" s="14"/>
    </row>
    <row r="776" spans="1:6" ht="30.75" customHeight="1" thickBot="1" x14ac:dyDescent="0.25">
      <c r="A776" s="10"/>
      <c r="E776" s="9"/>
      <c r="F776" s="14"/>
    </row>
    <row r="777" spans="1:6" ht="30.75" customHeight="1" thickBot="1" x14ac:dyDescent="0.25">
      <c r="A777" s="10"/>
      <c r="E777" s="9"/>
      <c r="F777" s="14"/>
    </row>
    <row r="778" spans="1:6" ht="30.75" customHeight="1" thickBot="1" x14ac:dyDescent="0.25">
      <c r="A778" s="10"/>
      <c r="E778" s="9"/>
      <c r="F778" s="14"/>
    </row>
    <row r="779" spans="1:6" ht="30.75" customHeight="1" thickBot="1" x14ac:dyDescent="0.25">
      <c r="A779" s="10"/>
      <c r="E779" s="9"/>
      <c r="F779" s="14"/>
    </row>
    <row r="780" spans="1:6" ht="30.75" customHeight="1" thickBot="1" x14ac:dyDescent="0.25">
      <c r="A780" s="10"/>
      <c r="E780" s="9"/>
      <c r="F780" s="14"/>
    </row>
    <row r="781" spans="1:6" ht="30.75" customHeight="1" thickBot="1" x14ac:dyDescent="0.25">
      <c r="A781" s="10"/>
      <c r="E781" s="9"/>
      <c r="F781" s="14"/>
    </row>
    <row r="782" spans="1:6" ht="30.75" customHeight="1" thickBot="1" x14ac:dyDescent="0.25">
      <c r="A782" s="10"/>
      <c r="E782" s="9"/>
      <c r="F782" s="14"/>
    </row>
    <row r="783" spans="1:6" ht="30.75" customHeight="1" thickBot="1" x14ac:dyDescent="0.25">
      <c r="A783" s="10"/>
      <c r="E783" s="9"/>
      <c r="F783" s="14"/>
    </row>
    <row r="784" spans="1:6" ht="30.75" customHeight="1" thickBot="1" x14ac:dyDescent="0.25">
      <c r="A784" s="10"/>
      <c r="E784" s="9"/>
      <c r="F784" s="14"/>
    </row>
    <row r="785" spans="1:6" ht="30.75" customHeight="1" thickBot="1" x14ac:dyDescent="0.25">
      <c r="A785" s="10"/>
      <c r="E785" s="9"/>
      <c r="F785" s="14"/>
    </row>
    <row r="786" spans="1:6" ht="30.75" customHeight="1" thickBot="1" x14ac:dyDescent="0.25">
      <c r="A786" s="10"/>
      <c r="E786" s="9"/>
      <c r="F786" s="14"/>
    </row>
    <row r="787" spans="1:6" ht="30.75" customHeight="1" thickBot="1" x14ac:dyDescent="0.25">
      <c r="A787" s="10"/>
      <c r="E787" s="9"/>
      <c r="F787" s="14"/>
    </row>
    <row r="788" spans="1:6" ht="30.75" customHeight="1" thickBot="1" x14ac:dyDescent="0.25">
      <c r="A788" s="10"/>
      <c r="E788" s="9"/>
      <c r="F788" s="14"/>
    </row>
    <row r="789" spans="1:6" ht="30.75" customHeight="1" thickBot="1" x14ac:dyDescent="0.25">
      <c r="A789" s="10"/>
      <c r="E789" s="9"/>
      <c r="F789" s="14"/>
    </row>
    <row r="790" spans="1:6" ht="30.75" customHeight="1" thickBot="1" x14ac:dyDescent="0.25">
      <c r="A790" s="10"/>
      <c r="E790" s="9"/>
      <c r="F790" s="14"/>
    </row>
    <row r="791" spans="1:6" ht="30.75" customHeight="1" thickBot="1" x14ac:dyDescent="0.25">
      <c r="A791" s="10"/>
      <c r="E791" s="9"/>
      <c r="F791" s="14"/>
    </row>
    <row r="792" spans="1:6" ht="30.75" customHeight="1" thickBot="1" x14ac:dyDescent="0.25">
      <c r="A792" s="10"/>
      <c r="E792" s="9"/>
      <c r="F792" s="14"/>
    </row>
    <row r="793" spans="1:6" ht="30.75" customHeight="1" thickBot="1" x14ac:dyDescent="0.25">
      <c r="A793" s="10"/>
      <c r="E793" s="9"/>
      <c r="F793" s="14"/>
    </row>
    <row r="794" spans="1:6" ht="30.75" customHeight="1" thickBot="1" x14ac:dyDescent="0.25">
      <c r="A794" s="10"/>
      <c r="E794" s="9"/>
      <c r="F794" s="14"/>
    </row>
    <row r="795" spans="1:6" ht="30.75" customHeight="1" thickBot="1" x14ac:dyDescent="0.25">
      <c r="A795" s="10"/>
      <c r="E795" s="9"/>
      <c r="F795" s="14"/>
    </row>
    <row r="796" spans="1:6" ht="30.75" customHeight="1" thickBot="1" x14ac:dyDescent="0.25">
      <c r="A796" s="10"/>
      <c r="E796" s="9"/>
      <c r="F796" s="14"/>
    </row>
    <row r="797" spans="1:6" ht="30.75" customHeight="1" thickBot="1" x14ac:dyDescent="0.25">
      <c r="A797" s="10"/>
      <c r="E797" s="9"/>
      <c r="F797" s="14"/>
    </row>
    <row r="798" spans="1:6" ht="30.75" customHeight="1" thickBot="1" x14ac:dyDescent="0.25">
      <c r="A798" s="10"/>
      <c r="E798" s="9"/>
      <c r="F798" s="14"/>
    </row>
    <row r="799" spans="1:6" ht="30.75" customHeight="1" thickBot="1" x14ac:dyDescent="0.25">
      <c r="A799" s="10"/>
      <c r="E799" s="9"/>
      <c r="F799" s="14"/>
    </row>
    <row r="800" spans="1:6" ht="30.75" customHeight="1" thickBot="1" x14ac:dyDescent="0.25">
      <c r="A800" s="10"/>
      <c r="E800" s="9"/>
      <c r="F800" s="14"/>
    </row>
    <row r="801" spans="1:6" ht="30.75" customHeight="1" thickBot="1" x14ac:dyDescent="0.25">
      <c r="A801" s="10"/>
      <c r="E801" s="9"/>
      <c r="F801" s="14"/>
    </row>
    <row r="802" spans="1:6" ht="30.75" customHeight="1" thickBot="1" x14ac:dyDescent="0.25">
      <c r="A802" s="10"/>
      <c r="E802" s="9"/>
      <c r="F802" s="14"/>
    </row>
    <row r="803" spans="1:6" ht="30.75" customHeight="1" thickBot="1" x14ac:dyDescent="0.25">
      <c r="A803" s="10"/>
      <c r="E803" s="9"/>
      <c r="F803" s="14"/>
    </row>
    <row r="804" spans="1:6" ht="30.75" customHeight="1" thickBot="1" x14ac:dyDescent="0.25">
      <c r="A804" s="10"/>
      <c r="E804" s="9"/>
      <c r="F804" s="14"/>
    </row>
    <row r="805" spans="1:6" ht="30.75" customHeight="1" thickBot="1" x14ac:dyDescent="0.25">
      <c r="A805" s="10"/>
      <c r="E805" s="9"/>
      <c r="F805" s="14"/>
    </row>
    <row r="806" spans="1:6" ht="30.75" customHeight="1" thickBot="1" x14ac:dyDescent="0.25">
      <c r="A806" s="10"/>
      <c r="E806" s="9"/>
      <c r="F806" s="14"/>
    </row>
    <row r="807" spans="1:6" ht="30.75" customHeight="1" thickBot="1" x14ac:dyDescent="0.25">
      <c r="A807" s="10"/>
      <c r="E807" s="9"/>
      <c r="F807" s="14"/>
    </row>
    <row r="808" spans="1:6" ht="30.75" customHeight="1" thickBot="1" x14ac:dyDescent="0.25">
      <c r="A808" s="10"/>
      <c r="E808" s="9"/>
      <c r="F808" s="14"/>
    </row>
    <row r="809" spans="1:6" ht="30.75" customHeight="1" thickBot="1" x14ac:dyDescent="0.25">
      <c r="A809" s="10"/>
      <c r="E809" s="9"/>
      <c r="F809" s="14"/>
    </row>
    <row r="810" spans="1:6" ht="30.75" customHeight="1" thickBot="1" x14ac:dyDescent="0.25">
      <c r="A810" s="10"/>
      <c r="E810" s="9"/>
      <c r="F810" s="14"/>
    </row>
    <row r="811" spans="1:6" ht="30.75" customHeight="1" thickBot="1" x14ac:dyDescent="0.25">
      <c r="A811" s="10"/>
      <c r="E811" s="9"/>
      <c r="F811" s="14"/>
    </row>
    <row r="812" spans="1:6" ht="30.75" customHeight="1" thickBot="1" x14ac:dyDescent="0.25">
      <c r="A812" s="10"/>
      <c r="E812" s="9"/>
      <c r="F812" s="14"/>
    </row>
    <row r="813" spans="1:6" ht="30.75" customHeight="1" thickBot="1" x14ac:dyDescent="0.25">
      <c r="A813" s="10"/>
      <c r="E813" s="9"/>
      <c r="F813" s="14"/>
    </row>
    <row r="814" spans="1:6" ht="30.75" customHeight="1" thickBot="1" x14ac:dyDescent="0.25">
      <c r="A814" s="10"/>
      <c r="E814" s="9"/>
      <c r="F814" s="14"/>
    </row>
    <row r="815" spans="1:6" ht="30.75" customHeight="1" thickBot="1" x14ac:dyDescent="0.25">
      <c r="A815" s="10"/>
      <c r="E815" s="9"/>
      <c r="F815" s="14"/>
    </row>
    <row r="816" spans="1:6" ht="30.75" customHeight="1" thickBot="1" x14ac:dyDescent="0.25">
      <c r="A816" s="10"/>
      <c r="E816" s="9"/>
      <c r="F816" s="14"/>
    </row>
    <row r="817" spans="1:6" ht="30.75" customHeight="1" thickBot="1" x14ac:dyDescent="0.25">
      <c r="A817" s="10"/>
      <c r="E817" s="9"/>
      <c r="F817" s="14"/>
    </row>
    <row r="818" spans="1:6" ht="30.75" customHeight="1" thickBot="1" x14ac:dyDescent="0.25">
      <c r="A818" s="10"/>
      <c r="E818" s="9"/>
      <c r="F818" s="14"/>
    </row>
    <row r="819" spans="1:6" ht="30.75" customHeight="1" thickBot="1" x14ac:dyDescent="0.25">
      <c r="A819" s="10"/>
      <c r="E819" s="9"/>
      <c r="F819" s="14"/>
    </row>
    <row r="820" spans="1:6" ht="30.75" customHeight="1" thickBot="1" x14ac:dyDescent="0.25">
      <c r="A820" s="10"/>
      <c r="E820" s="9"/>
      <c r="F820" s="14"/>
    </row>
    <row r="821" spans="1:6" ht="30.75" customHeight="1" thickBot="1" x14ac:dyDescent="0.25">
      <c r="A821" s="10"/>
      <c r="E821" s="9"/>
      <c r="F821" s="14"/>
    </row>
    <row r="822" spans="1:6" ht="30.75" customHeight="1" thickBot="1" x14ac:dyDescent="0.25">
      <c r="A822" s="10"/>
      <c r="E822" s="9"/>
      <c r="F822" s="14"/>
    </row>
    <row r="823" spans="1:6" ht="30.75" customHeight="1" thickBot="1" x14ac:dyDescent="0.25">
      <c r="A823" s="10"/>
      <c r="E823" s="9"/>
      <c r="F823" s="14"/>
    </row>
    <row r="824" spans="1:6" ht="30.75" customHeight="1" thickBot="1" x14ac:dyDescent="0.25">
      <c r="A824" s="10"/>
      <c r="E824" s="9"/>
      <c r="F824" s="14"/>
    </row>
    <row r="825" spans="1:6" ht="30.75" customHeight="1" thickBot="1" x14ac:dyDescent="0.25">
      <c r="A825" s="10"/>
      <c r="E825" s="9"/>
      <c r="F825" s="14"/>
    </row>
    <row r="826" spans="1:6" ht="30.75" customHeight="1" thickBot="1" x14ac:dyDescent="0.25">
      <c r="A826" s="10"/>
      <c r="E826" s="9"/>
      <c r="F826" s="14"/>
    </row>
    <row r="827" spans="1:6" ht="30.75" customHeight="1" thickBot="1" x14ac:dyDescent="0.25">
      <c r="A827" s="10"/>
      <c r="E827" s="9"/>
      <c r="F827" s="14"/>
    </row>
    <row r="828" spans="1:6" ht="30.75" customHeight="1" thickBot="1" x14ac:dyDescent="0.25">
      <c r="A828" s="10"/>
      <c r="E828" s="9"/>
      <c r="F828" s="14"/>
    </row>
    <row r="829" spans="1:6" ht="30.75" customHeight="1" thickBot="1" x14ac:dyDescent="0.25">
      <c r="A829" s="10"/>
      <c r="E829" s="9"/>
      <c r="F829" s="14"/>
    </row>
    <row r="830" spans="1:6" ht="30.75" customHeight="1" thickBot="1" x14ac:dyDescent="0.25">
      <c r="A830" s="10"/>
      <c r="E830" s="9"/>
      <c r="F830" s="14"/>
    </row>
    <row r="831" spans="1:6" ht="30.75" customHeight="1" thickBot="1" x14ac:dyDescent="0.25">
      <c r="A831" s="10"/>
      <c r="E831" s="9"/>
      <c r="F831" s="14"/>
    </row>
    <row r="832" spans="1:6" ht="30.75" customHeight="1" thickBot="1" x14ac:dyDescent="0.25">
      <c r="A832" s="10"/>
      <c r="E832" s="9"/>
      <c r="F832" s="14"/>
    </row>
    <row r="833" spans="1:6" ht="30.75" customHeight="1" thickBot="1" x14ac:dyDescent="0.25">
      <c r="A833" s="10"/>
      <c r="E833" s="9"/>
      <c r="F833" s="14"/>
    </row>
    <row r="834" spans="1:6" ht="30.75" customHeight="1" thickBot="1" x14ac:dyDescent="0.25">
      <c r="A834" s="10"/>
      <c r="E834" s="9"/>
      <c r="F834" s="14"/>
    </row>
    <row r="835" spans="1:6" ht="30.75" customHeight="1" thickBot="1" x14ac:dyDescent="0.25">
      <c r="A835" s="10"/>
      <c r="E835" s="9"/>
      <c r="F835" s="14"/>
    </row>
    <row r="836" spans="1:6" ht="30.75" customHeight="1" thickBot="1" x14ac:dyDescent="0.25">
      <c r="A836" s="10"/>
      <c r="E836" s="9"/>
      <c r="F836" s="14"/>
    </row>
    <row r="837" spans="1:6" ht="30.75" customHeight="1" thickBot="1" x14ac:dyDescent="0.25">
      <c r="A837" s="10"/>
      <c r="E837" s="9"/>
      <c r="F837" s="14"/>
    </row>
    <row r="838" spans="1:6" ht="30.75" customHeight="1" thickBot="1" x14ac:dyDescent="0.25">
      <c r="A838" s="10"/>
      <c r="E838" s="9"/>
      <c r="F838" s="14"/>
    </row>
    <row r="839" spans="1:6" ht="30.75" customHeight="1" thickBot="1" x14ac:dyDescent="0.25">
      <c r="A839" s="10"/>
      <c r="E839" s="9"/>
      <c r="F839" s="14"/>
    </row>
    <row r="840" spans="1:6" ht="30.75" customHeight="1" thickBot="1" x14ac:dyDescent="0.25">
      <c r="A840" s="10"/>
      <c r="E840" s="9"/>
      <c r="F840" s="14"/>
    </row>
    <row r="841" spans="1:6" ht="30.75" customHeight="1" thickBot="1" x14ac:dyDescent="0.25">
      <c r="A841" s="10"/>
      <c r="E841" s="9"/>
      <c r="F841" s="14"/>
    </row>
    <row r="842" spans="1:6" ht="30.75" customHeight="1" thickBot="1" x14ac:dyDescent="0.25">
      <c r="A842" s="10"/>
      <c r="E842" s="9"/>
      <c r="F842" s="14"/>
    </row>
    <row r="843" spans="1:6" ht="30.75" customHeight="1" thickBot="1" x14ac:dyDescent="0.25">
      <c r="A843" s="10"/>
      <c r="E843" s="9"/>
      <c r="F843" s="14"/>
    </row>
    <row r="844" spans="1:6" ht="30.75" customHeight="1" thickBot="1" x14ac:dyDescent="0.25">
      <c r="A844" s="10"/>
      <c r="E844" s="9"/>
      <c r="F844" s="14"/>
    </row>
    <row r="845" spans="1:6" ht="30.75" customHeight="1" thickBot="1" x14ac:dyDescent="0.25">
      <c r="A845" s="10"/>
      <c r="E845" s="9"/>
      <c r="F845" s="14"/>
    </row>
    <row r="846" spans="1:6" ht="30.75" customHeight="1" thickBot="1" x14ac:dyDescent="0.25">
      <c r="A846" s="10"/>
      <c r="E846" s="9"/>
      <c r="F846" s="14"/>
    </row>
    <row r="847" spans="1:6" ht="30.75" customHeight="1" thickBot="1" x14ac:dyDescent="0.25">
      <c r="A847" s="10"/>
      <c r="E847" s="9"/>
      <c r="F847" s="14"/>
    </row>
    <row r="848" spans="1:6" ht="30.75" customHeight="1" thickBot="1" x14ac:dyDescent="0.25">
      <c r="A848" s="10"/>
      <c r="E848" s="9"/>
      <c r="F848" s="14"/>
    </row>
    <row r="849" spans="1:6" ht="30.75" customHeight="1" thickBot="1" x14ac:dyDescent="0.25">
      <c r="A849" s="10"/>
      <c r="E849" s="9"/>
      <c r="F849" s="14"/>
    </row>
    <row r="850" spans="1:6" ht="30.75" customHeight="1" thickBot="1" x14ac:dyDescent="0.25">
      <c r="A850" s="10"/>
      <c r="E850" s="9"/>
      <c r="F850" s="14"/>
    </row>
    <row r="851" spans="1:6" ht="30.75" customHeight="1" thickBot="1" x14ac:dyDescent="0.25">
      <c r="A851" s="10"/>
      <c r="E851" s="9"/>
      <c r="F851" s="14"/>
    </row>
    <row r="852" spans="1:6" ht="30.75" customHeight="1" thickBot="1" x14ac:dyDescent="0.25">
      <c r="A852" s="10"/>
      <c r="E852" s="9"/>
      <c r="F852" s="14"/>
    </row>
    <row r="853" spans="1:6" ht="30.75" customHeight="1" thickBot="1" x14ac:dyDescent="0.25">
      <c r="A853" s="10"/>
      <c r="E853" s="9"/>
      <c r="F853" s="14"/>
    </row>
    <row r="854" spans="1:6" ht="30.75" customHeight="1" thickBot="1" x14ac:dyDescent="0.25">
      <c r="A854" s="10"/>
      <c r="E854" s="9"/>
      <c r="F854" s="14"/>
    </row>
    <row r="855" spans="1:6" ht="30.75" customHeight="1" thickBot="1" x14ac:dyDescent="0.25">
      <c r="A855" s="10"/>
      <c r="E855" s="9"/>
      <c r="F855" s="14"/>
    </row>
    <row r="856" spans="1:6" ht="30.75" customHeight="1" thickBot="1" x14ac:dyDescent="0.25">
      <c r="A856" s="10"/>
      <c r="E856" s="9"/>
      <c r="F856" s="14"/>
    </row>
    <row r="857" spans="1:6" ht="30.75" customHeight="1" thickBot="1" x14ac:dyDescent="0.25">
      <c r="A857" s="10"/>
      <c r="E857" s="9"/>
      <c r="F857" s="14"/>
    </row>
    <row r="858" spans="1:6" ht="30.75" customHeight="1" thickBot="1" x14ac:dyDescent="0.25">
      <c r="A858" s="10"/>
      <c r="E858" s="9"/>
      <c r="F858" s="14"/>
    </row>
    <row r="859" spans="1:6" ht="30.75" customHeight="1" thickBot="1" x14ac:dyDescent="0.25">
      <c r="A859" s="10"/>
      <c r="E859" s="9"/>
      <c r="F859" s="14"/>
    </row>
    <row r="860" spans="1:6" ht="30.75" customHeight="1" thickBot="1" x14ac:dyDescent="0.25">
      <c r="A860" s="10"/>
      <c r="E860" s="9"/>
      <c r="F860" s="14"/>
    </row>
    <row r="861" spans="1:6" ht="30.75" customHeight="1" thickBot="1" x14ac:dyDescent="0.25">
      <c r="A861" s="10"/>
      <c r="E861" s="9"/>
      <c r="F861" s="14"/>
    </row>
    <row r="862" spans="1:6" ht="30.75" customHeight="1" thickBot="1" x14ac:dyDescent="0.25">
      <c r="A862" s="10"/>
      <c r="E862" s="9"/>
      <c r="F862" s="14"/>
    </row>
    <row r="863" spans="1:6" ht="30.75" customHeight="1" thickBot="1" x14ac:dyDescent="0.25">
      <c r="A863" s="10"/>
      <c r="E863" s="9"/>
      <c r="F863" s="14"/>
    </row>
    <row r="864" spans="1:6" ht="30.75" customHeight="1" thickBot="1" x14ac:dyDescent="0.25">
      <c r="A864" s="10"/>
      <c r="E864" s="9"/>
      <c r="F864" s="14"/>
    </row>
    <row r="865" spans="1:6" ht="30.75" customHeight="1" thickBot="1" x14ac:dyDescent="0.25">
      <c r="A865" s="10"/>
      <c r="E865" s="9"/>
      <c r="F865" s="14"/>
    </row>
    <row r="866" spans="1:6" ht="30.75" customHeight="1" thickBot="1" x14ac:dyDescent="0.25">
      <c r="A866" s="10"/>
      <c r="E866" s="9"/>
      <c r="F866" s="14"/>
    </row>
    <row r="867" spans="1:6" ht="30.75" customHeight="1" thickBot="1" x14ac:dyDescent="0.25">
      <c r="A867" s="10"/>
      <c r="E867" s="9"/>
      <c r="F867" s="14"/>
    </row>
    <row r="868" spans="1:6" ht="30.75" customHeight="1" thickBot="1" x14ac:dyDescent="0.25">
      <c r="A868" s="10"/>
      <c r="E868" s="9"/>
      <c r="F868" s="14"/>
    </row>
    <row r="869" spans="1:6" ht="30.75" customHeight="1" thickBot="1" x14ac:dyDescent="0.25">
      <c r="A869" s="10"/>
      <c r="E869" s="9"/>
      <c r="F869" s="14"/>
    </row>
    <row r="870" spans="1:6" ht="30.75" customHeight="1" thickBot="1" x14ac:dyDescent="0.25">
      <c r="A870" s="10"/>
      <c r="E870" s="9"/>
      <c r="F870" s="14"/>
    </row>
    <row r="871" spans="1:6" ht="30.75" customHeight="1" thickBot="1" x14ac:dyDescent="0.25">
      <c r="A871" s="10"/>
      <c r="E871" s="9"/>
      <c r="F871" s="14"/>
    </row>
    <row r="872" spans="1:6" ht="30.75" customHeight="1" thickBot="1" x14ac:dyDescent="0.25">
      <c r="A872" s="10"/>
      <c r="E872" s="9"/>
      <c r="F872" s="14"/>
    </row>
    <row r="873" spans="1:6" ht="30.75" customHeight="1" thickBot="1" x14ac:dyDescent="0.25">
      <c r="A873" s="10"/>
      <c r="E873" s="9"/>
      <c r="F873" s="14"/>
    </row>
    <row r="874" spans="1:6" ht="30.75" customHeight="1" thickBot="1" x14ac:dyDescent="0.25">
      <c r="A874" s="10"/>
      <c r="E874" s="9"/>
      <c r="F874" s="14"/>
    </row>
    <row r="875" spans="1:6" ht="30.75" customHeight="1" thickBot="1" x14ac:dyDescent="0.25">
      <c r="A875" s="10"/>
      <c r="E875" s="9"/>
      <c r="F875" s="14"/>
    </row>
    <row r="876" spans="1:6" ht="30.75" customHeight="1" thickBot="1" x14ac:dyDescent="0.25">
      <c r="A876" s="10"/>
      <c r="E876" s="9"/>
      <c r="F876" s="14"/>
    </row>
    <row r="877" spans="1:6" ht="30.75" customHeight="1" thickBot="1" x14ac:dyDescent="0.25">
      <c r="A877" s="10"/>
      <c r="E877" s="9"/>
      <c r="F877" s="14"/>
    </row>
    <row r="878" spans="1:6" ht="30.75" customHeight="1" thickBot="1" x14ac:dyDescent="0.25">
      <c r="A878" s="10"/>
      <c r="E878" s="9"/>
      <c r="F878" s="14"/>
    </row>
    <row r="879" spans="1:6" ht="30.75" customHeight="1" thickBot="1" x14ac:dyDescent="0.25">
      <c r="A879" s="10"/>
      <c r="E879" s="9"/>
      <c r="F879" s="14"/>
    </row>
    <row r="880" spans="1:6" ht="30.75" customHeight="1" thickBot="1" x14ac:dyDescent="0.25">
      <c r="A880" s="10"/>
      <c r="E880" s="9"/>
      <c r="F880" s="14"/>
    </row>
    <row r="881" spans="1:6" ht="30.75" customHeight="1" thickBot="1" x14ac:dyDescent="0.25">
      <c r="A881" s="10"/>
      <c r="E881" s="9"/>
      <c r="F881" s="14"/>
    </row>
    <row r="882" spans="1:6" ht="30.75" customHeight="1" thickBot="1" x14ac:dyDescent="0.25">
      <c r="A882" s="10"/>
      <c r="E882" s="9"/>
      <c r="F882" s="14"/>
    </row>
    <row r="883" spans="1:6" ht="30.75" customHeight="1" thickBot="1" x14ac:dyDescent="0.25">
      <c r="A883" s="10"/>
      <c r="E883" s="9"/>
      <c r="F883" s="14"/>
    </row>
    <row r="884" spans="1:6" ht="30.75" customHeight="1" thickBot="1" x14ac:dyDescent="0.25">
      <c r="A884" s="10"/>
      <c r="E884" s="9"/>
      <c r="F884" s="14"/>
    </row>
    <row r="885" spans="1:6" ht="30.75" customHeight="1" thickBot="1" x14ac:dyDescent="0.25">
      <c r="A885" s="10"/>
      <c r="E885" s="9"/>
      <c r="F885" s="14"/>
    </row>
    <row r="886" spans="1:6" ht="30.75" customHeight="1" thickBot="1" x14ac:dyDescent="0.25">
      <c r="A886" s="10"/>
      <c r="E886" s="9"/>
      <c r="F886" s="14"/>
    </row>
    <row r="887" spans="1:6" ht="30.75" customHeight="1" thickBot="1" x14ac:dyDescent="0.25">
      <c r="A887" s="10"/>
      <c r="E887" s="9"/>
      <c r="F887" s="14"/>
    </row>
    <row r="888" spans="1:6" ht="30.75" customHeight="1" thickBot="1" x14ac:dyDescent="0.25">
      <c r="A888" s="10"/>
      <c r="E888" s="9"/>
      <c r="F888" s="14"/>
    </row>
    <row r="889" spans="1:6" ht="30.75" customHeight="1" thickBot="1" x14ac:dyDescent="0.25">
      <c r="A889" s="10"/>
      <c r="E889" s="9"/>
      <c r="F889" s="14"/>
    </row>
    <row r="890" spans="1:6" ht="30.75" customHeight="1" thickBot="1" x14ac:dyDescent="0.25">
      <c r="A890" s="10"/>
      <c r="E890" s="9"/>
      <c r="F890" s="14"/>
    </row>
    <row r="891" spans="1:6" ht="30.75" customHeight="1" thickBot="1" x14ac:dyDescent="0.25">
      <c r="A891" s="10"/>
      <c r="E891" s="9"/>
      <c r="F891" s="14"/>
    </row>
    <row r="892" spans="1:6" ht="30.75" customHeight="1" thickBot="1" x14ac:dyDescent="0.25">
      <c r="A892" s="10"/>
      <c r="E892" s="9"/>
      <c r="F892" s="14"/>
    </row>
    <row r="893" spans="1:6" ht="30.75" customHeight="1" thickBot="1" x14ac:dyDescent="0.25">
      <c r="A893" s="10"/>
      <c r="E893" s="9"/>
      <c r="F893" s="14"/>
    </row>
    <row r="894" spans="1:6" ht="30.75" customHeight="1" thickBot="1" x14ac:dyDescent="0.25">
      <c r="A894" s="10"/>
      <c r="E894" s="9"/>
      <c r="F894" s="14"/>
    </row>
    <row r="895" spans="1:6" ht="30.75" customHeight="1" thickBot="1" x14ac:dyDescent="0.25">
      <c r="A895" s="10"/>
      <c r="E895" s="9"/>
      <c r="F895" s="14"/>
    </row>
    <row r="896" spans="1:6" ht="30.75" customHeight="1" thickBot="1" x14ac:dyDescent="0.25">
      <c r="A896" s="10"/>
      <c r="E896" s="9"/>
      <c r="F896" s="14"/>
    </row>
    <row r="897" spans="1:6" ht="30.75" customHeight="1" thickBot="1" x14ac:dyDescent="0.25">
      <c r="A897" s="10"/>
      <c r="E897" s="9"/>
      <c r="F897" s="14"/>
    </row>
    <row r="898" spans="1:6" ht="30.75" customHeight="1" thickBot="1" x14ac:dyDescent="0.25">
      <c r="A898" s="10"/>
      <c r="E898" s="9"/>
      <c r="F898" s="14"/>
    </row>
    <row r="899" spans="1:6" ht="30.75" customHeight="1" thickBot="1" x14ac:dyDescent="0.25">
      <c r="A899" s="10"/>
      <c r="E899" s="9"/>
      <c r="F899" s="14"/>
    </row>
    <row r="900" spans="1:6" ht="30.75" customHeight="1" thickBot="1" x14ac:dyDescent="0.25">
      <c r="A900" s="10"/>
      <c r="E900" s="9"/>
      <c r="F900" s="14"/>
    </row>
    <row r="901" spans="1:6" ht="30.75" customHeight="1" thickBot="1" x14ac:dyDescent="0.25">
      <c r="A901" s="10"/>
      <c r="E901" s="9"/>
      <c r="F901" s="14"/>
    </row>
    <row r="902" spans="1:6" ht="30.75" customHeight="1" thickBot="1" x14ac:dyDescent="0.25">
      <c r="A902" s="10"/>
      <c r="E902" s="9"/>
      <c r="F902" s="14"/>
    </row>
    <row r="903" spans="1:6" ht="30.75" customHeight="1" thickBot="1" x14ac:dyDescent="0.25">
      <c r="A903" s="10"/>
      <c r="E903" s="9"/>
      <c r="F903" s="14"/>
    </row>
    <row r="904" spans="1:6" ht="30.75" customHeight="1" thickBot="1" x14ac:dyDescent="0.25">
      <c r="A904" s="10"/>
      <c r="E904" s="9"/>
      <c r="F904" s="14"/>
    </row>
    <row r="905" spans="1:6" ht="30.75" customHeight="1" thickBot="1" x14ac:dyDescent="0.25">
      <c r="A905" s="10"/>
      <c r="E905" s="9"/>
      <c r="F905" s="14"/>
    </row>
    <row r="906" spans="1:6" ht="30.75" customHeight="1" thickBot="1" x14ac:dyDescent="0.25">
      <c r="A906" s="10"/>
      <c r="E906" s="9"/>
      <c r="F906" s="14"/>
    </row>
    <row r="907" spans="1:6" ht="30.75" customHeight="1" thickBot="1" x14ac:dyDescent="0.25">
      <c r="A907" s="10"/>
      <c r="E907" s="9"/>
      <c r="F907" s="14"/>
    </row>
    <row r="908" spans="1:6" ht="30.75" customHeight="1" thickBot="1" x14ac:dyDescent="0.25">
      <c r="A908" s="10"/>
      <c r="E908" s="9"/>
      <c r="F908" s="14"/>
    </row>
    <row r="909" spans="1:6" ht="30.75" customHeight="1" thickBot="1" x14ac:dyDescent="0.25">
      <c r="A909" s="10"/>
      <c r="E909" s="9"/>
      <c r="F909" s="14"/>
    </row>
    <row r="910" spans="1:6" ht="30.75" customHeight="1" thickBot="1" x14ac:dyDescent="0.25">
      <c r="A910" s="10"/>
      <c r="E910" s="9"/>
      <c r="F910" s="14"/>
    </row>
    <row r="911" spans="1:6" ht="30.75" customHeight="1" thickBot="1" x14ac:dyDescent="0.25">
      <c r="A911" s="10"/>
      <c r="E911" s="9"/>
      <c r="F911" s="14"/>
    </row>
    <row r="912" spans="1:6" ht="30.75" customHeight="1" thickBot="1" x14ac:dyDescent="0.25">
      <c r="A912" s="10"/>
      <c r="E912" s="9"/>
      <c r="F912" s="14"/>
    </row>
    <row r="913" spans="1:6" ht="30.75" customHeight="1" thickBot="1" x14ac:dyDescent="0.25">
      <c r="A913" s="10"/>
      <c r="E913" s="9"/>
      <c r="F913" s="14"/>
    </row>
    <row r="914" spans="1:6" ht="30.75" customHeight="1" thickBot="1" x14ac:dyDescent="0.25">
      <c r="A914" s="10"/>
      <c r="E914" s="9"/>
      <c r="F914" s="14"/>
    </row>
    <row r="915" spans="1:6" ht="30.75" customHeight="1" thickBot="1" x14ac:dyDescent="0.25">
      <c r="A915" s="10"/>
      <c r="E915" s="9"/>
      <c r="F915" s="14"/>
    </row>
    <row r="916" spans="1:6" ht="30.75" customHeight="1" thickBot="1" x14ac:dyDescent="0.25">
      <c r="A916" s="10"/>
      <c r="E916" s="9"/>
      <c r="F916" s="14"/>
    </row>
    <row r="917" spans="1:6" ht="30.75" customHeight="1" thickBot="1" x14ac:dyDescent="0.25">
      <c r="A917" s="10"/>
      <c r="E917" s="9"/>
      <c r="F917" s="14"/>
    </row>
    <row r="918" spans="1:6" ht="30.75" customHeight="1" thickBot="1" x14ac:dyDescent="0.25">
      <c r="A918" s="10"/>
      <c r="E918" s="9"/>
      <c r="F918" s="14"/>
    </row>
    <row r="919" spans="1:6" ht="30.75" customHeight="1" thickBot="1" x14ac:dyDescent="0.25">
      <c r="A919" s="10"/>
      <c r="E919" s="9"/>
      <c r="F919" s="14"/>
    </row>
    <row r="920" spans="1:6" ht="30.75" customHeight="1" thickBot="1" x14ac:dyDescent="0.25">
      <c r="A920" s="10"/>
      <c r="E920" s="9"/>
      <c r="F920" s="14"/>
    </row>
    <row r="921" spans="1:6" ht="30.75" customHeight="1" thickBot="1" x14ac:dyDescent="0.25">
      <c r="A921" s="10"/>
      <c r="E921" s="9"/>
      <c r="F921" s="14"/>
    </row>
    <row r="922" spans="1:6" ht="30.75" customHeight="1" thickBot="1" x14ac:dyDescent="0.25">
      <c r="A922" s="10"/>
      <c r="E922" s="9"/>
      <c r="F922" s="14"/>
    </row>
    <row r="923" spans="1:6" ht="30.75" customHeight="1" thickBot="1" x14ac:dyDescent="0.25">
      <c r="A923" s="10"/>
      <c r="E923" s="9"/>
      <c r="F923" s="14"/>
    </row>
    <row r="924" spans="1:6" ht="30.75" customHeight="1" thickBot="1" x14ac:dyDescent="0.25">
      <c r="A924" s="10"/>
      <c r="E924" s="9"/>
      <c r="F924" s="14"/>
    </row>
    <row r="925" spans="1:6" ht="30.75" customHeight="1" thickBot="1" x14ac:dyDescent="0.25">
      <c r="A925" s="10"/>
      <c r="E925" s="9"/>
      <c r="F925" s="14"/>
    </row>
    <row r="926" spans="1:6" ht="30.75" customHeight="1" thickBot="1" x14ac:dyDescent="0.25">
      <c r="A926" s="10"/>
      <c r="E926" s="9"/>
      <c r="F926" s="14"/>
    </row>
    <row r="927" spans="1:6" ht="30.75" customHeight="1" thickBot="1" x14ac:dyDescent="0.25">
      <c r="A927" s="10"/>
      <c r="E927" s="9"/>
      <c r="F927" s="14"/>
    </row>
    <row r="928" spans="1:6" ht="30.75" customHeight="1" thickBot="1" x14ac:dyDescent="0.25">
      <c r="A928" s="10"/>
      <c r="E928" s="9"/>
      <c r="F928" s="14"/>
    </row>
    <row r="929" spans="1:6" ht="30.75" customHeight="1" thickBot="1" x14ac:dyDescent="0.25">
      <c r="A929" s="10"/>
      <c r="E929" s="9"/>
      <c r="F929" s="14"/>
    </row>
    <row r="930" spans="1:6" ht="30.75" customHeight="1" thickBot="1" x14ac:dyDescent="0.25">
      <c r="A930" s="10"/>
      <c r="E930" s="9"/>
      <c r="F930" s="14"/>
    </row>
    <row r="931" spans="1:6" ht="30.75" customHeight="1" thickBot="1" x14ac:dyDescent="0.25">
      <c r="A931" s="10"/>
      <c r="E931" s="9"/>
      <c r="F931" s="14"/>
    </row>
    <row r="932" spans="1:6" ht="30.75" customHeight="1" thickBot="1" x14ac:dyDescent="0.25">
      <c r="A932" s="10"/>
      <c r="E932" s="9"/>
      <c r="F932" s="14"/>
    </row>
    <row r="933" spans="1:6" ht="30.75" customHeight="1" thickBot="1" x14ac:dyDescent="0.25">
      <c r="A933" s="10"/>
      <c r="E933" s="9"/>
      <c r="F933" s="14"/>
    </row>
    <row r="934" spans="1:6" ht="30.75" customHeight="1" thickBot="1" x14ac:dyDescent="0.25">
      <c r="A934" s="10"/>
      <c r="E934" s="9"/>
      <c r="F934" s="14"/>
    </row>
    <row r="935" spans="1:6" ht="30.75" customHeight="1" thickBot="1" x14ac:dyDescent="0.25">
      <c r="A935" s="10"/>
      <c r="E935" s="9"/>
      <c r="F935" s="14"/>
    </row>
    <row r="936" spans="1:6" ht="30.75" customHeight="1" thickBot="1" x14ac:dyDescent="0.25">
      <c r="A936" s="10"/>
      <c r="E936" s="9"/>
      <c r="F936" s="14"/>
    </row>
    <row r="937" spans="1:6" ht="30.75" customHeight="1" thickBot="1" x14ac:dyDescent="0.25">
      <c r="A937" s="10"/>
      <c r="E937" s="9"/>
      <c r="F937" s="14"/>
    </row>
    <row r="938" spans="1:6" ht="30.75" customHeight="1" thickBot="1" x14ac:dyDescent="0.25">
      <c r="A938" s="10"/>
      <c r="E938" s="9"/>
      <c r="F938" s="14"/>
    </row>
    <row r="939" spans="1:6" ht="30.75" customHeight="1" thickBot="1" x14ac:dyDescent="0.25">
      <c r="A939" s="10"/>
      <c r="E939" s="9"/>
      <c r="F939" s="14"/>
    </row>
    <row r="940" spans="1:6" ht="30.75" customHeight="1" thickBot="1" x14ac:dyDescent="0.25">
      <c r="A940" s="10"/>
      <c r="E940" s="9"/>
      <c r="F940" s="14"/>
    </row>
    <row r="941" spans="1:6" ht="30.75" customHeight="1" thickBot="1" x14ac:dyDescent="0.25">
      <c r="A941" s="10"/>
      <c r="E941" s="9"/>
      <c r="F941" s="14"/>
    </row>
    <row r="942" spans="1:6" ht="30.75" customHeight="1" thickBot="1" x14ac:dyDescent="0.25">
      <c r="A942" s="10"/>
      <c r="E942" s="9"/>
      <c r="F942" s="14"/>
    </row>
    <row r="943" spans="1:6" ht="30.75" customHeight="1" thickBot="1" x14ac:dyDescent="0.25">
      <c r="A943" s="10"/>
      <c r="E943" s="9"/>
      <c r="F943" s="14"/>
    </row>
    <row r="944" spans="1:6" ht="30.75" customHeight="1" thickBot="1" x14ac:dyDescent="0.25">
      <c r="A944" s="10"/>
      <c r="E944" s="9"/>
      <c r="F944" s="14"/>
    </row>
    <row r="945" spans="1:6" ht="30.75" customHeight="1" thickBot="1" x14ac:dyDescent="0.25">
      <c r="A945" s="10"/>
      <c r="E945" s="9"/>
      <c r="F945" s="14"/>
    </row>
    <row r="946" spans="1:6" ht="30.75" customHeight="1" thickBot="1" x14ac:dyDescent="0.25">
      <c r="A946" s="10"/>
      <c r="E946" s="9"/>
      <c r="F946" s="14"/>
    </row>
    <row r="947" spans="1:6" ht="30.75" customHeight="1" thickBot="1" x14ac:dyDescent="0.25">
      <c r="A947" s="10"/>
      <c r="E947" s="9"/>
      <c r="F947" s="14"/>
    </row>
    <row r="948" spans="1:6" ht="30.75" customHeight="1" thickBot="1" x14ac:dyDescent="0.25">
      <c r="A948" s="10"/>
      <c r="E948" s="9"/>
      <c r="F948" s="14"/>
    </row>
    <row r="949" spans="1:6" ht="30.75" customHeight="1" thickBot="1" x14ac:dyDescent="0.25">
      <c r="A949" s="10"/>
      <c r="E949" s="9"/>
      <c r="F949" s="14"/>
    </row>
    <row r="950" spans="1:6" ht="30.75" customHeight="1" thickBot="1" x14ac:dyDescent="0.25">
      <c r="A950" s="10"/>
      <c r="E950" s="9"/>
      <c r="F950" s="14"/>
    </row>
    <row r="951" spans="1:6" ht="30.75" customHeight="1" thickBot="1" x14ac:dyDescent="0.25">
      <c r="A951" s="10"/>
      <c r="E951" s="9"/>
      <c r="F951" s="14"/>
    </row>
    <row r="952" spans="1:6" ht="30.75" customHeight="1" thickBot="1" x14ac:dyDescent="0.25">
      <c r="A952" s="10"/>
      <c r="E952" s="9"/>
      <c r="F952" s="14"/>
    </row>
    <row r="953" spans="1:6" ht="30.75" customHeight="1" thickBot="1" x14ac:dyDescent="0.25">
      <c r="A953" s="10"/>
      <c r="E953" s="9"/>
      <c r="F953" s="14"/>
    </row>
    <row r="954" spans="1:6" ht="30.75" customHeight="1" thickBot="1" x14ac:dyDescent="0.25">
      <c r="A954" s="10"/>
      <c r="E954" s="9"/>
      <c r="F954" s="14"/>
    </row>
    <row r="955" spans="1:6" ht="30.75" customHeight="1" thickBot="1" x14ac:dyDescent="0.25">
      <c r="A955" s="10"/>
      <c r="E955" s="9"/>
      <c r="F955" s="14"/>
    </row>
    <row r="956" spans="1:6" ht="30.75" customHeight="1" thickBot="1" x14ac:dyDescent="0.25">
      <c r="A956" s="10"/>
      <c r="E956" s="9"/>
      <c r="F956" s="14"/>
    </row>
    <row r="957" spans="1:6" ht="30.75" customHeight="1" thickBot="1" x14ac:dyDescent="0.25">
      <c r="A957" s="10"/>
      <c r="E957" s="9"/>
      <c r="F957" s="14"/>
    </row>
    <row r="958" spans="1:6" ht="30.75" customHeight="1" thickBot="1" x14ac:dyDescent="0.25">
      <c r="A958" s="10"/>
      <c r="E958" s="9"/>
      <c r="F958" s="14"/>
    </row>
    <row r="959" spans="1:6" ht="30.75" customHeight="1" thickBot="1" x14ac:dyDescent="0.25">
      <c r="A959" s="10"/>
      <c r="E959" s="9"/>
      <c r="F959" s="14"/>
    </row>
    <row r="960" spans="1:6" ht="30.75" customHeight="1" thickBot="1" x14ac:dyDescent="0.25">
      <c r="A960" s="10"/>
      <c r="E960" s="9"/>
      <c r="F960" s="14"/>
    </row>
    <row r="961" spans="1:6" ht="30.75" customHeight="1" thickBot="1" x14ac:dyDescent="0.25">
      <c r="A961" s="10"/>
      <c r="E961" s="9"/>
      <c r="F961" s="14"/>
    </row>
    <row r="962" spans="1:6" ht="30.75" customHeight="1" thickBot="1" x14ac:dyDescent="0.25">
      <c r="A962" s="10"/>
      <c r="E962" s="9"/>
      <c r="F962" s="14"/>
    </row>
    <row r="963" spans="1:6" ht="30.75" customHeight="1" thickBot="1" x14ac:dyDescent="0.25">
      <c r="A963" s="10"/>
      <c r="E963" s="9"/>
      <c r="F963" s="14"/>
    </row>
    <row r="964" spans="1:6" ht="30.75" customHeight="1" thickBot="1" x14ac:dyDescent="0.25">
      <c r="A964" s="10"/>
      <c r="E964" s="9"/>
      <c r="F964" s="14"/>
    </row>
    <row r="965" spans="1:6" ht="30.75" customHeight="1" thickBot="1" x14ac:dyDescent="0.25">
      <c r="A965" s="10"/>
      <c r="E965" s="9"/>
      <c r="F965" s="14"/>
    </row>
    <row r="966" spans="1:6" ht="30.75" customHeight="1" thickBot="1" x14ac:dyDescent="0.25">
      <c r="A966" s="10"/>
      <c r="E966" s="9"/>
      <c r="F966" s="14"/>
    </row>
    <row r="967" spans="1:6" ht="30.75" customHeight="1" thickBot="1" x14ac:dyDescent="0.25">
      <c r="A967" s="10"/>
      <c r="E967" s="9"/>
      <c r="F967" s="14"/>
    </row>
    <row r="968" spans="1:6" ht="30.75" customHeight="1" thickBot="1" x14ac:dyDescent="0.25">
      <c r="A968" s="10"/>
      <c r="E968" s="9"/>
      <c r="F968" s="14"/>
    </row>
    <row r="969" spans="1:6" ht="30.75" customHeight="1" thickBot="1" x14ac:dyDescent="0.25">
      <c r="A969" s="10"/>
      <c r="E969" s="9"/>
      <c r="F969" s="14"/>
    </row>
    <row r="970" spans="1:6" ht="30.75" customHeight="1" thickBot="1" x14ac:dyDescent="0.25">
      <c r="A970" s="10"/>
      <c r="E970" s="9"/>
      <c r="F970" s="14"/>
    </row>
    <row r="971" spans="1:6" ht="30.75" customHeight="1" thickBot="1" x14ac:dyDescent="0.25">
      <c r="A971" s="10"/>
      <c r="E971" s="9"/>
      <c r="F971" s="14"/>
    </row>
    <row r="972" spans="1:6" ht="30.75" customHeight="1" thickBot="1" x14ac:dyDescent="0.25">
      <c r="A972" s="10"/>
      <c r="E972" s="9"/>
      <c r="F972" s="14"/>
    </row>
    <row r="973" spans="1:6" ht="30.75" customHeight="1" thickBot="1" x14ac:dyDescent="0.25">
      <c r="A973" s="10"/>
      <c r="E973" s="9"/>
      <c r="F973" s="14"/>
    </row>
    <row r="974" spans="1:6" ht="30.75" customHeight="1" thickBot="1" x14ac:dyDescent="0.25">
      <c r="A974" s="10"/>
      <c r="E974" s="9"/>
      <c r="F974" s="14"/>
    </row>
    <row r="975" spans="1:6" ht="30.75" customHeight="1" thickBot="1" x14ac:dyDescent="0.25">
      <c r="A975" s="10"/>
      <c r="E975" s="9"/>
      <c r="F975" s="14"/>
    </row>
    <row r="976" spans="1:6" ht="30.75" customHeight="1" thickBot="1" x14ac:dyDescent="0.25">
      <c r="A976" s="10"/>
      <c r="E976" s="9"/>
      <c r="F976" s="14"/>
    </row>
    <row r="977" spans="1:6" ht="30.75" customHeight="1" thickBot="1" x14ac:dyDescent="0.25">
      <c r="A977" s="10"/>
      <c r="E977" s="9"/>
      <c r="F977" s="14"/>
    </row>
    <row r="978" spans="1:6" ht="30.75" customHeight="1" thickBot="1" x14ac:dyDescent="0.25">
      <c r="A978" s="10"/>
      <c r="E978" s="9"/>
      <c r="F978" s="14"/>
    </row>
    <row r="979" spans="1:6" ht="30.75" customHeight="1" thickBot="1" x14ac:dyDescent="0.25">
      <c r="A979" s="10"/>
      <c r="E979" s="9"/>
      <c r="F979" s="14"/>
    </row>
    <row r="980" spans="1:6" ht="30.75" customHeight="1" thickBot="1" x14ac:dyDescent="0.25">
      <c r="A980" s="10"/>
      <c r="E980" s="9"/>
      <c r="F980" s="14"/>
    </row>
    <row r="981" spans="1:6" ht="30.75" customHeight="1" thickBot="1" x14ac:dyDescent="0.25">
      <c r="A981" s="10"/>
      <c r="E981" s="9"/>
      <c r="F981" s="14"/>
    </row>
    <row r="982" spans="1:6" ht="30.75" customHeight="1" thickBot="1" x14ac:dyDescent="0.25">
      <c r="A982" s="10"/>
      <c r="E982" s="9"/>
      <c r="F982" s="14"/>
    </row>
    <row r="983" spans="1:6" ht="30.75" customHeight="1" thickBot="1" x14ac:dyDescent="0.25">
      <c r="A983" s="10"/>
      <c r="E983" s="9"/>
      <c r="F983" s="14"/>
    </row>
    <row r="984" spans="1:6" ht="30.75" customHeight="1" thickBot="1" x14ac:dyDescent="0.25">
      <c r="A984" s="10"/>
      <c r="E984" s="9"/>
      <c r="F984" s="14"/>
    </row>
    <row r="985" spans="1:6" ht="30.75" customHeight="1" thickBot="1" x14ac:dyDescent="0.25">
      <c r="A985" s="10"/>
      <c r="E985" s="9"/>
      <c r="F985" s="14"/>
    </row>
    <row r="986" spans="1:6" ht="30.75" customHeight="1" thickBot="1" x14ac:dyDescent="0.25">
      <c r="A986" s="10"/>
      <c r="E986" s="9"/>
      <c r="F986" s="14"/>
    </row>
    <row r="987" spans="1:6" ht="30.75" customHeight="1" thickBot="1" x14ac:dyDescent="0.25">
      <c r="A987" s="10"/>
      <c r="E987" s="9"/>
      <c r="F987" s="14"/>
    </row>
    <row r="988" spans="1:6" ht="30.75" customHeight="1" thickBot="1" x14ac:dyDescent="0.25">
      <c r="A988" s="10"/>
      <c r="E988" s="9"/>
      <c r="F988" s="14"/>
    </row>
    <row r="989" spans="1:6" ht="30.75" customHeight="1" thickBot="1" x14ac:dyDescent="0.25">
      <c r="A989" s="10"/>
      <c r="E989" s="9"/>
      <c r="F989" s="14"/>
    </row>
    <row r="990" spans="1:6" ht="30.75" customHeight="1" thickBot="1" x14ac:dyDescent="0.25">
      <c r="A990" s="10"/>
      <c r="E990" s="9"/>
      <c r="F990" s="14"/>
    </row>
    <row r="991" spans="1:6" ht="30.75" customHeight="1" thickBot="1" x14ac:dyDescent="0.25">
      <c r="A991" s="10"/>
      <c r="E991" s="9"/>
      <c r="F991" s="14"/>
    </row>
    <row r="992" spans="1:6" ht="30.75" customHeight="1" thickBot="1" x14ac:dyDescent="0.25">
      <c r="A992" s="10"/>
      <c r="E992" s="9"/>
      <c r="F992" s="14"/>
    </row>
    <row r="993" spans="1:6" ht="30.75" customHeight="1" thickBot="1" x14ac:dyDescent="0.25">
      <c r="A993" s="10"/>
      <c r="E993" s="9"/>
      <c r="F993" s="14"/>
    </row>
    <row r="994" spans="1:6" ht="30.75" customHeight="1" thickBot="1" x14ac:dyDescent="0.25">
      <c r="A994" s="10"/>
      <c r="E994" s="9"/>
      <c r="F994" s="14"/>
    </row>
    <row r="995" spans="1:6" ht="30.75" customHeight="1" thickBot="1" x14ac:dyDescent="0.25">
      <c r="A995" s="10"/>
      <c r="E995" s="9"/>
      <c r="F995" s="14"/>
    </row>
    <row r="996" spans="1:6" ht="30.75" customHeight="1" thickBot="1" x14ac:dyDescent="0.25">
      <c r="A996" s="10"/>
      <c r="E996" s="9"/>
      <c r="F996" s="14"/>
    </row>
    <row r="997" spans="1:6" ht="30.75" customHeight="1" thickBot="1" x14ac:dyDescent="0.25">
      <c r="A997" s="10"/>
      <c r="E997" s="9"/>
      <c r="F997" s="14"/>
    </row>
    <row r="998" spans="1:6" ht="30.75" customHeight="1" thickBot="1" x14ac:dyDescent="0.25">
      <c r="A998" s="10"/>
      <c r="E998" s="9"/>
      <c r="F998" s="14"/>
    </row>
    <row r="999" spans="1:6" ht="30.75" customHeight="1" thickBot="1" x14ac:dyDescent="0.25">
      <c r="A999" s="10"/>
      <c r="E999" s="9"/>
      <c r="F999" s="14"/>
    </row>
    <row r="1000" spans="1:6" ht="30.75" customHeight="1" thickBot="1" x14ac:dyDescent="0.25">
      <c r="A1000" s="10"/>
      <c r="E1000" s="9"/>
      <c r="F1000" s="14"/>
    </row>
    <row r="1001" spans="1:6" ht="30.75" customHeight="1" thickBot="1" x14ac:dyDescent="0.25">
      <c r="A1001" s="10"/>
      <c r="E1001" s="9"/>
      <c r="F1001" s="14"/>
    </row>
    <row r="1002" spans="1:6" ht="30.75" customHeight="1" thickBot="1" x14ac:dyDescent="0.25">
      <c r="A1002" s="10"/>
      <c r="E1002" s="9"/>
      <c r="F1002" s="14"/>
    </row>
    <row r="1003" spans="1:6" ht="30.75" customHeight="1" thickBot="1" x14ac:dyDescent="0.25">
      <c r="A1003" s="10"/>
      <c r="E1003" s="9"/>
      <c r="F1003" s="14"/>
    </row>
    <row r="1004" spans="1:6" ht="30.75" customHeight="1" thickBot="1" x14ac:dyDescent="0.25">
      <c r="A1004" s="10"/>
      <c r="E1004" s="9"/>
      <c r="F1004" s="14"/>
    </row>
    <row r="1005" spans="1:6" ht="30.75" customHeight="1" thickBot="1" x14ac:dyDescent="0.25">
      <c r="A1005" s="10"/>
      <c r="E1005" s="9"/>
      <c r="F1005" s="14"/>
    </row>
    <row r="1006" spans="1:6" ht="30.75" customHeight="1" thickBot="1" x14ac:dyDescent="0.25">
      <c r="A1006" s="10"/>
      <c r="E1006" s="9"/>
      <c r="F1006" s="14"/>
    </row>
    <row r="1007" spans="1:6" ht="30.75" customHeight="1" thickBot="1" x14ac:dyDescent="0.25">
      <c r="A1007" s="10"/>
      <c r="E1007" s="9"/>
      <c r="F1007" s="14"/>
    </row>
    <row r="1008" spans="1:6" ht="30.75" customHeight="1" thickBot="1" x14ac:dyDescent="0.25">
      <c r="A1008" s="10"/>
      <c r="E1008" s="9"/>
      <c r="F1008" s="14"/>
    </row>
    <row r="1009" spans="1:6" ht="30.75" customHeight="1" thickBot="1" x14ac:dyDescent="0.25">
      <c r="A1009" s="10"/>
      <c r="E1009" s="9"/>
      <c r="F1009" s="14"/>
    </row>
    <row r="1010" spans="1:6" ht="30.75" customHeight="1" thickBot="1" x14ac:dyDescent="0.25">
      <c r="A1010" s="10"/>
      <c r="E1010" s="9"/>
      <c r="F1010" s="14"/>
    </row>
    <row r="1011" spans="1:6" ht="30.75" customHeight="1" thickBot="1" x14ac:dyDescent="0.25">
      <c r="A1011" s="10"/>
      <c r="E1011" s="9"/>
      <c r="F1011" s="14"/>
    </row>
    <row r="1012" spans="1:6" ht="30.75" customHeight="1" thickBot="1" x14ac:dyDescent="0.25">
      <c r="A1012" s="10"/>
      <c r="E1012" s="9"/>
      <c r="F1012" s="14"/>
    </row>
    <row r="1013" spans="1:6" ht="30.75" customHeight="1" thickBot="1" x14ac:dyDescent="0.25">
      <c r="A1013" s="10"/>
      <c r="E1013" s="9"/>
      <c r="F1013" s="14"/>
    </row>
    <row r="1014" spans="1:6" ht="30.75" customHeight="1" thickBot="1" x14ac:dyDescent="0.25">
      <c r="A1014" s="10"/>
      <c r="E1014" s="9"/>
      <c r="F1014" s="14"/>
    </row>
    <row r="1015" spans="1:6" ht="30.75" customHeight="1" thickBot="1" x14ac:dyDescent="0.25">
      <c r="A1015" s="10"/>
      <c r="E1015" s="9"/>
      <c r="F1015" s="14"/>
    </row>
    <row r="1016" spans="1:6" ht="30.75" customHeight="1" thickBot="1" x14ac:dyDescent="0.25">
      <c r="A1016" s="10"/>
      <c r="E1016" s="9"/>
      <c r="F1016" s="14"/>
    </row>
    <row r="1017" spans="1:6" ht="30.75" customHeight="1" thickBot="1" x14ac:dyDescent="0.25">
      <c r="A1017" s="10"/>
      <c r="E1017" s="9"/>
      <c r="F1017" s="14"/>
    </row>
    <row r="1018" spans="1:6" ht="30.75" customHeight="1" thickBot="1" x14ac:dyDescent="0.25">
      <c r="A1018" s="10"/>
      <c r="E1018" s="9"/>
      <c r="F1018" s="14"/>
    </row>
    <row r="1019" spans="1:6" ht="30.75" customHeight="1" thickBot="1" x14ac:dyDescent="0.25">
      <c r="A1019" s="10"/>
      <c r="E1019" s="9"/>
      <c r="F1019" s="14"/>
    </row>
    <row r="1020" spans="1:6" ht="30.75" customHeight="1" thickBot="1" x14ac:dyDescent="0.25">
      <c r="A1020" s="10"/>
      <c r="E1020" s="9"/>
      <c r="F1020" s="14"/>
    </row>
    <row r="1021" spans="1:6" ht="30.75" customHeight="1" thickBot="1" x14ac:dyDescent="0.25">
      <c r="A1021" s="10"/>
      <c r="E1021" s="9"/>
      <c r="F1021" s="14"/>
    </row>
    <row r="1022" spans="1:6" ht="30.75" customHeight="1" thickBot="1" x14ac:dyDescent="0.25">
      <c r="A1022" s="10"/>
      <c r="E1022" s="9"/>
      <c r="F1022" s="14"/>
    </row>
    <row r="1023" spans="1:6" ht="30.75" customHeight="1" thickBot="1" x14ac:dyDescent="0.25">
      <c r="A1023" s="10"/>
      <c r="E1023" s="9"/>
      <c r="F1023" s="14"/>
    </row>
    <row r="1024" spans="1:6" ht="30.75" customHeight="1" thickBot="1" x14ac:dyDescent="0.25">
      <c r="A1024" s="10"/>
      <c r="E1024" s="9"/>
      <c r="F1024" s="14"/>
    </row>
    <row r="1025" spans="1:6" ht="30.75" customHeight="1" thickBot="1" x14ac:dyDescent="0.25">
      <c r="A1025" s="10"/>
      <c r="E1025" s="9"/>
      <c r="F1025" s="14"/>
    </row>
    <row r="1026" spans="1:6" ht="30.75" customHeight="1" thickBot="1" x14ac:dyDescent="0.25">
      <c r="A1026" s="10"/>
      <c r="E1026" s="9"/>
      <c r="F1026" s="14"/>
    </row>
    <row r="1027" spans="1:6" ht="30.75" customHeight="1" thickBot="1" x14ac:dyDescent="0.25">
      <c r="A1027" s="10"/>
      <c r="E1027" s="9"/>
      <c r="F1027" s="14"/>
    </row>
    <row r="1028" spans="1:6" ht="30.75" customHeight="1" thickBot="1" x14ac:dyDescent="0.25">
      <c r="A1028" s="10"/>
      <c r="E1028" s="9"/>
      <c r="F1028" s="14"/>
    </row>
    <row r="1029" spans="1:6" ht="30.75" customHeight="1" thickBot="1" x14ac:dyDescent="0.25">
      <c r="A1029" s="10"/>
      <c r="E1029" s="9"/>
      <c r="F1029" s="14"/>
    </row>
    <row r="1030" spans="1:6" ht="30.75" customHeight="1" thickBot="1" x14ac:dyDescent="0.25">
      <c r="A1030" s="10"/>
      <c r="E1030" s="9"/>
      <c r="F1030" s="14"/>
    </row>
    <row r="1031" spans="1:6" ht="30.75" customHeight="1" thickBot="1" x14ac:dyDescent="0.25">
      <c r="A1031" s="10"/>
      <c r="E1031" s="9"/>
      <c r="F1031" s="14"/>
    </row>
    <row r="1032" spans="1:6" ht="30.75" customHeight="1" thickBot="1" x14ac:dyDescent="0.25">
      <c r="A1032" s="10"/>
      <c r="E1032" s="9"/>
      <c r="F1032" s="14"/>
    </row>
    <row r="1033" spans="1:6" ht="30.75" customHeight="1" thickBot="1" x14ac:dyDescent="0.25">
      <c r="A1033" s="10"/>
      <c r="E1033" s="9"/>
      <c r="F1033" s="14"/>
    </row>
    <row r="1034" spans="1:6" ht="30.75" customHeight="1" thickBot="1" x14ac:dyDescent="0.25">
      <c r="A1034" s="10"/>
      <c r="E1034" s="9"/>
      <c r="F1034" s="14"/>
    </row>
    <row r="1035" spans="1:6" ht="30.75" customHeight="1" thickBot="1" x14ac:dyDescent="0.25">
      <c r="A1035" s="10"/>
      <c r="E1035" s="9"/>
      <c r="F1035" s="14"/>
    </row>
    <row r="1036" spans="1:6" ht="30.75" customHeight="1" thickBot="1" x14ac:dyDescent="0.25">
      <c r="A1036" s="10"/>
      <c r="E1036" s="9"/>
      <c r="F1036" s="14"/>
    </row>
    <row r="1037" spans="1:6" ht="30.75" customHeight="1" thickBot="1" x14ac:dyDescent="0.25">
      <c r="A1037" s="10"/>
      <c r="E1037" s="9"/>
      <c r="F1037" s="14"/>
    </row>
    <row r="1038" spans="1:6" ht="30.75" customHeight="1" thickBot="1" x14ac:dyDescent="0.25">
      <c r="A1038" s="10"/>
      <c r="E1038" s="9"/>
      <c r="F1038" s="14"/>
    </row>
    <row r="1039" spans="1:6" ht="30.75" customHeight="1" thickBot="1" x14ac:dyDescent="0.25">
      <c r="A1039" s="10"/>
      <c r="E1039" s="9"/>
      <c r="F1039" s="14"/>
    </row>
    <row r="1040" spans="1:6" ht="30.75" customHeight="1" thickBot="1" x14ac:dyDescent="0.25">
      <c r="A1040" s="10"/>
      <c r="E1040" s="9"/>
      <c r="F1040" s="14"/>
    </row>
    <row r="1041" spans="1:6" ht="30.75" customHeight="1" thickBot="1" x14ac:dyDescent="0.25">
      <c r="A1041" s="10"/>
      <c r="E1041" s="9"/>
      <c r="F1041" s="14"/>
    </row>
    <row r="1042" spans="1:6" ht="30.75" customHeight="1" thickBot="1" x14ac:dyDescent="0.25">
      <c r="A1042" s="10"/>
      <c r="E1042" s="9"/>
      <c r="F1042" s="14"/>
    </row>
    <row r="1043" spans="1:6" ht="30.75" customHeight="1" thickBot="1" x14ac:dyDescent="0.25">
      <c r="A1043" s="10"/>
      <c r="E1043" s="9"/>
      <c r="F1043" s="14"/>
    </row>
    <row r="1044" spans="1:6" ht="30.75" customHeight="1" thickBot="1" x14ac:dyDescent="0.25">
      <c r="A1044" s="10"/>
      <c r="E1044" s="9"/>
      <c r="F1044" s="14"/>
    </row>
    <row r="1045" spans="1:6" ht="30.75" customHeight="1" thickBot="1" x14ac:dyDescent="0.25">
      <c r="A1045" s="10"/>
      <c r="E1045" s="9"/>
      <c r="F1045" s="14"/>
    </row>
    <row r="1046" spans="1:6" ht="30.75" customHeight="1" thickBot="1" x14ac:dyDescent="0.25">
      <c r="A1046" s="10"/>
      <c r="E1046" s="9"/>
      <c r="F1046" s="14"/>
    </row>
    <row r="1047" spans="1:6" ht="30.75" customHeight="1" thickBot="1" x14ac:dyDescent="0.25">
      <c r="A1047" s="10"/>
      <c r="E1047" s="9"/>
      <c r="F1047" s="14"/>
    </row>
    <row r="1048" spans="1:6" ht="30.75" customHeight="1" thickBot="1" x14ac:dyDescent="0.25">
      <c r="A1048" s="10"/>
      <c r="E1048" s="9"/>
      <c r="F1048" s="14"/>
    </row>
    <row r="1049" spans="1:6" ht="30.75" customHeight="1" thickBot="1" x14ac:dyDescent="0.25">
      <c r="A1049" s="10"/>
      <c r="E1049" s="9"/>
      <c r="F1049" s="14"/>
    </row>
    <row r="1050" spans="1:6" ht="30.75" customHeight="1" thickBot="1" x14ac:dyDescent="0.25">
      <c r="A1050" s="10"/>
      <c r="E1050" s="9"/>
      <c r="F1050" s="14"/>
    </row>
    <row r="1051" spans="1:6" ht="30.75" customHeight="1" thickBot="1" x14ac:dyDescent="0.25">
      <c r="A1051" s="10"/>
      <c r="E1051" s="9"/>
      <c r="F1051" s="14"/>
    </row>
    <row r="1052" spans="1:6" ht="30.75" customHeight="1" thickBot="1" x14ac:dyDescent="0.25">
      <c r="A1052" s="10"/>
      <c r="E1052" s="9"/>
      <c r="F1052" s="14"/>
    </row>
    <row r="1053" spans="1:6" ht="30.75" customHeight="1" thickBot="1" x14ac:dyDescent="0.25">
      <c r="A1053" s="10"/>
      <c r="E1053" s="9"/>
      <c r="F1053" s="14"/>
    </row>
    <row r="1054" spans="1:6" ht="30.75" customHeight="1" thickBot="1" x14ac:dyDescent="0.25">
      <c r="A1054" s="10"/>
      <c r="E1054" s="9"/>
      <c r="F1054" s="14"/>
    </row>
    <row r="1055" spans="1:6" ht="30.75" customHeight="1" thickBot="1" x14ac:dyDescent="0.25">
      <c r="A1055" s="10"/>
      <c r="E1055" s="9"/>
      <c r="F1055" s="14"/>
    </row>
    <row r="1056" spans="1:6" ht="30.75" customHeight="1" thickBot="1" x14ac:dyDescent="0.25">
      <c r="A1056" s="10"/>
      <c r="E1056" s="9"/>
      <c r="F1056" s="14"/>
    </row>
    <row r="1057" spans="1:6" ht="30.75" customHeight="1" thickBot="1" x14ac:dyDescent="0.25">
      <c r="A1057" s="10"/>
      <c r="E1057" s="9"/>
      <c r="F1057" s="14"/>
    </row>
    <row r="1058" spans="1:6" ht="30.75" customHeight="1" thickBot="1" x14ac:dyDescent="0.25">
      <c r="A1058" s="10"/>
      <c r="E1058" s="9"/>
      <c r="F1058" s="14"/>
    </row>
    <row r="1059" spans="1:6" ht="30.75" customHeight="1" thickBot="1" x14ac:dyDescent="0.25">
      <c r="A1059" s="10"/>
      <c r="E1059" s="9"/>
      <c r="F1059" s="14"/>
    </row>
    <row r="1060" spans="1:6" ht="30.75" customHeight="1" thickBot="1" x14ac:dyDescent="0.25">
      <c r="A1060" s="10"/>
      <c r="E1060" s="9"/>
      <c r="F1060" s="14"/>
    </row>
    <row r="1061" spans="1:6" ht="30.75" customHeight="1" thickBot="1" x14ac:dyDescent="0.25">
      <c r="A1061" s="10"/>
      <c r="E1061" s="9"/>
      <c r="F1061" s="14"/>
    </row>
    <row r="1062" spans="1:6" ht="30.75" customHeight="1" thickBot="1" x14ac:dyDescent="0.25">
      <c r="A1062" s="10"/>
      <c r="E1062" s="9"/>
      <c r="F1062" s="14"/>
    </row>
    <row r="1063" spans="1:6" ht="30.75" customHeight="1" thickBot="1" x14ac:dyDescent="0.25">
      <c r="A1063" s="10"/>
      <c r="E1063" s="9"/>
      <c r="F1063" s="14"/>
    </row>
    <row r="1064" spans="1:6" ht="30.75" customHeight="1" thickBot="1" x14ac:dyDescent="0.25">
      <c r="A1064" s="10"/>
      <c r="E1064" s="9"/>
      <c r="F1064" s="14"/>
    </row>
    <row r="1065" spans="1:6" ht="30.75" customHeight="1" thickBot="1" x14ac:dyDescent="0.25">
      <c r="A1065" s="10"/>
      <c r="E1065" s="9"/>
      <c r="F1065" s="14"/>
    </row>
    <row r="1066" spans="1:6" ht="30.75" customHeight="1" thickBot="1" x14ac:dyDescent="0.25">
      <c r="A1066" s="10"/>
      <c r="E1066" s="9"/>
      <c r="F1066" s="14"/>
    </row>
    <row r="1067" spans="1:6" ht="30.75" customHeight="1" thickBot="1" x14ac:dyDescent="0.25">
      <c r="A1067" s="10"/>
      <c r="E1067" s="9"/>
      <c r="F1067" s="14"/>
    </row>
    <row r="1068" spans="1:6" ht="30.75" customHeight="1" thickBot="1" x14ac:dyDescent="0.25">
      <c r="A1068" s="10"/>
      <c r="E1068" s="9"/>
      <c r="F1068" s="14"/>
    </row>
    <row r="1069" spans="1:6" ht="30.75" customHeight="1" thickBot="1" x14ac:dyDescent="0.25">
      <c r="A1069" s="10"/>
      <c r="E1069" s="9"/>
      <c r="F1069" s="14"/>
    </row>
    <row r="1070" spans="1:6" ht="30.75" customHeight="1" thickBot="1" x14ac:dyDescent="0.25">
      <c r="A1070" s="10"/>
      <c r="E1070" s="9"/>
      <c r="F1070" s="14"/>
    </row>
    <row r="1071" spans="1:6" ht="30.75" customHeight="1" thickBot="1" x14ac:dyDescent="0.25">
      <c r="A1071" s="10"/>
      <c r="E1071" s="9"/>
      <c r="F1071" s="14"/>
    </row>
    <row r="1072" spans="1:6" ht="30.75" customHeight="1" thickBot="1" x14ac:dyDescent="0.25">
      <c r="A1072" s="10"/>
      <c r="E1072" s="9"/>
      <c r="F1072" s="14"/>
    </row>
    <row r="1073" spans="1:6" ht="30.75" customHeight="1" thickBot="1" x14ac:dyDescent="0.25">
      <c r="A1073" s="10"/>
      <c r="E1073" s="9"/>
      <c r="F1073" s="14"/>
    </row>
    <row r="1074" spans="1:6" ht="30.75" customHeight="1" thickBot="1" x14ac:dyDescent="0.25">
      <c r="A1074" s="10"/>
      <c r="E1074" s="9"/>
      <c r="F1074" s="14"/>
    </row>
    <row r="1075" spans="1:6" ht="30.75" customHeight="1" thickBot="1" x14ac:dyDescent="0.25">
      <c r="A1075" s="10"/>
      <c r="E1075" s="9"/>
      <c r="F1075" s="14"/>
    </row>
    <row r="1076" spans="1:6" ht="30.75" customHeight="1" thickBot="1" x14ac:dyDescent="0.25">
      <c r="A1076" s="10"/>
      <c r="E1076" s="9"/>
      <c r="F1076" s="14"/>
    </row>
    <row r="1077" spans="1:6" ht="30.75" customHeight="1" thickBot="1" x14ac:dyDescent="0.25">
      <c r="A1077" s="10"/>
      <c r="E1077" s="9"/>
      <c r="F1077" s="14"/>
    </row>
    <row r="1078" spans="1:6" ht="30.75" customHeight="1" thickBot="1" x14ac:dyDescent="0.25">
      <c r="A1078" s="10"/>
      <c r="E1078" s="9"/>
      <c r="F1078" s="14"/>
    </row>
    <row r="1079" spans="1:6" ht="30.75" customHeight="1" thickBot="1" x14ac:dyDescent="0.25">
      <c r="A1079" s="10"/>
      <c r="E1079" s="9"/>
      <c r="F1079" s="14"/>
    </row>
    <row r="1080" spans="1:6" ht="30.75" customHeight="1" thickBot="1" x14ac:dyDescent="0.25">
      <c r="A1080" s="10"/>
      <c r="E1080" s="9"/>
      <c r="F1080" s="14"/>
    </row>
    <row r="1081" spans="1:6" ht="30.75" customHeight="1" thickBot="1" x14ac:dyDescent="0.25">
      <c r="A1081" s="10"/>
      <c r="E1081" s="9"/>
      <c r="F1081" s="14"/>
    </row>
    <row r="1082" spans="1:6" ht="30.75" customHeight="1" thickBot="1" x14ac:dyDescent="0.25">
      <c r="A1082" s="10"/>
      <c r="E1082" s="9"/>
      <c r="F1082" s="14"/>
    </row>
    <row r="1083" spans="1:6" ht="30.75" customHeight="1" thickBot="1" x14ac:dyDescent="0.25">
      <c r="A1083" s="10"/>
      <c r="E1083" s="9"/>
      <c r="F1083" s="14"/>
    </row>
    <row r="1084" spans="1:6" ht="30.75" customHeight="1" thickBot="1" x14ac:dyDescent="0.25">
      <c r="A1084" s="10"/>
      <c r="E1084" s="9"/>
      <c r="F1084" s="14"/>
    </row>
    <row r="1085" spans="1:6" ht="30.75" customHeight="1" thickBot="1" x14ac:dyDescent="0.25">
      <c r="A1085" s="10"/>
      <c r="E1085" s="9"/>
      <c r="F1085" s="14"/>
    </row>
    <row r="1086" spans="1:6" ht="30.75" customHeight="1" thickBot="1" x14ac:dyDescent="0.25">
      <c r="A1086" s="10"/>
      <c r="E1086" s="9"/>
      <c r="F1086" s="14"/>
    </row>
    <row r="1087" spans="1:6" ht="30.75" customHeight="1" thickBot="1" x14ac:dyDescent="0.25">
      <c r="A1087" s="10"/>
      <c r="E1087" s="9"/>
      <c r="F1087" s="14"/>
    </row>
    <row r="1088" spans="1:6" ht="30.75" customHeight="1" thickBot="1" x14ac:dyDescent="0.25">
      <c r="A1088" s="10"/>
      <c r="E1088" s="9"/>
      <c r="F1088" s="14"/>
    </row>
    <row r="1089" spans="1:6" ht="30.75" customHeight="1" thickBot="1" x14ac:dyDescent="0.25">
      <c r="A1089" s="10"/>
      <c r="E1089" s="9"/>
      <c r="F1089" s="14"/>
    </row>
    <row r="1090" spans="1:6" ht="30.75" customHeight="1" thickBot="1" x14ac:dyDescent="0.25">
      <c r="A1090" s="10"/>
      <c r="E1090" s="9"/>
      <c r="F1090" s="14"/>
    </row>
    <row r="1091" spans="1:6" ht="30.75" customHeight="1" thickBot="1" x14ac:dyDescent="0.25">
      <c r="A1091" s="10"/>
      <c r="E1091" s="9"/>
      <c r="F1091" s="14"/>
    </row>
    <row r="1092" spans="1:6" ht="30.75" customHeight="1" thickBot="1" x14ac:dyDescent="0.25">
      <c r="A1092" s="10"/>
      <c r="E1092" s="9"/>
      <c r="F1092" s="14"/>
    </row>
    <row r="1093" spans="1:6" ht="30.75" customHeight="1" thickBot="1" x14ac:dyDescent="0.25">
      <c r="A1093" s="10"/>
      <c r="E1093" s="9"/>
      <c r="F1093" s="14"/>
    </row>
    <row r="1094" spans="1:6" ht="30.75" customHeight="1" thickBot="1" x14ac:dyDescent="0.25">
      <c r="A1094" s="10"/>
      <c r="E1094" s="9"/>
      <c r="F1094" s="14"/>
    </row>
    <row r="1095" spans="1:6" ht="30.75" customHeight="1" thickBot="1" x14ac:dyDescent="0.25">
      <c r="A1095" s="10"/>
      <c r="E1095" s="9"/>
      <c r="F1095" s="14"/>
    </row>
    <row r="1096" spans="1:6" ht="30.75" customHeight="1" thickBot="1" x14ac:dyDescent="0.25">
      <c r="A1096" s="10"/>
      <c r="E1096" s="9"/>
      <c r="F1096" s="14"/>
    </row>
    <row r="1097" spans="1:6" ht="30.75" customHeight="1" thickBot="1" x14ac:dyDescent="0.25">
      <c r="A1097" s="10"/>
      <c r="E1097" s="9"/>
      <c r="F1097" s="14"/>
    </row>
    <row r="1098" spans="1:6" ht="30.75" customHeight="1" thickBot="1" x14ac:dyDescent="0.25">
      <c r="A1098" s="10"/>
      <c r="E1098" s="9"/>
      <c r="F1098" s="14"/>
    </row>
    <row r="1099" spans="1:6" ht="30.75" customHeight="1" thickBot="1" x14ac:dyDescent="0.25">
      <c r="A1099" s="10"/>
      <c r="E1099" s="9"/>
      <c r="F1099" s="14"/>
    </row>
    <row r="1100" spans="1:6" ht="30.75" customHeight="1" thickBot="1" x14ac:dyDescent="0.25">
      <c r="A1100" s="10"/>
      <c r="E1100" s="9"/>
      <c r="F1100" s="14"/>
    </row>
    <row r="1101" spans="1:6" ht="30.75" customHeight="1" thickBot="1" x14ac:dyDescent="0.25">
      <c r="A1101" s="10"/>
      <c r="E1101" s="9"/>
      <c r="F1101" s="14"/>
    </row>
    <row r="1102" spans="1:6" ht="30.75" customHeight="1" thickBot="1" x14ac:dyDescent="0.25">
      <c r="A1102" s="10"/>
      <c r="E1102" s="9"/>
      <c r="F1102" s="14"/>
    </row>
    <row r="1103" spans="1:6" ht="30.75" customHeight="1" thickBot="1" x14ac:dyDescent="0.25">
      <c r="A1103" s="10"/>
      <c r="E1103" s="9"/>
      <c r="F1103" s="14"/>
    </row>
    <row r="1104" spans="1:6" ht="30.75" customHeight="1" thickBot="1" x14ac:dyDescent="0.25">
      <c r="A1104" s="10"/>
      <c r="E1104" s="9"/>
      <c r="F1104" s="14"/>
    </row>
    <row r="1105" spans="1:6" ht="30.75" customHeight="1" thickBot="1" x14ac:dyDescent="0.25">
      <c r="A1105" s="10"/>
      <c r="E1105" s="9"/>
      <c r="F1105" s="14"/>
    </row>
    <row r="1106" spans="1:6" ht="30.75" customHeight="1" thickBot="1" x14ac:dyDescent="0.25">
      <c r="A1106" s="10"/>
      <c r="E1106" s="9"/>
      <c r="F1106" s="14"/>
    </row>
    <row r="1107" spans="1:6" ht="30.75" customHeight="1" thickBot="1" x14ac:dyDescent="0.25">
      <c r="A1107" s="10"/>
      <c r="E1107" s="9"/>
      <c r="F1107" s="14"/>
    </row>
    <row r="1108" spans="1:6" ht="30.75" customHeight="1" thickBot="1" x14ac:dyDescent="0.25">
      <c r="A1108" s="10"/>
      <c r="E1108" s="9"/>
      <c r="F1108" s="14"/>
    </row>
    <row r="1109" spans="1:6" ht="30.75" customHeight="1" thickBot="1" x14ac:dyDescent="0.25">
      <c r="A1109" s="10"/>
      <c r="E1109" s="9"/>
      <c r="F1109" s="14"/>
    </row>
    <row r="1110" spans="1:6" ht="30.75" customHeight="1" thickBot="1" x14ac:dyDescent="0.25">
      <c r="A1110" s="10"/>
      <c r="E1110" s="9"/>
      <c r="F1110" s="14"/>
    </row>
    <row r="1111" spans="1:6" ht="30.75" customHeight="1" thickBot="1" x14ac:dyDescent="0.25">
      <c r="A1111" s="10"/>
      <c r="E1111" s="9"/>
      <c r="F1111" s="14"/>
    </row>
    <row r="1112" spans="1:6" ht="30.75" customHeight="1" thickBot="1" x14ac:dyDescent="0.25">
      <c r="A1112" s="10"/>
      <c r="E1112" s="9"/>
      <c r="F1112" s="14"/>
    </row>
    <row r="1113" spans="1:6" ht="30.75" customHeight="1" thickBot="1" x14ac:dyDescent="0.25">
      <c r="A1113" s="10"/>
      <c r="E1113" s="9"/>
      <c r="F1113" s="14"/>
    </row>
    <row r="1114" spans="1:6" ht="30.75" customHeight="1" thickBot="1" x14ac:dyDescent="0.25">
      <c r="A1114" s="10"/>
      <c r="E1114" s="9"/>
      <c r="F1114" s="14"/>
    </row>
    <row r="1115" spans="1:6" ht="30.75" customHeight="1" thickBot="1" x14ac:dyDescent="0.25">
      <c r="A1115" s="10"/>
      <c r="E1115" s="9"/>
      <c r="F1115" s="14"/>
    </row>
    <row r="1116" spans="1:6" ht="30.75" customHeight="1" thickBot="1" x14ac:dyDescent="0.25">
      <c r="A1116" s="10"/>
      <c r="E1116" s="9"/>
      <c r="F1116" s="14"/>
    </row>
    <row r="1117" spans="1:6" ht="30.75" customHeight="1" thickBot="1" x14ac:dyDescent="0.25">
      <c r="A1117" s="10"/>
      <c r="E1117" s="9"/>
      <c r="F1117" s="14"/>
    </row>
    <row r="1118" spans="1:6" ht="30.75" customHeight="1" thickBot="1" x14ac:dyDescent="0.25">
      <c r="A1118" s="10"/>
      <c r="E1118" s="9"/>
      <c r="F1118" s="14"/>
    </row>
    <row r="1119" spans="1:6" ht="30.75" customHeight="1" thickBot="1" x14ac:dyDescent="0.25">
      <c r="A1119" s="10"/>
      <c r="E1119" s="9"/>
      <c r="F1119" s="14"/>
    </row>
    <row r="1120" spans="1:6" ht="30.75" customHeight="1" thickBot="1" x14ac:dyDescent="0.25">
      <c r="A1120" s="10"/>
      <c r="E1120" s="9"/>
      <c r="F1120" s="14"/>
    </row>
    <row r="1121" spans="1:6" ht="30.75" customHeight="1" thickBot="1" x14ac:dyDescent="0.25">
      <c r="A1121" s="10"/>
      <c r="E1121" s="9"/>
      <c r="F1121" s="14"/>
    </row>
    <row r="1122" spans="1:6" ht="30.75" customHeight="1" thickBot="1" x14ac:dyDescent="0.25">
      <c r="A1122" s="10"/>
      <c r="E1122" s="9"/>
      <c r="F1122" s="14"/>
    </row>
    <row r="1123" spans="1:6" ht="30.75" customHeight="1" thickBot="1" x14ac:dyDescent="0.25">
      <c r="A1123" s="10"/>
      <c r="E1123" s="9"/>
      <c r="F1123" s="14"/>
    </row>
    <row r="1124" spans="1:6" ht="30.75" customHeight="1" thickBot="1" x14ac:dyDescent="0.25">
      <c r="A1124" s="10"/>
      <c r="E1124" s="9"/>
      <c r="F1124" s="14"/>
    </row>
    <row r="1125" spans="1:6" ht="30.75" customHeight="1" thickBot="1" x14ac:dyDescent="0.25">
      <c r="A1125" s="10"/>
      <c r="E1125" s="9"/>
      <c r="F1125" s="14"/>
    </row>
    <row r="1126" spans="1:6" ht="30.75" customHeight="1" thickBot="1" x14ac:dyDescent="0.25">
      <c r="A1126" s="10"/>
      <c r="E1126" s="9"/>
      <c r="F1126" s="14"/>
    </row>
    <row r="1127" spans="1:6" ht="30.75" customHeight="1" thickBot="1" x14ac:dyDescent="0.25">
      <c r="A1127" s="10"/>
      <c r="E1127" s="9"/>
      <c r="F1127" s="14"/>
    </row>
    <row r="1128" spans="1:6" ht="30.75" customHeight="1" thickBot="1" x14ac:dyDescent="0.25">
      <c r="A1128" s="10"/>
      <c r="E1128" s="9"/>
      <c r="F1128" s="14"/>
    </row>
    <row r="1129" spans="1:6" ht="30.75" customHeight="1" thickBot="1" x14ac:dyDescent="0.25">
      <c r="A1129" s="10"/>
      <c r="E1129" s="9"/>
      <c r="F1129" s="14"/>
    </row>
    <row r="1130" spans="1:6" ht="30.75" customHeight="1" thickBot="1" x14ac:dyDescent="0.25">
      <c r="A1130" s="10"/>
      <c r="E1130" s="9"/>
      <c r="F1130" s="14"/>
    </row>
    <row r="1131" spans="1:6" ht="30.75" customHeight="1" thickBot="1" x14ac:dyDescent="0.25">
      <c r="A1131" s="10"/>
      <c r="E1131" s="9"/>
      <c r="F1131" s="14"/>
    </row>
    <row r="1132" spans="1:6" ht="30.75" customHeight="1" thickBot="1" x14ac:dyDescent="0.25">
      <c r="A1132" s="10"/>
      <c r="E1132" s="9"/>
      <c r="F1132" s="14"/>
    </row>
    <row r="1133" spans="1:6" ht="30.75" customHeight="1" thickBot="1" x14ac:dyDescent="0.25">
      <c r="A1133" s="10"/>
      <c r="E1133" s="9"/>
      <c r="F1133" s="14"/>
    </row>
    <row r="1134" spans="1:6" ht="30.75" customHeight="1" thickBot="1" x14ac:dyDescent="0.25">
      <c r="A1134" s="10"/>
      <c r="E1134" s="9"/>
      <c r="F1134" s="14"/>
    </row>
    <row r="1135" spans="1:6" ht="30.75" customHeight="1" thickBot="1" x14ac:dyDescent="0.25">
      <c r="A1135" s="10"/>
      <c r="E1135" s="9"/>
      <c r="F1135" s="14"/>
    </row>
    <row r="1136" spans="1:6" ht="30.75" customHeight="1" thickBot="1" x14ac:dyDescent="0.25">
      <c r="A1136" s="10"/>
      <c r="E1136" s="9"/>
      <c r="F1136" s="14"/>
    </row>
    <row r="1137" spans="1:6" ht="30.75" customHeight="1" thickBot="1" x14ac:dyDescent="0.25">
      <c r="A1137" s="10"/>
      <c r="E1137" s="9"/>
      <c r="F1137" s="14"/>
    </row>
    <row r="1138" spans="1:6" ht="30.75" customHeight="1" thickBot="1" x14ac:dyDescent="0.25">
      <c r="A1138" s="10"/>
      <c r="E1138" s="9"/>
      <c r="F1138" s="14"/>
    </row>
    <row r="1139" spans="1:6" ht="30.75" customHeight="1" thickBot="1" x14ac:dyDescent="0.25">
      <c r="A1139" s="10"/>
      <c r="E1139" s="9"/>
      <c r="F1139" s="14"/>
    </row>
    <row r="1140" spans="1:6" ht="30.75" customHeight="1" thickBot="1" x14ac:dyDescent="0.25">
      <c r="A1140" s="10"/>
      <c r="E1140" s="9"/>
      <c r="F1140" s="14"/>
    </row>
    <row r="1141" spans="1:6" ht="30.75" customHeight="1" thickBot="1" x14ac:dyDescent="0.25">
      <c r="A1141" s="10"/>
      <c r="E1141" s="9"/>
      <c r="F1141" s="14"/>
    </row>
    <row r="1142" spans="1:6" ht="30.75" customHeight="1" thickBot="1" x14ac:dyDescent="0.25">
      <c r="A1142" s="10"/>
      <c r="E1142" s="9"/>
      <c r="F1142" s="14"/>
    </row>
    <row r="1143" spans="1:6" ht="30.75" customHeight="1" thickBot="1" x14ac:dyDescent="0.25">
      <c r="A1143" s="10"/>
      <c r="E1143" s="9"/>
      <c r="F1143" s="14"/>
    </row>
    <row r="1144" spans="1:6" ht="30.75" customHeight="1" thickBot="1" x14ac:dyDescent="0.25">
      <c r="A1144" s="10"/>
      <c r="E1144" s="9"/>
      <c r="F1144" s="14"/>
    </row>
    <row r="1145" spans="1:6" ht="30.75" customHeight="1" thickBot="1" x14ac:dyDescent="0.25">
      <c r="A1145" s="10"/>
      <c r="E1145" s="9"/>
      <c r="F1145" s="14"/>
    </row>
    <row r="1146" spans="1:6" ht="30.75" customHeight="1" thickBot="1" x14ac:dyDescent="0.25">
      <c r="A1146" s="10"/>
      <c r="E1146" s="9"/>
      <c r="F1146" s="14"/>
    </row>
    <row r="1147" spans="1:6" ht="30.75" customHeight="1" thickBot="1" x14ac:dyDescent="0.25">
      <c r="A1147" s="10"/>
      <c r="E1147" s="9"/>
      <c r="F1147" s="14"/>
    </row>
    <row r="1148" spans="1:6" ht="30.75" customHeight="1" thickBot="1" x14ac:dyDescent="0.25">
      <c r="A1148" s="10"/>
      <c r="E1148" s="9"/>
      <c r="F1148" s="14"/>
    </row>
    <row r="1149" spans="1:6" ht="30.75" customHeight="1" thickBot="1" x14ac:dyDescent="0.25">
      <c r="A1149" s="10"/>
      <c r="E1149" s="9"/>
      <c r="F1149" s="14"/>
    </row>
    <row r="1150" spans="1:6" ht="30.75" customHeight="1" thickBot="1" x14ac:dyDescent="0.25">
      <c r="A1150" s="10"/>
      <c r="E1150" s="9"/>
      <c r="F1150" s="14"/>
    </row>
    <row r="1151" spans="1:6" ht="30.75" customHeight="1" thickBot="1" x14ac:dyDescent="0.25">
      <c r="A1151" s="10"/>
      <c r="E1151" s="9"/>
      <c r="F1151" s="14"/>
    </row>
    <row r="1152" spans="1:6" ht="30.75" customHeight="1" thickBot="1" x14ac:dyDescent="0.25">
      <c r="A1152" s="10"/>
      <c r="E1152" s="9"/>
      <c r="F1152" s="14"/>
    </row>
    <row r="1153" spans="1:6" ht="30.75" customHeight="1" thickBot="1" x14ac:dyDescent="0.25">
      <c r="A1153" s="10"/>
      <c r="E1153" s="9"/>
      <c r="F1153" s="14"/>
    </row>
    <row r="1154" spans="1:6" ht="30.75" customHeight="1" thickBot="1" x14ac:dyDescent="0.25">
      <c r="A1154" s="10"/>
      <c r="E1154" s="9"/>
      <c r="F1154" s="14"/>
    </row>
    <row r="1155" spans="1:6" ht="30.75" customHeight="1" thickBot="1" x14ac:dyDescent="0.25">
      <c r="A1155" s="10"/>
      <c r="E1155" s="9"/>
      <c r="F1155" s="14"/>
    </row>
    <row r="1156" spans="1:6" ht="30.75" customHeight="1" thickBot="1" x14ac:dyDescent="0.25">
      <c r="A1156" s="10"/>
      <c r="E1156" s="9"/>
      <c r="F1156" s="14"/>
    </row>
    <row r="1157" spans="1:6" ht="30.75" customHeight="1" thickBot="1" x14ac:dyDescent="0.25">
      <c r="A1157" s="10"/>
      <c r="E1157" s="9"/>
      <c r="F1157" s="14"/>
    </row>
    <row r="1158" spans="1:6" ht="30.75" customHeight="1" thickBot="1" x14ac:dyDescent="0.25">
      <c r="A1158" s="10"/>
      <c r="E1158" s="9"/>
      <c r="F1158" s="14"/>
    </row>
    <row r="1159" spans="1:6" ht="30.75" customHeight="1" thickBot="1" x14ac:dyDescent="0.25">
      <c r="A1159" s="10"/>
      <c r="E1159" s="9"/>
      <c r="F1159" s="14"/>
    </row>
    <row r="1160" spans="1:6" ht="30.75" customHeight="1" thickBot="1" x14ac:dyDescent="0.25">
      <c r="A1160" s="10"/>
      <c r="E1160" s="9"/>
      <c r="F1160" s="14"/>
    </row>
    <row r="1161" spans="1:6" ht="30.75" customHeight="1" thickBot="1" x14ac:dyDescent="0.25">
      <c r="A1161" s="10"/>
      <c r="E1161" s="9"/>
      <c r="F1161" s="14"/>
    </row>
    <row r="1162" spans="1:6" ht="30.75" customHeight="1" thickBot="1" x14ac:dyDescent="0.25">
      <c r="A1162" s="10"/>
      <c r="E1162" s="9"/>
      <c r="F1162" s="14"/>
    </row>
    <row r="1163" spans="1:6" ht="30.75" customHeight="1" thickBot="1" x14ac:dyDescent="0.25">
      <c r="A1163" s="10"/>
      <c r="E1163" s="9"/>
      <c r="F1163" s="14"/>
    </row>
    <row r="1164" spans="1:6" ht="30.75" customHeight="1" thickBot="1" x14ac:dyDescent="0.25">
      <c r="A1164" s="10"/>
      <c r="E1164" s="9"/>
      <c r="F1164" s="14"/>
    </row>
    <row r="1165" spans="1:6" ht="30.75" customHeight="1" thickBot="1" x14ac:dyDescent="0.25">
      <c r="A1165" s="10"/>
      <c r="E1165" s="9"/>
      <c r="F1165" s="14"/>
    </row>
    <row r="1166" spans="1:6" ht="30.75" customHeight="1" thickBot="1" x14ac:dyDescent="0.25">
      <c r="A1166" s="10"/>
      <c r="E1166" s="9"/>
      <c r="F1166" s="14"/>
    </row>
    <row r="1167" spans="1:6" ht="30.75" customHeight="1" thickBot="1" x14ac:dyDescent="0.25">
      <c r="A1167" s="10"/>
      <c r="E1167" s="9"/>
      <c r="F1167" s="14"/>
    </row>
    <row r="1168" spans="1:6" ht="30.75" customHeight="1" thickBot="1" x14ac:dyDescent="0.25">
      <c r="A1168" s="10"/>
      <c r="E1168" s="9"/>
      <c r="F1168" s="14"/>
    </row>
    <row r="1169" spans="1:6" ht="30.75" customHeight="1" thickBot="1" x14ac:dyDescent="0.25">
      <c r="A1169" s="10"/>
      <c r="E1169" s="9"/>
      <c r="F1169" s="14"/>
    </row>
    <row r="1170" spans="1:6" ht="30.75" customHeight="1" thickBot="1" x14ac:dyDescent="0.25">
      <c r="A1170" s="10"/>
      <c r="E1170" s="9"/>
      <c r="F1170" s="14"/>
    </row>
    <row r="1171" spans="1:6" ht="30.75" customHeight="1" thickBot="1" x14ac:dyDescent="0.25">
      <c r="A1171" s="10"/>
      <c r="E1171" s="9"/>
      <c r="F1171" s="14"/>
    </row>
    <row r="1172" spans="1:6" ht="30.75" customHeight="1" thickBot="1" x14ac:dyDescent="0.25">
      <c r="A1172" s="10"/>
      <c r="E1172" s="9"/>
      <c r="F1172" s="14"/>
    </row>
    <row r="1173" spans="1:6" ht="30.75" customHeight="1" thickBot="1" x14ac:dyDescent="0.25">
      <c r="A1173" s="10"/>
      <c r="E1173" s="9"/>
      <c r="F1173" s="14"/>
    </row>
    <row r="1174" spans="1:6" ht="30.75" customHeight="1" thickBot="1" x14ac:dyDescent="0.25">
      <c r="A1174" s="10"/>
      <c r="E1174" s="9"/>
      <c r="F1174" s="14"/>
    </row>
    <row r="1175" spans="1:6" ht="30.75" customHeight="1" thickBot="1" x14ac:dyDescent="0.25">
      <c r="A1175" s="10"/>
      <c r="E1175" s="9"/>
      <c r="F1175" s="14"/>
    </row>
    <row r="1176" spans="1:6" ht="30.75" customHeight="1" thickBot="1" x14ac:dyDescent="0.25">
      <c r="A1176" s="10"/>
      <c r="E1176" s="9"/>
      <c r="F1176" s="14"/>
    </row>
    <row r="1177" spans="1:6" ht="30.75" customHeight="1" thickBot="1" x14ac:dyDescent="0.25">
      <c r="A1177" s="10"/>
      <c r="E1177" s="9"/>
      <c r="F1177" s="14"/>
    </row>
    <row r="1178" spans="1:6" ht="30.75" customHeight="1" thickBot="1" x14ac:dyDescent="0.25">
      <c r="A1178" s="10"/>
      <c r="E1178" s="9"/>
      <c r="F1178" s="14"/>
    </row>
    <row r="1179" spans="1:6" ht="30.75" customHeight="1" thickBot="1" x14ac:dyDescent="0.25">
      <c r="A1179" s="10"/>
      <c r="E1179" s="9"/>
      <c r="F1179" s="14"/>
    </row>
    <row r="1180" spans="1:6" ht="30.75" customHeight="1" thickBot="1" x14ac:dyDescent="0.25">
      <c r="A1180" s="10"/>
      <c r="E1180" s="9"/>
      <c r="F1180" s="14"/>
    </row>
    <row r="1181" spans="1:6" ht="30.75" customHeight="1" thickBot="1" x14ac:dyDescent="0.25">
      <c r="A1181" s="10"/>
      <c r="E1181" s="9"/>
      <c r="F1181" s="14"/>
    </row>
    <row r="1182" spans="1:6" ht="30.75" customHeight="1" thickBot="1" x14ac:dyDescent="0.25">
      <c r="A1182" s="10"/>
      <c r="E1182" s="9"/>
      <c r="F1182" s="14"/>
    </row>
    <row r="1183" spans="1:6" ht="30.75" customHeight="1" thickBot="1" x14ac:dyDescent="0.25">
      <c r="A1183" s="10"/>
      <c r="E1183" s="9"/>
      <c r="F1183" s="14"/>
    </row>
    <row r="1184" spans="1:6" ht="30.75" customHeight="1" thickBot="1" x14ac:dyDescent="0.25">
      <c r="A1184" s="10"/>
      <c r="E1184" s="9"/>
      <c r="F1184" s="14"/>
    </row>
    <row r="1185" spans="1:6" ht="30.75" customHeight="1" thickBot="1" x14ac:dyDescent="0.25">
      <c r="A1185" s="10"/>
      <c r="E1185" s="9"/>
      <c r="F1185" s="14"/>
    </row>
    <row r="1186" spans="1:6" ht="30.75" customHeight="1" thickBot="1" x14ac:dyDescent="0.25">
      <c r="A1186" s="10"/>
      <c r="E1186" s="9"/>
      <c r="F1186" s="14"/>
    </row>
    <row r="1187" spans="1:6" ht="30.75" customHeight="1" thickBot="1" x14ac:dyDescent="0.25">
      <c r="A1187" s="10"/>
      <c r="E1187" s="9"/>
      <c r="F1187" s="14"/>
    </row>
    <row r="1188" spans="1:6" ht="30.75" customHeight="1" thickBot="1" x14ac:dyDescent="0.25">
      <c r="A1188" s="10"/>
      <c r="E1188" s="9"/>
      <c r="F1188" s="14"/>
    </row>
    <row r="1189" spans="1:6" ht="30.75" customHeight="1" thickBot="1" x14ac:dyDescent="0.25">
      <c r="A1189" s="10"/>
      <c r="E1189" s="9"/>
      <c r="F1189" s="14"/>
    </row>
    <row r="1190" spans="1:6" ht="30.75" customHeight="1" thickBot="1" x14ac:dyDescent="0.25">
      <c r="A1190" s="10"/>
      <c r="E1190" s="9"/>
      <c r="F1190" s="14"/>
    </row>
    <row r="1191" spans="1:6" ht="30.75" customHeight="1" thickBot="1" x14ac:dyDescent="0.25">
      <c r="A1191" s="10"/>
      <c r="E1191" s="9"/>
      <c r="F1191" s="14"/>
    </row>
    <row r="1192" spans="1:6" ht="30.75" customHeight="1" thickBot="1" x14ac:dyDescent="0.25">
      <c r="A1192" s="10"/>
      <c r="E1192" s="9"/>
      <c r="F1192" s="14"/>
    </row>
    <row r="1193" spans="1:6" ht="30.75" customHeight="1" thickBot="1" x14ac:dyDescent="0.25">
      <c r="A1193" s="10"/>
      <c r="E1193" s="9"/>
      <c r="F1193" s="14"/>
    </row>
    <row r="1194" spans="1:6" ht="30.75" customHeight="1" thickBot="1" x14ac:dyDescent="0.25">
      <c r="A1194" s="10"/>
      <c r="E1194" s="9"/>
      <c r="F1194" s="14"/>
    </row>
    <row r="1195" spans="1:6" ht="30.75" customHeight="1" thickBot="1" x14ac:dyDescent="0.25">
      <c r="A1195" s="10"/>
      <c r="E1195" s="9"/>
      <c r="F1195" s="14"/>
    </row>
    <row r="1196" spans="1:6" ht="30.75" customHeight="1" thickBot="1" x14ac:dyDescent="0.25">
      <c r="A1196" s="10"/>
      <c r="E1196" s="9"/>
      <c r="F1196" s="14"/>
    </row>
    <row r="1197" spans="1:6" ht="30.75" customHeight="1" thickBot="1" x14ac:dyDescent="0.25">
      <c r="A1197" s="10"/>
      <c r="E1197" s="9"/>
      <c r="F1197" s="14"/>
    </row>
    <row r="1198" spans="1:6" ht="30.75" customHeight="1" thickBot="1" x14ac:dyDescent="0.25">
      <c r="A1198" s="10"/>
      <c r="E1198" s="9"/>
      <c r="F1198" s="14"/>
    </row>
    <row r="1199" spans="1:6" ht="30.75" customHeight="1" thickBot="1" x14ac:dyDescent="0.25">
      <c r="A1199" s="10"/>
      <c r="E1199" s="9"/>
      <c r="F1199" s="14"/>
    </row>
    <row r="1200" spans="1:6" ht="30.75" customHeight="1" thickBot="1" x14ac:dyDescent="0.25">
      <c r="A1200" s="10"/>
      <c r="E1200" s="9"/>
      <c r="F1200" s="14"/>
    </row>
    <row r="1201" spans="1:6" ht="30.75" customHeight="1" thickBot="1" x14ac:dyDescent="0.25">
      <c r="A1201" s="10"/>
      <c r="E1201" s="9"/>
      <c r="F1201" s="14"/>
    </row>
    <row r="1202" spans="1:6" ht="30.75" customHeight="1" thickBot="1" x14ac:dyDescent="0.25">
      <c r="A1202" s="10"/>
      <c r="E1202" s="9"/>
      <c r="F1202" s="14"/>
    </row>
    <row r="1203" spans="1:6" ht="30.75" customHeight="1" thickBot="1" x14ac:dyDescent="0.25">
      <c r="A1203" s="10"/>
      <c r="E1203" s="9"/>
      <c r="F1203" s="14"/>
    </row>
    <row r="1204" spans="1:6" ht="30.75" customHeight="1" thickBot="1" x14ac:dyDescent="0.25">
      <c r="A1204" s="10"/>
      <c r="E1204" s="9"/>
      <c r="F1204" s="14"/>
    </row>
    <row r="1205" spans="1:6" ht="30.75" customHeight="1" thickBot="1" x14ac:dyDescent="0.25">
      <c r="A1205" s="10"/>
      <c r="E1205" s="9"/>
      <c r="F1205" s="14"/>
    </row>
    <row r="1206" spans="1:6" ht="30.75" customHeight="1" thickBot="1" x14ac:dyDescent="0.25">
      <c r="A1206" s="10"/>
      <c r="E1206" s="9"/>
      <c r="F1206" s="14"/>
    </row>
    <row r="1207" spans="1:6" ht="30.75" customHeight="1" thickBot="1" x14ac:dyDescent="0.25">
      <c r="A1207" s="10"/>
      <c r="E1207" s="9"/>
      <c r="F1207" s="14"/>
    </row>
    <row r="1208" spans="1:6" ht="30.75" customHeight="1" thickBot="1" x14ac:dyDescent="0.25">
      <c r="A1208" s="10"/>
      <c r="E1208" s="9"/>
      <c r="F1208" s="14"/>
    </row>
    <row r="1209" spans="1:6" ht="30.75" customHeight="1" thickBot="1" x14ac:dyDescent="0.25">
      <c r="A1209" s="10"/>
      <c r="E1209" s="9"/>
      <c r="F1209" s="14"/>
    </row>
    <row r="1210" spans="1:6" ht="30.75" customHeight="1" thickBot="1" x14ac:dyDescent="0.25">
      <c r="A1210" s="10"/>
      <c r="E1210" s="9"/>
      <c r="F1210" s="14"/>
    </row>
    <row r="1211" spans="1:6" ht="30.75" customHeight="1" thickBot="1" x14ac:dyDescent="0.25">
      <c r="A1211" s="10"/>
      <c r="E1211" s="9"/>
      <c r="F1211" s="14"/>
    </row>
    <row r="1212" spans="1:6" ht="30.75" customHeight="1" thickBot="1" x14ac:dyDescent="0.25">
      <c r="A1212" s="10"/>
      <c r="E1212" s="9"/>
      <c r="F1212" s="14"/>
    </row>
    <row r="1213" spans="1:6" ht="30.75" customHeight="1" thickBot="1" x14ac:dyDescent="0.25">
      <c r="A1213" s="10"/>
      <c r="E1213" s="9"/>
      <c r="F1213" s="14"/>
    </row>
    <row r="1214" spans="1:6" ht="30.75" customHeight="1" thickBot="1" x14ac:dyDescent="0.25">
      <c r="A1214" s="10"/>
      <c r="E1214" s="9"/>
      <c r="F1214" s="14"/>
    </row>
    <row r="1215" spans="1:6" ht="30.75" customHeight="1" thickBot="1" x14ac:dyDescent="0.25">
      <c r="A1215" s="10"/>
      <c r="E1215" s="9"/>
      <c r="F1215" s="14"/>
    </row>
    <row r="1216" spans="1:6" ht="30.75" customHeight="1" thickBot="1" x14ac:dyDescent="0.25">
      <c r="A1216" s="10"/>
      <c r="E1216" s="9"/>
      <c r="F1216" s="14"/>
    </row>
    <row r="1217" spans="1:6" ht="30.75" customHeight="1" thickBot="1" x14ac:dyDescent="0.25">
      <c r="A1217" s="10"/>
      <c r="E1217" s="9"/>
      <c r="F1217" s="14"/>
    </row>
    <row r="1218" spans="1:6" ht="30.75" customHeight="1" thickBot="1" x14ac:dyDescent="0.25">
      <c r="A1218" s="10"/>
      <c r="E1218" s="9"/>
      <c r="F1218" s="14"/>
    </row>
    <row r="1219" spans="1:6" ht="30.75" customHeight="1" thickBot="1" x14ac:dyDescent="0.25">
      <c r="A1219" s="10"/>
      <c r="E1219" s="9"/>
      <c r="F1219" s="14"/>
    </row>
    <row r="1220" spans="1:6" ht="30.75" customHeight="1" thickBot="1" x14ac:dyDescent="0.25">
      <c r="A1220" s="10"/>
      <c r="E1220" s="9"/>
      <c r="F1220" s="14"/>
    </row>
    <row r="1221" spans="1:6" ht="30.75" customHeight="1" thickBot="1" x14ac:dyDescent="0.25">
      <c r="A1221" s="10"/>
      <c r="E1221" s="9"/>
      <c r="F1221" s="14"/>
    </row>
    <row r="1222" spans="1:6" ht="30.75" customHeight="1" thickBot="1" x14ac:dyDescent="0.25">
      <c r="A1222" s="10"/>
      <c r="E1222" s="9"/>
      <c r="F1222" s="14"/>
    </row>
    <row r="1223" spans="1:6" ht="30.75" customHeight="1" thickBot="1" x14ac:dyDescent="0.25">
      <c r="A1223" s="10"/>
      <c r="E1223" s="9"/>
      <c r="F1223" s="14"/>
    </row>
    <row r="1224" spans="1:6" ht="30.75" customHeight="1" thickBot="1" x14ac:dyDescent="0.25">
      <c r="A1224" s="10"/>
      <c r="E1224" s="9"/>
      <c r="F1224" s="14"/>
    </row>
    <row r="1225" spans="1:6" ht="30.75" customHeight="1" thickBot="1" x14ac:dyDescent="0.25">
      <c r="A1225" s="10"/>
      <c r="E1225" s="9"/>
      <c r="F1225" s="14"/>
    </row>
    <row r="1226" spans="1:6" ht="30.75" customHeight="1" thickBot="1" x14ac:dyDescent="0.25">
      <c r="A1226" s="10"/>
      <c r="E1226" s="9"/>
      <c r="F1226" s="14"/>
    </row>
    <row r="1227" spans="1:6" ht="30.75" customHeight="1" thickBot="1" x14ac:dyDescent="0.25">
      <c r="A1227" s="10"/>
      <c r="E1227" s="9"/>
      <c r="F1227" s="14"/>
    </row>
    <row r="1228" spans="1:6" ht="30.75" customHeight="1" thickBot="1" x14ac:dyDescent="0.25">
      <c r="A1228" s="10"/>
      <c r="E1228" s="9"/>
      <c r="F1228" s="14"/>
    </row>
    <row r="1229" spans="1:6" ht="30.75" customHeight="1" thickBot="1" x14ac:dyDescent="0.25">
      <c r="A1229" s="10"/>
      <c r="E1229" s="9"/>
      <c r="F1229" s="14"/>
    </row>
    <row r="1230" spans="1:6" ht="30.75" customHeight="1" thickBot="1" x14ac:dyDescent="0.25">
      <c r="A1230" s="10"/>
      <c r="E1230" s="9"/>
      <c r="F1230" s="14"/>
    </row>
    <row r="1231" spans="1:6" ht="30.75" customHeight="1" thickBot="1" x14ac:dyDescent="0.25">
      <c r="A1231" s="10"/>
      <c r="E1231" s="9"/>
      <c r="F1231" s="14"/>
    </row>
    <row r="1232" spans="1:6" ht="30.75" customHeight="1" thickBot="1" x14ac:dyDescent="0.25">
      <c r="A1232" s="10"/>
      <c r="E1232" s="9"/>
      <c r="F1232" s="14"/>
    </row>
    <row r="1233" spans="1:6" ht="30.75" customHeight="1" thickBot="1" x14ac:dyDescent="0.25">
      <c r="A1233" s="10"/>
      <c r="E1233" s="9"/>
      <c r="F1233" s="14"/>
    </row>
    <row r="1234" spans="1:6" ht="30.75" customHeight="1" thickBot="1" x14ac:dyDescent="0.25">
      <c r="A1234" s="10"/>
      <c r="E1234" s="9"/>
      <c r="F1234" s="14"/>
    </row>
    <row r="1235" spans="1:6" ht="30.75" customHeight="1" thickBot="1" x14ac:dyDescent="0.25">
      <c r="A1235" s="10"/>
      <c r="E1235" s="9"/>
      <c r="F1235" s="14"/>
    </row>
    <row r="1236" spans="1:6" ht="30.75" customHeight="1" thickBot="1" x14ac:dyDescent="0.25">
      <c r="A1236" s="10"/>
      <c r="E1236" s="9"/>
      <c r="F1236" s="14"/>
    </row>
    <row r="1237" spans="1:6" ht="30.75" customHeight="1" thickBot="1" x14ac:dyDescent="0.25">
      <c r="A1237" s="10"/>
      <c r="E1237" s="9"/>
      <c r="F1237" s="14"/>
    </row>
    <row r="1238" spans="1:6" ht="30.75" customHeight="1" thickBot="1" x14ac:dyDescent="0.25">
      <c r="A1238" s="10"/>
      <c r="E1238" s="9"/>
      <c r="F1238" s="14"/>
    </row>
    <row r="1239" spans="1:6" ht="30.75" customHeight="1" thickBot="1" x14ac:dyDescent="0.25">
      <c r="A1239" s="10"/>
      <c r="E1239" s="9"/>
      <c r="F1239" s="14"/>
    </row>
    <row r="1240" spans="1:6" ht="30.75" customHeight="1" thickBot="1" x14ac:dyDescent="0.25">
      <c r="A1240" s="10"/>
      <c r="E1240" s="9"/>
      <c r="F1240" s="14"/>
    </row>
    <row r="1241" spans="1:6" ht="30.75" customHeight="1" thickBot="1" x14ac:dyDescent="0.25">
      <c r="A1241" s="10"/>
      <c r="E1241" s="9"/>
      <c r="F1241" s="14"/>
    </row>
    <row r="1242" spans="1:6" ht="30.75" customHeight="1" thickBot="1" x14ac:dyDescent="0.25">
      <c r="A1242" s="10"/>
      <c r="E1242" s="9"/>
      <c r="F1242" s="14"/>
    </row>
    <row r="1243" spans="1:6" ht="30.75" customHeight="1" thickBot="1" x14ac:dyDescent="0.25">
      <c r="A1243" s="10"/>
      <c r="E1243" s="9"/>
      <c r="F1243" s="14"/>
    </row>
    <row r="1244" spans="1:6" ht="30.75" customHeight="1" thickBot="1" x14ac:dyDescent="0.25">
      <c r="A1244" s="10"/>
      <c r="E1244" s="9"/>
      <c r="F1244" s="14"/>
    </row>
    <row r="1245" spans="1:6" ht="30.75" customHeight="1" thickBot="1" x14ac:dyDescent="0.25">
      <c r="A1245" s="10"/>
      <c r="E1245" s="9"/>
      <c r="F1245" s="14"/>
    </row>
    <row r="1246" spans="1:6" ht="30.75" customHeight="1" thickBot="1" x14ac:dyDescent="0.25">
      <c r="A1246" s="10"/>
      <c r="E1246" s="9"/>
      <c r="F1246" s="14"/>
    </row>
    <row r="1247" spans="1:6" ht="30.75" customHeight="1" thickBot="1" x14ac:dyDescent="0.25">
      <c r="A1247" s="10"/>
      <c r="E1247" s="9"/>
      <c r="F1247" s="14"/>
    </row>
    <row r="1248" spans="1:6" ht="30.75" customHeight="1" thickBot="1" x14ac:dyDescent="0.25">
      <c r="A1248" s="10"/>
      <c r="E1248" s="9"/>
      <c r="F1248" s="14"/>
    </row>
    <row r="1249" spans="1:6" ht="30.75" customHeight="1" thickBot="1" x14ac:dyDescent="0.25">
      <c r="A1249" s="10"/>
      <c r="E1249" s="9"/>
      <c r="F1249" s="14"/>
    </row>
    <row r="1250" spans="1:6" ht="30.75" customHeight="1" thickBot="1" x14ac:dyDescent="0.25">
      <c r="A1250" s="10"/>
      <c r="E1250" s="9"/>
      <c r="F1250" s="14"/>
    </row>
    <row r="1251" spans="1:6" ht="30.75" customHeight="1" thickBot="1" x14ac:dyDescent="0.25">
      <c r="A1251" s="10"/>
      <c r="E1251" s="9"/>
      <c r="F1251" s="14"/>
    </row>
    <row r="1252" spans="1:6" ht="30.75" customHeight="1" thickBot="1" x14ac:dyDescent="0.25">
      <c r="A1252" s="10"/>
      <c r="E1252" s="9"/>
      <c r="F1252" s="14"/>
    </row>
    <row r="1253" spans="1:6" ht="30.75" customHeight="1" thickBot="1" x14ac:dyDescent="0.25">
      <c r="A1253" s="10"/>
      <c r="E1253" s="9"/>
      <c r="F1253" s="14"/>
    </row>
    <row r="1254" spans="1:6" ht="30.75" customHeight="1" thickBot="1" x14ac:dyDescent="0.25">
      <c r="A1254" s="10"/>
      <c r="E1254" s="9"/>
      <c r="F1254" s="14"/>
    </row>
    <row r="1255" spans="1:6" ht="30.75" customHeight="1" thickBot="1" x14ac:dyDescent="0.25">
      <c r="A1255" s="10"/>
      <c r="E1255" s="9"/>
      <c r="F1255" s="14"/>
    </row>
    <row r="1256" spans="1:6" ht="30.75" customHeight="1" thickBot="1" x14ac:dyDescent="0.25">
      <c r="A1256" s="10"/>
      <c r="E1256" s="9"/>
      <c r="F1256" s="14"/>
    </row>
    <row r="1257" spans="1:6" ht="30.75" customHeight="1" thickBot="1" x14ac:dyDescent="0.25">
      <c r="A1257" s="10"/>
      <c r="E1257" s="9"/>
      <c r="F1257" s="14"/>
    </row>
    <row r="1258" spans="1:6" ht="30.75" customHeight="1" thickBot="1" x14ac:dyDescent="0.25">
      <c r="A1258" s="10"/>
      <c r="E1258" s="9"/>
      <c r="F1258" s="14"/>
    </row>
    <row r="1259" spans="1:6" ht="30.75" customHeight="1" thickBot="1" x14ac:dyDescent="0.25">
      <c r="A1259" s="10"/>
      <c r="E1259" s="9"/>
      <c r="F1259" s="14"/>
    </row>
    <row r="1260" spans="1:6" ht="30.75" customHeight="1" thickBot="1" x14ac:dyDescent="0.25">
      <c r="A1260" s="10"/>
      <c r="E1260" s="9"/>
      <c r="F1260" s="14"/>
    </row>
    <row r="1261" spans="1:6" ht="30.75" customHeight="1" thickBot="1" x14ac:dyDescent="0.25">
      <c r="A1261" s="10"/>
      <c r="E1261" s="9"/>
      <c r="F1261" s="14"/>
    </row>
    <row r="1262" spans="1:6" ht="30.75" customHeight="1" thickBot="1" x14ac:dyDescent="0.25">
      <c r="A1262" s="10"/>
      <c r="E1262" s="9"/>
      <c r="F1262" s="14"/>
    </row>
    <row r="1263" spans="1:6" ht="30.75" customHeight="1" thickBot="1" x14ac:dyDescent="0.25">
      <c r="A1263" s="10"/>
      <c r="E1263" s="9"/>
      <c r="F1263" s="14"/>
    </row>
    <row r="1264" spans="1:6" ht="30.75" customHeight="1" thickBot="1" x14ac:dyDescent="0.25">
      <c r="A1264" s="10"/>
      <c r="E1264" s="9"/>
      <c r="F1264" s="14"/>
    </row>
    <row r="1265" spans="1:6" ht="30.75" customHeight="1" thickBot="1" x14ac:dyDescent="0.25">
      <c r="A1265" s="10"/>
      <c r="E1265" s="9"/>
      <c r="F1265" s="14"/>
    </row>
    <row r="1266" spans="1:6" ht="30.75" customHeight="1" thickBot="1" x14ac:dyDescent="0.25">
      <c r="A1266" s="10"/>
      <c r="E1266" s="9"/>
      <c r="F1266" s="14"/>
    </row>
    <row r="1267" spans="1:6" ht="30.75" customHeight="1" thickBot="1" x14ac:dyDescent="0.25">
      <c r="A1267" s="10"/>
      <c r="E1267" s="9"/>
      <c r="F1267" s="14"/>
    </row>
    <row r="1268" spans="1:6" ht="30.75" customHeight="1" thickBot="1" x14ac:dyDescent="0.25">
      <c r="A1268" s="10"/>
      <c r="E1268" s="9"/>
      <c r="F1268" s="14"/>
    </row>
    <row r="1269" spans="1:6" ht="30.75" customHeight="1" thickBot="1" x14ac:dyDescent="0.25">
      <c r="A1269" s="10"/>
      <c r="E1269" s="9"/>
      <c r="F1269" s="14"/>
    </row>
    <row r="1270" spans="1:6" ht="30.75" customHeight="1" thickBot="1" x14ac:dyDescent="0.25">
      <c r="A1270" s="10"/>
      <c r="E1270" s="9"/>
      <c r="F1270" s="14"/>
    </row>
    <row r="1271" spans="1:6" ht="30.75" customHeight="1" thickBot="1" x14ac:dyDescent="0.25">
      <c r="A1271" s="10"/>
      <c r="E1271" s="9"/>
      <c r="F1271" s="14"/>
    </row>
    <row r="1272" spans="1:6" ht="30.75" customHeight="1" thickBot="1" x14ac:dyDescent="0.25">
      <c r="A1272" s="10"/>
      <c r="E1272" s="9"/>
      <c r="F1272" s="14"/>
    </row>
    <row r="1273" spans="1:6" ht="30.75" customHeight="1" thickBot="1" x14ac:dyDescent="0.25">
      <c r="A1273" s="10"/>
      <c r="E1273" s="9"/>
      <c r="F1273" s="14"/>
    </row>
    <row r="1274" spans="1:6" ht="30.75" customHeight="1" thickBot="1" x14ac:dyDescent="0.25">
      <c r="A1274" s="10"/>
      <c r="E1274" s="9"/>
      <c r="F1274" s="14"/>
    </row>
    <row r="1275" spans="1:6" ht="30.75" customHeight="1" thickBot="1" x14ac:dyDescent="0.25">
      <c r="A1275" s="10"/>
      <c r="E1275" s="9"/>
      <c r="F1275" s="14"/>
    </row>
    <row r="1276" spans="1:6" ht="30.75" customHeight="1" thickBot="1" x14ac:dyDescent="0.25">
      <c r="A1276" s="10"/>
      <c r="E1276" s="9"/>
      <c r="F1276" s="14"/>
    </row>
    <row r="1277" spans="1:6" ht="30.75" customHeight="1" thickBot="1" x14ac:dyDescent="0.25">
      <c r="A1277" s="10"/>
      <c r="E1277" s="9"/>
      <c r="F1277" s="14"/>
    </row>
    <row r="1278" spans="1:6" ht="30.75" customHeight="1" thickBot="1" x14ac:dyDescent="0.25">
      <c r="A1278" s="10"/>
      <c r="E1278" s="9"/>
      <c r="F1278" s="14"/>
    </row>
    <row r="1279" spans="1:6" ht="30.75" customHeight="1" thickBot="1" x14ac:dyDescent="0.25">
      <c r="A1279" s="10"/>
      <c r="E1279" s="9"/>
      <c r="F1279" s="14"/>
    </row>
    <row r="1280" spans="1:6" ht="30.75" customHeight="1" thickBot="1" x14ac:dyDescent="0.25">
      <c r="A1280" s="10"/>
      <c r="E1280" s="9"/>
      <c r="F1280" s="14"/>
    </row>
    <row r="1281" spans="1:6" ht="30.75" customHeight="1" thickBot="1" x14ac:dyDescent="0.25">
      <c r="A1281" s="10"/>
      <c r="E1281" s="9"/>
      <c r="F1281" s="14"/>
    </row>
    <row r="1282" spans="1:6" ht="30.75" customHeight="1" thickBot="1" x14ac:dyDescent="0.25">
      <c r="A1282" s="10"/>
      <c r="E1282" s="9"/>
      <c r="F1282" s="14"/>
    </row>
    <row r="1283" spans="1:6" ht="30.75" customHeight="1" thickBot="1" x14ac:dyDescent="0.25">
      <c r="A1283" s="10"/>
      <c r="E1283" s="9"/>
      <c r="F1283" s="14"/>
    </row>
    <row r="1284" spans="1:6" ht="30.75" customHeight="1" thickBot="1" x14ac:dyDescent="0.25">
      <c r="A1284" s="10"/>
      <c r="E1284" s="9"/>
      <c r="F1284" s="14"/>
    </row>
    <row r="1285" spans="1:6" ht="30.75" customHeight="1" thickBot="1" x14ac:dyDescent="0.25">
      <c r="A1285" s="10"/>
      <c r="E1285" s="9"/>
      <c r="F1285" s="14"/>
    </row>
    <row r="1286" spans="1:6" ht="30.75" customHeight="1" thickBot="1" x14ac:dyDescent="0.25">
      <c r="A1286" s="10"/>
      <c r="E1286" s="9"/>
      <c r="F1286" s="14"/>
    </row>
    <row r="1287" spans="1:6" ht="30.75" customHeight="1" thickBot="1" x14ac:dyDescent="0.25">
      <c r="A1287" s="10"/>
      <c r="E1287" s="9"/>
      <c r="F1287" s="14"/>
    </row>
    <row r="1288" spans="1:6" ht="30.75" customHeight="1" thickBot="1" x14ac:dyDescent="0.25">
      <c r="A1288" s="10"/>
      <c r="E1288" s="9"/>
      <c r="F1288" s="14"/>
    </row>
    <row r="1289" spans="1:6" ht="30.75" customHeight="1" thickBot="1" x14ac:dyDescent="0.25">
      <c r="A1289" s="10"/>
      <c r="E1289" s="9"/>
      <c r="F1289" s="14"/>
    </row>
    <row r="1290" spans="1:6" ht="30.75" customHeight="1" thickBot="1" x14ac:dyDescent="0.25">
      <c r="A1290" s="10"/>
      <c r="E1290" s="9"/>
      <c r="F1290" s="14"/>
    </row>
    <row r="1291" spans="1:6" ht="30.75" customHeight="1" thickBot="1" x14ac:dyDescent="0.25">
      <c r="A1291" s="10"/>
      <c r="E1291" s="9"/>
      <c r="F1291" s="14"/>
    </row>
    <row r="1292" spans="1:6" ht="30.75" customHeight="1" thickBot="1" x14ac:dyDescent="0.25">
      <c r="A1292" s="10"/>
      <c r="E1292" s="9"/>
      <c r="F1292" s="14"/>
    </row>
    <row r="1293" spans="1:6" ht="30.75" customHeight="1" thickBot="1" x14ac:dyDescent="0.25">
      <c r="A1293" s="10"/>
      <c r="E1293" s="9"/>
      <c r="F1293" s="14"/>
    </row>
    <row r="1294" spans="1:6" ht="30.75" customHeight="1" thickBot="1" x14ac:dyDescent="0.25">
      <c r="A1294" s="10"/>
      <c r="E1294" s="9"/>
      <c r="F1294" s="14"/>
    </row>
    <row r="1295" spans="1:6" ht="30.75" customHeight="1" thickBot="1" x14ac:dyDescent="0.25">
      <c r="A1295" s="10"/>
      <c r="E1295" s="9"/>
      <c r="F1295" s="14"/>
    </row>
    <row r="1296" spans="1:6" ht="30.75" customHeight="1" thickBot="1" x14ac:dyDescent="0.25">
      <c r="A1296" s="10"/>
      <c r="E1296" s="9"/>
      <c r="F1296" s="14"/>
    </row>
    <row r="1297" spans="1:6" ht="30.75" customHeight="1" thickBot="1" x14ac:dyDescent="0.25">
      <c r="A1297" s="10"/>
      <c r="E1297" s="9"/>
      <c r="F1297" s="14"/>
    </row>
    <row r="1298" spans="1:6" ht="30.75" customHeight="1" thickBot="1" x14ac:dyDescent="0.25">
      <c r="A1298" s="10"/>
      <c r="E1298" s="9"/>
      <c r="F1298" s="14"/>
    </row>
    <row r="1299" spans="1:6" ht="30.75" customHeight="1" thickBot="1" x14ac:dyDescent="0.25">
      <c r="A1299" s="10"/>
      <c r="E1299" s="9"/>
      <c r="F1299" s="14"/>
    </row>
    <row r="1300" spans="1:6" ht="30.75" customHeight="1" thickBot="1" x14ac:dyDescent="0.25">
      <c r="A1300" s="10"/>
      <c r="E1300" s="9"/>
      <c r="F1300" s="14"/>
    </row>
    <row r="1301" spans="1:6" ht="30.75" customHeight="1" thickBot="1" x14ac:dyDescent="0.25">
      <c r="A1301" s="10"/>
      <c r="E1301" s="9"/>
      <c r="F1301" s="14"/>
    </row>
    <row r="1302" spans="1:6" ht="30.75" customHeight="1" thickBot="1" x14ac:dyDescent="0.25">
      <c r="A1302" s="10"/>
      <c r="E1302" s="9"/>
      <c r="F1302" s="14"/>
    </row>
    <row r="1303" spans="1:6" ht="30.75" customHeight="1" thickBot="1" x14ac:dyDescent="0.25">
      <c r="A1303" s="10"/>
      <c r="E1303" s="9"/>
      <c r="F1303" s="14"/>
    </row>
    <row r="1304" spans="1:6" ht="30.75" customHeight="1" thickBot="1" x14ac:dyDescent="0.25">
      <c r="A1304" s="10"/>
      <c r="E1304" s="9"/>
      <c r="F1304" s="14"/>
    </row>
    <row r="1305" spans="1:6" ht="30.75" customHeight="1" thickBot="1" x14ac:dyDescent="0.25">
      <c r="A1305" s="10"/>
      <c r="E1305" s="9"/>
      <c r="F1305" s="14"/>
    </row>
    <row r="1306" spans="1:6" ht="30.75" customHeight="1" thickBot="1" x14ac:dyDescent="0.25">
      <c r="A1306" s="10"/>
      <c r="E1306" s="9"/>
      <c r="F1306" s="14"/>
    </row>
    <row r="1307" spans="1:6" ht="30.75" customHeight="1" thickBot="1" x14ac:dyDescent="0.25">
      <c r="A1307" s="10"/>
      <c r="E1307" s="9"/>
      <c r="F1307" s="14"/>
    </row>
    <row r="1308" spans="1:6" ht="30.75" customHeight="1" thickBot="1" x14ac:dyDescent="0.25">
      <c r="A1308" s="10"/>
      <c r="E1308" s="9"/>
      <c r="F1308" s="14"/>
    </row>
    <row r="1309" spans="1:6" ht="30.75" customHeight="1" thickBot="1" x14ac:dyDescent="0.25">
      <c r="A1309" s="10"/>
      <c r="E1309" s="9"/>
      <c r="F1309" s="14"/>
    </row>
    <row r="1310" spans="1:6" ht="30.75" customHeight="1" thickBot="1" x14ac:dyDescent="0.25">
      <c r="A1310" s="10"/>
      <c r="E1310" s="9"/>
      <c r="F1310" s="14"/>
    </row>
    <row r="1311" spans="1:6" ht="30.75" customHeight="1" thickBot="1" x14ac:dyDescent="0.25">
      <c r="A1311" s="10"/>
      <c r="E1311" s="9"/>
      <c r="F1311" s="14"/>
    </row>
    <row r="1312" spans="1:6" ht="30.75" customHeight="1" thickBot="1" x14ac:dyDescent="0.25">
      <c r="A1312" s="10"/>
      <c r="E1312" s="9"/>
      <c r="F1312" s="14"/>
    </row>
    <row r="1313" spans="1:6" ht="30.75" customHeight="1" thickBot="1" x14ac:dyDescent="0.25">
      <c r="A1313" s="10"/>
      <c r="E1313" s="9"/>
      <c r="F1313" s="14"/>
    </row>
    <row r="1314" spans="1:6" ht="30.75" customHeight="1" thickBot="1" x14ac:dyDescent="0.25">
      <c r="A1314" s="10"/>
      <c r="E1314" s="9"/>
      <c r="F1314" s="14"/>
    </row>
    <row r="1315" spans="1:6" ht="30.75" customHeight="1" thickBot="1" x14ac:dyDescent="0.25">
      <c r="A1315" s="10"/>
      <c r="E1315" s="9"/>
      <c r="F1315" s="14"/>
    </row>
    <row r="1316" spans="1:6" ht="30.75" customHeight="1" thickBot="1" x14ac:dyDescent="0.25">
      <c r="A1316" s="10"/>
      <c r="E1316" s="9"/>
      <c r="F1316" s="14"/>
    </row>
    <row r="1317" spans="1:6" ht="30.75" customHeight="1" thickBot="1" x14ac:dyDescent="0.25">
      <c r="A1317" s="10"/>
      <c r="E1317" s="9"/>
      <c r="F1317" s="14"/>
    </row>
    <row r="1318" spans="1:6" ht="30.75" customHeight="1" thickBot="1" x14ac:dyDescent="0.25">
      <c r="A1318" s="10"/>
      <c r="E1318" s="9"/>
      <c r="F1318" s="14"/>
    </row>
    <row r="1319" spans="1:6" ht="30.75" customHeight="1" thickBot="1" x14ac:dyDescent="0.25">
      <c r="A1319" s="10"/>
      <c r="E1319" s="9"/>
      <c r="F1319" s="14"/>
    </row>
    <row r="1320" spans="1:6" ht="30.75" customHeight="1" thickBot="1" x14ac:dyDescent="0.25">
      <c r="A1320" s="10"/>
      <c r="E1320" s="9"/>
      <c r="F1320" s="14"/>
    </row>
    <row r="1321" spans="1:6" ht="30.75" customHeight="1" thickBot="1" x14ac:dyDescent="0.25">
      <c r="A1321" s="10"/>
      <c r="E1321" s="9"/>
      <c r="F1321" s="14"/>
    </row>
    <row r="1322" spans="1:6" ht="30.75" customHeight="1" thickBot="1" x14ac:dyDescent="0.25">
      <c r="A1322" s="10"/>
      <c r="E1322" s="9"/>
      <c r="F1322" s="14"/>
    </row>
    <row r="1323" spans="1:6" ht="30.75" customHeight="1" thickBot="1" x14ac:dyDescent="0.25">
      <c r="A1323" s="10"/>
      <c r="E1323" s="9"/>
      <c r="F1323" s="14"/>
    </row>
    <row r="1324" spans="1:6" ht="30.75" customHeight="1" thickBot="1" x14ac:dyDescent="0.25">
      <c r="A1324" s="10"/>
      <c r="E1324" s="9"/>
      <c r="F1324" s="14"/>
    </row>
    <row r="1325" spans="1:6" ht="30.75" customHeight="1" thickBot="1" x14ac:dyDescent="0.25">
      <c r="A1325" s="10"/>
      <c r="E1325" s="9"/>
      <c r="F1325" s="14"/>
    </row>
    <row r="1326" spans="1:6" ht="30.75" customHeight="1" thickBot="1" x14ac:dyDescent="0.25">
      <c r="A1326" s="10"/>
      <c r="E1326" s="9"/>
      <c r="F1326" s="14"/>
    </row>
    <row r="1327" spans="1:6" ht="30.75" customHeight="1" thickBot="1" x14ac:dyDescent="0.25">
      <c r="A1327" s="10"/>
      <c r="E1327" s="9"/>
      <c r="F1327" s="14"/>
    </row>
    <row r="1328" spans="1:6" ht="30.75" customHeight="1" thickBot="1" x14ac:dyDescent="0.25">
      <c r="A1328" s="10"/>
      <c r="E1328" s="9"/>
      <c r="F1328" s="14"/>
    </row>
    <row r="1329" spans="1:6" ht="30.75" customHeight="1" thickBot="1" x14ac:dyDescent="0.25">
      <c r="A1329" s="10"/>
      <c r="E1329" s="9"/>
      <c r="F1329" s="14"/>
    </row>
    <row r="1330" spans="1:6" ht="30.75" customHeight="1" thickBot="1" x14ac:dyDescent="0.25">
      <c r="A1330" s="10"/>
      <c r="E1330" s="9"/>
      <c r="F1330" s="14"/>
    </row>
    <row r="1331" spans="1:6" ht="30.75" customHeight="1" thickBot="1" x14ac:dyDescent="0.25">
      <c r="A1331" s="10"/>
      <c r="E1331" s="9"/>
      <c r="F1331" s="14"/>
    </row>
    <row r="1332" spans="1:6" ht="30.75" customHeight="1" thickBot="1" x14ac:dyDescent="0.25">
      <c r="A1332" s="10"/>
      <c r="E1332" s="9"/>
      <c r="F1332" s="14"/>
    </row>
    <row r="1333" spans="1:6" ht="30.75" customHeight="1" thickBot="1" x14ac:dyDescent="0.25">
      <c r="A1333" s="10"/>
      <c r="E1333" s="9"/>
      <c r="F1333" s="14"/>
    </row>
    <row r="1334" spans="1:6" ht="30.75" customHeight="1" thickBot="1" x14ac:dyDescent="0.25">
      <c r="A1334" s="10"/>
      <c r="E1334" s="9"/>
      <c r="F1334" s="14"/>
    </row>
    <row r="1335" spans="1:6" ht="30.75" customHeight="1" thickBot="1" x14ac:dyDescent="0.25">
      <c r="A1335" s="10"/>
      <c r="E1335" s="9"/>
      <c r="F1335" s="14"/>
    </row>
    <row r="1336" spans="1:6" ht="30.75" customHeight="1" thickBot="1" x14ac:dyDescent="0.25">
      <c r="A1336" s="10"/>
      <c r="E1336" s="9"/>
      <c r="F1336" s="14"/>
    </row>
    <row r="1337" spans="1:6" ht="30.75" customHeight="1" thickBot="1" x14ac:dyDescent="0.25">
      <c r="A1337" s="10"/>
      <c r="E1337" s="9"/>
      <c r="F1337" s="14"/>
    </row>
    <row r="1338" spans="1:6" ht="30.75" customHeight="1" thickBot="1" x14ac:dyDescent="0.25">
      <c r="A1338" s="10"/>
      <c r="E1338" s="9"/>
      <c r="F1338" s="14"/>
    </row>
    <row r="1339" spans="1:6" ht="30.75" customHeight="1" thickBot="1" x14ac:dyDescent="0.25">
      <c r="A1339" s="10"/>
      <c r="E1339" s="9"/>
      <c r="F1339" s="14"/>
    </row>
    <row r="1340" spans="1:6" ht="30.75" customHeight="1" thickBot="1" x14ac:dyDescent="0.25">
      <c r="A1340" s="10"/>
      <c r="E1340" s="9"/>
      <c r="F1340" s="14"/>
    </row>
    <row r="1341" spans="1:6" ht="30.75" customHeight="1" thickBot="1" x14ac:dyDescent="0.25">
      <c r="A1341" s="10"/>
      <c r="E1341" s="9"/>
      <c r="F1341" s="14"/>
    </row>
    <row r="1342" spans="1:6" ht="30.75" customHeight="1" thickBot="1" x14ac:dyDescent="0.25">
      <c r="A1342" s="10"/>
      <c r="E1342" s="9"/>
      <c r="F1342" s="14"/>
    </row>
    <row r="1343" spans="1:6" ht="30.75" customHeight="1" thickBot="1" x14ac:dyDescent="0.25">
      <c r="A1343" s="10"/>
      <c r="E1343" s="9"/>
      <c r="F1343" s="14"/>
    </row>
    <row r="1344" spans="1:6" ht="30.75" customHeight="1" thickBot="1" x14ac:dyDescent="0.25">
      <c r="A1344" s="10"/>
      <c r="E1344" s="9"/>
      <c r="F1344" s="14"/>
    </row>
    <row r="1345" spans="1:6" ht="30.75" customHeight="1" thickBot="1" x14ac:dyDescent="0.25">
      <c r="A1345" s="10"/>
      <c r="E1345" s="9"/>
      <c r="F1345" s="14"/>
    </row>
    <row r="1346" spans="1:6" ht="30.75" customHeight="1" thickBot="1" x14ac:dyDescent="0.25">
      <c r="A1346" s="10"/>
      <c r="E1346" s="9"/>
      <c r="F1346" s="14"/>
    </row>
    <row r="1347" spans="1:6" ht="30.75" customHeight="1" thickBot="1" x14ac:dyDescent="0.25">
      <c r="A1347" s="10"/>
      <c r="E1347" s="9"/>
      <c r="F1347" s="14"/>
    </row>
    <row r="1348" spans="1:6" ht="30.75" customHeight="1" thickBot="1" x14ac:dyDescent="0.25">
      <c r="A1348" s="10"/>
      <c r="E1348" s="9"/>
      <c r="F1348" s="14"/>
    </row>
    <row r="1349" spans="1:6" ht="30.75" customHeight="1" thickBot="1" x14ac:dyDescent="0.25">
      <c r="A1349" s="10"/>
      <c r="E1349" s="9"/>
      <c r="F1349" s="14"/>
    </row>
    <row r="1350" spans="1:6" ht="30.75" customHeight="1" thickBot="1" x14ac:dyDescent="0.25">
      <c r="A1350" s="10"/>
      <c r="E1350" s="9"/>
      <c r="F1350" s="14"/>
    </row>
    <row r="1351" spans="1:6" ht="30.75" customHeight="1" thickBot="1" x14ac:dyDescent="0.25">
      <c r="A1351" s="10"/>
      <c r="E1351" s="9"/>
      <c r="F1351" s="14"/>
    </row>
    <row r="1352" spans="1:6" ht="30.75" customHeight="1" thickBot="1" x14ac:dyDescent="0.25">
      <c r="A1352" s="10"/>
      <c r="E1352" s="9"/>
      <c r="F1352" s="14"/>
    </row>
    <row r="1353" spans="1:6" ht="30.75" customHeight="1" thickBot="1" x14ac:dyDescent="0.25">
      <c r="A1353" s="10"/>
      <c r="E1353" s="9"/>
      <c r="F1353" s="14"/>
    </row>
    <row r="1354" spans="1:6" ht="30.75" customHeight="1" thickBot="1" x14ac:dyDescent="0.25">
      <c r="A1354" s="10"/>
      <c r="E1354" s="9"/>
      <c r="F1354" s="14"/>
    </row>
    <row r="1355" spans="1:6" ht="30.75" customHeight="1" thickBot="1" x14ac:dyDescent="0.25">
      <c r="A1355" s="10"/>
      <c r="E1355" s="9"/>
      <c r="F1355" s="14"/>
    </row>
    <row r="1356" spans="1:6" ht="30.75" customHeight="1" thickBot="1" x14ac:dyDescent="0.25">
      <c r="A1356" s="10"/>
      <c r="E1356" s="9"/>
      <c r="F1356" s="14"/>
    </row>
    <row r="1357" spans="1:6" ht="30.75" customHeight="1" thickBot="1" x14ac:dyDescent="0.25">
      <c r="A1357" s="10"/>
      <c r="E1357" s="9"/>
      <c r="F1357" s="14"/>
    </row>
    <row r="1358" spans="1:6" ht="30.75" customHeight="1" thickBot="1" x14ac:dyDescent="0.25">
      <c r="A1358" s="10"/>
      <c r="E1358" s="9"/>
      <c r="F1358" s="14"/>
    </row>
    <row r="1359" spans="1:6" ht="30.75" customHeight="1" thickBot="1" x14ac:dyDescent="0.25">
      <c r="A1359" s="10"/>
      <c r="E1359" s="9"/>
      <c r="F1359" s="14"/>
    </row>
    <row r="1360" spans="1:6" ht="30.75" customHeight="1" thickBot="1" x14ac:dyDescent="0.25">
      <c r="A1360" s="10"/>
      <c r="E1360" s="9"/>
      <c r="F1360" s="14"/>
    </row>
    <row r="1361" spans="1:6" ht="30.75" customHeight="1" thickBot="1" x14ac:dyDescent="0.25">
      <c r="A1361" s="10"/>
      <c r="E1361" s="9"/>
      <c r="F1361" s="14"/>
    </row>
    <row r="1362" spans="1:6" ht="30.75" customHeight="1" thickBot="1" x14ac:dyDescent="0.25">
      <c r="A1362" s="10"/>
      <c r="E1362" s="9"/>
      <c r="F1362" s="14"/>
    </row>
    <row r="1363" spans="1:6" ht="30.75" customHeight="1" thickBot="1" x14ac:dyDescent="0.25">
      <c r="A1363" s="10"/>
      <c r="E1363" s="9"/>
      <c r="F1363" s="14"/>
    </row>
    <row r="1364" spans="1:6" ht="30.75" customHeight="1" thickBot="1" x14ac:dyDescent="0.25">
      <c r="A1364" s="10"/>
      <c r="E1364" s="9"/>
      <c r="F1364" s="14"/>
    </row>
    <row r="1365" spans="1:6" ht="30.75" customHeight="1" thickBot="1" x14ac:dyDescent="0.25">
      <c r="A1365" s="10"/>
      <c r="E1365" s="9"/>
      <c r="F1365" s="14"/>
    </row>
    <row r="1366" spans="1:6" ht="30.75" customHeight="1" thickBot="1" x14ac:dyDescent="0.25">
      <c r="A1366" s="10"/>
      <c r="E1366" s="9"/>
      <c r="F1366" s="14"/>
    </row>
    <row r="1367" spans="1:6" ht="30.75" customHeight="1" thickBot="1" x14ac:dyDescent="0.25">
      <c r="A1367" s="10"/>
      <c r="E1367" s="9"/>
      <c r="F1367" s="14"/>
    </row>
    <row r="1368" spans="1:6" ht="30.75" customHeight="1" thickBot="1" x14ac:dyDescent="0.25">
      <c r="A1368" s="10"/>
      <c r="E1368" s="9"/>
      <c r="F1368" s="14"/>
    </row>
    <row r="1369" spans="1:6" ht="30.75" customHeight="1" thickBot="1" x14ac:dyDescent="0.25">
      <c r="A1369" s="10"/>
      <c r="E1369" s="9"/>
      <c r="F1369" s="14"/>
    </row>
    <row r="1370" spans="1:6" ht="30.75" customHeight="1" thickBot="1" x14ac:dyDescent="0.25">
      <c r="A1370" s="10"/>
      <c r="E1370" s="9"/>
      <c r="F1370" s="14"/>
    </row>
    <row r="1371" spans="1:6" ht="30.75" customHeight="1" thickBot="1" x14ac:dyDescent="0.25">
      <c r="A1371" s="10"/>
      <c r="E1371" s="9"/>
      <c r="F1371" s="14"/>
    </row>
    <row r="1372" spans="1:6" ht="30.75" customHeight="1" thickBot="1" x14ac:dyDescent="0.25">
      <c r="A1372" s="10"/>
      <c r="E1372" s="9"/>
      <c r="F1372" s="14"/>
    </row>
    <row r="1373" spans="1:6" ht="30.75" customHeight="1" thickBot="1" x14ac:dyDescent="0.25">
      <c r="A1373" s="10"/>
      <c r="E1373" s="9"/>
      <c r="F1373" s="14"/>
    </row>
    <row r="1374" spans="1:6" ht="30.75" customHeight="1" thickBot="1" x14ac:dyDescent="0.25">
      <c r="A1374" s="10"/>
      <c r="E1374" s="9"/>
      <c r="F1374" s="14"/>
    </row>
    <row r="1375" spans="1:6" ht="30.75" customHeight="1" thickBot="1" x14ac:dyDescent="0.25">
      <c r="A1375" s="10"/>
      <c r="E1375" s="9"/>
      <c r="F1375" s="14"/>
    </row>
    <row r="1376" spans="1:6" ht="30.75" customHeight="1" thickBot="1" x14ac:dyDescent="0.25">
      <c r="A1376" s="10"/>
      <c r="E1376" s="9"/>
      <c r="F1376" s="14"/>
    </row>
    <row r="1377" spans="1:6" ht="30.75" customHeight="1" thickBot="1" x14ac:dyDescent="0.25">
      <c r="A1377" s="10"/>
      <c r="E1377" s="9"/>
      <c r="F1377" s="14"/>
    </row>
    <row r="1378" spans="1:6" ht="30.75" customHeight="1" thickBot="1" x14ac:dyDescent="0.25">
      <c r="A1378" s="10"/>
      <c r="E1378" s="9"/>
      <c r="F1378" s="14"/>
    </row>
    <row r="1379" spans="1:6" ht="30.75" customHeight="1" thickBot="1" x14ac:dyDescent="0.25">
      <c r="A1379" s="10"/>
      <c r="E1379" s="9"/>
      <c r="F1379" s="14"/>
    </row>
    <row r="1380" spans="1:6" ht="30.75" customHeight="1" thickBot="1" x14ac:dyDescent="0.25">
      <c r="A1380" s="10"/>
      <c r="E1380" s="9"/>
      <c r="F1380" s="14"/>
    </row>
    <row r="1381" spans="1:6" ht="30.75" customHeight="1" thickBot="1" x14ac:dyDescent="0.25">
      <c r="A1381" s="10"/>
      <c r="E1381" s="9"/>
      <c r="F1381" s="14"/>
    </row>
    <row r="1382" spans="1:6" ht="30.75" customHeight="1" thickBot="1" x14ac:dyDescent="0.25">
      <c r="A1382" s="10"/>
      <c r="E1382" s="9"/>
      <c r="F1382" s="14"/>
    </row>
    <row r="1383" spans="1:6" ht="30.75" customHeight="1" thickBot="1" x14ac:dyDescent="0.25">
      <c r="A1383" s="10"/>
      <c r="E1383" s="9"/>
      <c r="F1383" s="14"/>
    </row>
    <row r="1384" spans="1:6" ht="30.75" customHeight="1" thickBot="1" x14ac:dyDescent="0.25">
      <c r="A1384" s="10"/>
      <c r="E1384" s="9"/>
      <c r="F1384" s="14"/>
    </row>
    <row r="1385" spans="1:6" ht="30.75" customHeight="1" thickBot="1" x14ac:dyDescent="0.25">
      <c r="A1385" s="10"/>
      <c r="E1385" s="9"/>
      <c r="F1385" s="14"/>
    </row>
    <row r="1386" spans="1:6" ht="30.75" customHeight="1" thickBot="1" x14ac:dyDescent="0.25">
      <c r="A1386" s="10"/>
      <c r="E1386" s="9"/>
      <c r="F1386" s="14"/>
    </row>
    <row r="1387" spans="1:6" ht="30.75" customHeight="1" thickBot="1" x14ac:dyDescent="0.25">
      <c r="A1387" s="10"/>
      <c r="E1387" s="9"/>
      <c r="F1387" s="14"/>
    </row>
    <row r="1388" spans="1:6" ht="30.75" customHeight="1" thickBot="1" x14ac:dyDescent="0.25">
      <c r="A1388" s="10"/>
      <c r="E1388" s="9"/>
      <c r="F1388" s="14"/>
    </row>
    <row r="1389" spans="1:6" ht="30.75" customHeight="1" thickBot="1" x14ac:dyDescent="0.25">
      <c r="A1389" s="10"/>
      <c r="E1389" s="9"/>
      <c r="F1389" s="14"/>
    </row>
    <row r="1390" spans="1:6" ht="30.75" customHeight="1" thickBot="1" x14ac:dyDescent="0.25">
      <c r="A1390" s="10"/>
      <c r="E1390" s="9"/>
      <c r="F1390" s="14"/>
    </row>
    <row r="1391" spans="1:6" ht="30.75" customHeight="1" thickBot="1" x14ac:dyDescent="0.25">
      <c r="A1391" s="10"/>
      <c r="E1391" s="9"/>
      <c r="F1391" s="14"/>
    </row>
    <row r="1392" spans="1:6" ht="30.75" customHeight="1" thickBot="1" x14ac:dyDescent="0.25">
      <c r="A1392" s="10"/>
      <c r="E1392" s="9"/>
      <c r="F1392" s="14"/>
    </row>
    <row r="1393" spans="1:6" ht="30.75" customHeight="1" thickBot="1" x14ac:dyDescent="0.25">
      <c r="A1393" s="10"/>
      <c r="E1393" s="9"/>
      <c r="F1393" s="14"/>
    </row>
    <row r="1394" spans="1:6" ht="30.75" customHeight="1" thickBot="1" x14ac:dyDescent="0.25">
      <c r="A1394" s="10"/>
      <c r="E1394" s="9"/>
      <c r="F1394" s="14"/>
    </row>
    <row r="1395" spans="1:6" ht="30.75" customHeight="1" thickBot="1" x14ac:dyDescent="0.25">
      <c r="A1395" s="10"/>
      <c r="E1395" s="9"/>
      <c r="F1395" s="14"/>
    </row>
    <row r="1396" spans="1:6" ht="30.75" customHeight="1" thickBot="1" x14ac:dyDescent="0.25">
      <c r="A1396" s="10"/>
      <c r="E1396" s="9"/>
      <c r="F1396" s="14"/>
    </row>
    <row r="1397" spans="1:6" ht="30.75" customHeight="1" thickBot="1" x14ac:dyDescent="0.25">
      <c r="A1397" s="10"/>
      <c r="E1397" s="9"/>
      <c r="F1397" s="14"/>
    </row>
    <row r="1398" spans="1:6" ht="30.75" customHeight="1" thickBot="1" x14ac:dyDescent="0.25">
      <c r="A1398" s="10"/>
      <c r="E1398" s="9"/>
      <c r="F1398" s="14"/>
    </row>
    <row r="1399" spans="1:6" ht="30.75" customHeight="1" thickBot="1" x14ac:dyDescent="0.25">
      <c r="A1399" s="10"/>
      <c r="E1399" s="9"/>
      <c r="F1399" s="14"/>
    </row>
    <row r="1400" spans="1:6" ht="30.75" customHeight="1" thickBot="1" x14ac:dyDescent="0.25">
      <c r="A1400" s="10"/>
      <c r="E1400" s="9"/>
      <c r="F1400" s="14"/>
    </row>
    <row r="1401" spans="1:6" ht="30.75" customHeight="1" thickBot="1" x14ac:dyDescent="0.25">
      <c r="A1401" s="10"/>
      <c r="E1401" s="9"/>
      <c r="F1401" s="14"/>
    </row>
    <row r="1402" spans="1:6" ht="30.75" customHeight="1" thickBot="1" x14ac:dyDescent="0.25">
      <c r="A1402" s="10"/>
      <c r="E1402" s="9"/>
      <c r="F1402" s="14"/>
    </row>
    <row r="1403" spans="1:6" ht="30.75" customHeight="1" thickBot="1" x14ac:dyDescent="0.25">
      <c r="A1403" s="10"/>
      <c r="E1403" s="9"/>
      <c r="F1403" s="14"/>
    </row>
    <row r="1404" spans="1:6" ht="30.75" customHeight="1" thickBot="1" x14ac:dyDescent="0.25">
      <c r="A1404" s="10"/>
      <c r="E1404" s="9"/>
      <c r="F1404" s="14"/>
    </row>
    <row r="1405" spans="1:6" ht="30.75" customHeight="1" thickBot="1" x14ac:dyDescent="0.25">
      <c r="A1405" s="10"/>
      <c r="E1405" s="9"/>
      <c r="F1405" s="14"/>
    </row>
    <row r="1406" spans="1:6" ht="30.75" customHeight="1" thickBot="1" x14ac:dyDescent="0.25">
      <c r="A1406" s="10"/>
      <c r="E1406" s="9"/>
      <c r="F1406" s="14"/>
    </row>
    <row r="1407" spans="1:6" ht="30.75" customHeight="1" thickBot="1" x14ac:dyDescent="0.25">
      <c r="A1407" s="10"/>
      <c r="E1407" s="9"/>
      <c r="F1407" s="14"/>
    </row>
    <row r="1408" spans="1:6" ht="30.75" customHeight="1" thickBot="1" x14ac:dyDescent="0.25">
      <c r="A1408" s="10"/>
      <c r="E1408" s="9"/>
      <c r="F1408" s="14"/>
    </row>
    <row r="1409" spans="1:6" ht="30.75" customHeight="1" thickBot="1" x14ac:dyDescent="0.25">
      <c r="A1409" s="10"/>
      <c r="E1409" s="9"/>
      <c r="F1409" s="14"/>
    </row>
    <row r="1410" spans="1:6" ht="30.75" customHeight="1" thickBot="1" x14ac:dyDescent="0.25">
      <c r="A1410" s="10"/>
      <c r="E1410" s="9"/>
      <c r="F1410" s="14"/>
    </row>
    <row r="1411" spans="1:6" ht="30.75" customHeight="1" thickBot="1" x14ac:dyDescent="0.25">
      <c r="A1411" s="10"/>
      <c r="E1411" s="9"/>
      <c r="F1411" s="14"/>
    </row>
    <row r="1412" spans="1:6" ht="30.75" customHeight="1" thickBot="1" x14ac:dyDescent="0.25">
      <c r="A1412" s="10"/>
      <c r="E1412" s="9"/>
      <c r="F1412" s="14"/>
    </row>
    <row r="1413" spans="1:6" ht="30.75" customHeight="1" thickBot="1" x14ac:dyDescent="0.25">
      <c r="A1413" s="10"/>
      <c r="E1413" s="9"/>
      <c r="F1413" s="14"/>
    </row>
    <row r="1414" spans="1:6" ht="30.75" customHeight="1" thickBot="1" x14ac:dyDescent="0.25">
      <c r="A1414" s="10"/>
      <c r="E1414" s="9"/>
      <c r="F1414" s="14"/>
    </row>
    <row r="1415" spans="1:6" ht="30.75" customHeight="1" thickBot="1" x14ac:dyDescent="0.25">
      <c r="A1415" s="10"/>
      <c r="E1415" s="9"/>
      <c r="F1415" s="14"/>
    </row>
    <row r="1416" spans="1:6" ht="30.75" customHeight="1" thickBot="1" x14ac:dyDescent="0.25">
      <c r="A1416" s="10"/>
      <c r="E1416" s="9"/>
      <c r="F1416" s="14"/>
    </row>
    <row r="1417" spans="1:6" ht="30.75" customHeight="1" thickBot="1" x14ac:dyDescent="0.25">
      <c r="A1417" s="10"/>
      <c r="E1417" s="9"/>
      <c r="F1417" s="14"/>
    </row>
    <row r="1418" spans="1:6" ht="30.75" customHeight="1" thickBot="1" x14ac:dyDescent="0.25">
      <c r="A1418" s="10"/>
      <c r="E1418" s="9"/>
      <c r="F1418" s="14"/>
    </row>
    <row r="1419" spans="1:6" ht="30.75" customHeight="1" thickBot="1" x14ac:dyDescent="0.25">
      <c r="A1419" s="10"/>
      <c r="E1419" s="9"/>
      <c r="F1419" s="14"/>
    </row>
    <row r="1420" spans="1:6" ht="30.75" customHeight="1" thickBot="1" x14ac:dyDescent="0.25">
      <c r="A1420" s="10"/>
      <c r="E1420" s="9"/>
      <c r="F1420" s="14"/>
    </row>
    <row r="1421" spans="1:6" ht="30.75" customHeight="1" thickBot="1" x14ac:dyDescent="0.25">
      <c r="A1421" s="10"/>
      <c r="E1421" s="9"/>
      <c r="F1421" s="14"/>
    </row>
    <row r="1422" spans="1:6" ht="30.75" customHeight="1" thickBot="1" x14ac:dyDescent="0.25">
      <c r="A1422" s="10"/>
      <c r="E1422" s="9"/>
      <c r="F1422" s="14"/>
    </row>
    <row r="1423" spans="1:6" ht="30.75" customHeight="1" thickBot="1" x14ac:dyDescent="0.25">
      <c r="A1423" s="10"/>
      <c r="E1423" s="9"/>
      <c r="F1423" s="14"/>
    </row>
    <row r="1424" spans="1:6" ht="30.75" customHeight="1" thickBot="1" x14ac:dyDescent="0.25">
      <c r="A1424" s="10"/>
      <c r="E1424" s="9"/>
      <c r="F1424" s="14"/>
    </row>
    <row r="1425" spans="1:6" ht="30.75" customHeight="1" thickBot="1" x14ac:dyDescent="0.25">
      <c r="A1425" s="10"/>
      <c r="E1425" s="9"/>
      <c r="F1425" s="14"/>
    </row>
    <row r="1426" spans="1:6" ht="30.75" customHeight="1" thickBot="1" x14ac:dyDescent="0.25">
      <c r="A1426" s="10"/>
      <c r="E1426" s="9"/>
      <c r="F1426" s="14"/>
    </row>
    <row r="1427" spans="1:6" ht="30.75" customHeight="1" thickBot="1" x14ac:dyDescent="0.25">
      <c r="A1427" s="10"/>
      <c r="E1427" s="9"/>
      <c r="F1427" s="14"/>
    </row>
    <row r="1428" spans="1:6" ht="30.75" customHeight="1" thickBot="1" x14ac:dyDescent="0.25">
      <c r="A1428" s="10"/>
      <c r="E1428" s="9"/>
      <c r="F1428" s="14"/>
    </row>
    <row r="1429" spans="1:6" ht="30.75" customHeight="1" thickBot="1" x14ac:dyDescent="0.25">
      <c r="A1429" s="10"/>
      <c r="E1429" s="9"/>
      <c r="F1429" s="14"/>
    </row>
    <row r="1430" spans="1:6" ht="30.75" customHeight="1" thickBot="1" x14ac:dyDescent="0.25">
      <c r="A1430" s="10"/>
      <c r="E1430" s="9"/>
      <c r="F1430" s="14"/>
    </row>
    <row r="1431" spans="1:6" ht="30.75" customHeight="1" thickBot="1" x14ac:dyDescent="0.25">
      <c r="A1431" s="10"/>
      <c r="E1431" s="9"/>
      <c r="F1431" s="14"/>
    </row>
    <row r="1432" spans="1:6" ht="30.75" customHeight="1" thickBot="1" x14ac:dyDescent="0.25">
      <c r="A1432" s="10"/>
      <c r="E1432" s="9"/>
      <c r="F1432" s="14"/>
    </row>
    <row r="1433" spans="1:6" ht="30.75" customHeight="1" thickBot="1" x14ac:dyDescent="0.25">
      <c r="A1433" s="10"/>
      <c r="E1433" s="9"/>
      <c r="F1433" s="14"/>
    </row>
    <row r="1434" spans="1:6" ht="30.75" customHeight="1" thickBot="1" x14ac:dyDescent="0.25">
      <c r="A1434" s="10"/>
      <c r="E1434" s="9"/>
      <c r="F1434" s="14"/>
    </row>
    <row r="1435" spans="1:6" ht="30.75" customHeight="1" thickBot="1" x14ac:dyDescent="0.25">
      <c r="A1435" s="10"/>
      <c r="E1435" s="9"/>
      <c r="F1435" s="14"/>
    </row>
    <row r="1436" spans="1:6" ht="30.75" customHeight="1" thickBot="1" x14ac:dyDescent="0.25">
      <c r="A1436" s="10"/>
      <c r="E1436" s="9"/>
      <c r="F1436" s="14"/>
    </row>
    <row r="1437" spans="1:6" ht="30.75" customHeight="1" thickBot="1" x14ac:dyDescent="0.25">
      <c r="A1437" s="10"/>
      <c r="E1437" s="9"/>
      <c r="F1437" s="14"/>
    </row>
    <row r="1438" spans="1:6" ht="30.75" customHeight="1" thickBot="1" x14ac:dyDescent="0.25">
      <c r="A1438" s="10"/>
      <c r="E1438" s="9"/>
      <c r="F1438" s="14"/>
    </row>
    <row r="1439" spans="1:6" ht="30.75" customHeight="1" thickBot="1" x14ac:dyDescent="0.25">
      <c r="A1439" s="10"/>
      <c r="E1439" s="9"/>
      <c r="F1439" s="14"/>
    </row>
    <row r="1440" spans="1:6" ht="30.75" customHeight="1" thickBot="1" x14ac:dyDescent="0.25">
      <c r="A1440" s="10"/>
      <c r="E1440" s="9"/>
      <c r="F1440" s="14"/>
    </row>
    <row r="1441" spans="1:6" ht="30.75" customHeight="1" thickBot="1" x14ac:dyDescent="0.25">
      <c r="A1441" s="10"/>
      <c r="E1441" s="9"/>
      <c r="F1441" s="14"/>
    </row>
    <row r="1442" spans="1:6" ht="30.75" customHeight="1" thickBot="1" x14ac:dyDescent="0.25">
      <c r="A1442" s="10"/>
      <c r="E1442" s="9"/>
      <c r="F1442" s="14"/>
    </row>
    <row r="1443" spans="1:6" ht="30.75" customHeight="1" thickBot="1" x14ac:dyDescent="0.25">
      <c r="A1443" s="10"/>
      <c r="E1443" s="9"/>
      <c r="F1443" s="14"/>
    </row>
    <row r="1444" spans="1:6" ht="30.75" customHeight="1" thickBot="1" x14ac:dyDescent="0.25">
      <c r="A1444" s="10"/>
      <c r="E1444" s="9"/>
      <c r="F1444" s="14"/>
    </row>
    <row r="1445" spans="1:6" ht="30.75" customHeight="1" thickBot="1" x14ac:dyDescent="0.25">
      <c r="A1445" s="10"/>
      <c r="E1445" s="9"/>
      <c r="F1445" s="14"/>
    </row>
    <row r="1446" spans="1:6" ht="30.75" customHeight="1" thickBot="1" x14ac:dyDescent="0.25">
      <c r="A1446" s="10"/>
      <c r="E1446" s="9"/>
      <c r="F1446" s="14"/>
    </row>
    <row r="1447" spans="1:6" ht="30.75" customHeight="1" thickBot="1" x14ac:dyDescent="0.25">
      <c r="A1447" s="10"/>
      <c r="E1447" s="9"/>
      <c r="F1447" s="14"/>
    </row>
    <row r="1448" spans="1:6" ht="30.75" customHeight="1" thickBot="1" x14ac:dyDescent="0.25">
      <c r="A1448" s="10"/>
      <c r="E1448" s="9"/>
      <c r="F1448" s="14"/>
    </row>
    <row r="1449" spans="1:6" ht="30.75" customHeight="1" thickBot="1" x14ac:dyDescent="0.25">
      <c r="A1449" s="10"/>
      <c r="E1449" s="9"/>
      <c r="F1449" s="14"/>
    </row>
    <row r="1450" spans="1:6" ht="30.75" customHeight="1" thickBot="1" x14ac:dyDescent="0.25">
      <c r="A1450" s="10"/>
      <c r="E1450" s="9"/>
      <c r="F1450" s="14"/>
    </row>
    <row r="1451" spans="1:6" ht="30.75" customHeight="1" thickBot="1" x14ac:dyDescent="0.25">
      <c r="A1451" s="10"/>
      <c r="E1451" s="9"/>
      <c r="F1451" s="14"/>
    </row>
    <row r="1452" spans="1:6" ht="30.75" customHeight="1" thickBot="1" x14ac:dyDescent="0.25">
      <c r="A1452" s="10"/>
      <c r="E1452" s="9"/>
      <c r="F1452" s="14"/>
    </row>
    <row r="1453" spans="1:6" ht="30.75" customHeight="1" thickBot="1" x14ac:dyDescent="0.25">
      <c r="A1453" s="10"/>
      <c r="E1453" s="9"/>
      <c r="F1453" s="14"/>
    </row>
    <row r="1454" spans="1:6" ht="30.75" customHeight="1" thickBot="1" x14ac:dyDescent="0.25">
      <c r="A1454" s="10"/>
      <c r="E1454" s="9"/>
      <c r="F1454" s="14"/>
    </row>
    <row r="1455" spans="1:6" ht="30.75" customHeight="1" thickBot="1" x14ac:dyDescent="0.25">
      <c r="A1455" s="10"/>
      <c r="E1455" s="9"/>
      <c r="F1455" s="14"/>
    </row>
    <row r="1456" spans="1:6" ht="30.75" customHeight="1" thickBot="1" x14ac:dyDescent="0.25">
      <c r="A1456" s="10"/>
      <c r="E1456" s="9"/>
      <c r="F1456" s="14"/>
    </row>
    <row r="1457" spans="1:6" ht="30.75" customHeight="1" thickBot="1" x14ac:dyDescent="0.25">
      <c r="A1457" s="10"/>
      <c r="E1457" s="9"/>
      <c r="F1457" s="14"/>
    </row>
    <row r="1458" spans="1:6" ht="30.75" customHeight="1" thickBot="1" x14ac:dyDescent="0.25">
      <c r="A1458" s="10"/>
      <c r="E1458" s="9"/>
      <c r="F1458" s="14"/>
    </row>
    <row r="1459" spans="1:6" ht="30.75" customHeight="1" thickBot="1" x14ac:dyDescent="0.25">
      <c r="A1459" s="10"/>
      <c r="E1459" s="9"/>
      <c r="F1459" s="14"/>
    </row>
    <row r="1460" spans="1:6" ht="30.75" customHeight="1" thickBot="1" x14ac:dyDescent="0.25">
      <c r="A1460" s="10"/>
      <c r="E1460" s="9"/>
      <c r="F1460" s="14"/>
    </row>
    <row r="1461" spans="1:6" ht="30.75" customHeight="1" thickBot="1" x14ac:dyDescent="0.25">
      <c r="A1461" s="10"/>
      <c r="E1461" s="9"/>
      <c r="F1461" s="14"/>
    </row>
    <row r="1462" spans="1:6" ht="30.75" customHeight="1" thickBot="1" x14ac:dyDescent="0.25">
      <c r="A1462" s="10"/>
      <c r="E1462" s="9"/>
      <c r="F1462" s="14"/>
    </row>
    <row r="1463" spans="1:6" ht="30.75" customHeight="1" thickBot="1" x14ac:dyDescent="0.25">
      <c r="A1463" s="10"/>
      <c r="E1463" s="9"/>
      <c r="F1463" s="14"/>
    </row>
    <row r="1464" spans="1:6" ht="30.75" customHeight="1" thickBot="1" x14ac:dyDescent="0.25">
      <c r="A1464" s="10"/>
      <c r="E1464" s="9"/>
      <c r="F1464" s="14"/>
    </row>
    <row r="1465" spans="1:6" ht="30.75" customHeight="1" thickBot="1" x14ac:dyDescent="0.25">
      <c r="A1465" s="10"/>
      <c r="E1465" s="9"/>
      <c r="F1465" s="14"/>
    </row>
    <row r="1466" spans="1:6" ht="30.75" customHeight="1" thickBot="1" x14ac:dyDescent="0.25">
      <c r="A1466" s="10"/>
      <c r="E1466" s="9"/>
      <c r="F1466" s="14"/>
    </row>
    <row r="1467" spans="1:6" ht="30.75" customHeight="1" thickBot="1" x14ac:dyDescent="0.25">
      <c r="A1467" s="10"/>
      <c r="E1467" s="9"/>
      <c r="F1467" s="14"/>
    </row>
    <row r="1468" spans="1:6" ht="30.75" customHeight="1" thickBot="1" x14ac:dyDescent="0.25">
      <c r="A1468" s="10"/>
      <c r="E1468" s="9"/>
      <c r="F1468" s="14"/>
    </row>
    <row r="1469" spans="1:6" ht="30.75" customHeight="1" thickBot="1" x14ac:dyDescent="0.25">
      <c r="A1469" s="10"/>
      <c r="E1469" s="9"/>
      <c r="F1469" s="14"/>
    </row>
    <row r="1470" spans="1:6" ht="30.75" customHeight="1" thickBot="1" x14ac:dyDescent="0.25">
      <c r="A1470" s="10"/>
      <c r="E1470" s="9"/>
      <c r="F1470" s="14"/>
    </row>
    <row r="1471" spans="1:6" ht="30.75" customHeight="1" thickBot="1" x14ac:dyDescent="0.25">
      <c r="A1471" s="10"/>
      <c r="E1471" s="9"/>
      <c r="F1471" s="14"/>
    </row>
    <row r="1472" spans="1:6" ht="30.75" customHeight="1" thickBot="1" x14ac:dyDescent="0.25">
      <c r="A1472" s="10"/>
      <c r="E1472" s="9"/>
      <c r="F1472" s="14"/>
    </row>
    <row r="1473" spans="1:6" ht="30.75" customHeight="1" thickBot="1" x14ac:dyDescent="0.25">
      <c r="A1473" s="10"/>
      <c r="E1473" s="9"/>
      <c r="F1473" s="14"/>
    </row>
    <row r="1474" spans="1:6" ht="30.75" customHeight="1" thickBot="1" x14ac:dyDescent="0.25">
      <c r="A1474" s="10"/>
      <c r="E1474" s="9"/>
      <c r="F1474" s="14"/>
    </row>
    <row r="1475" spans="1:6" ht="30.75" customHeight="1" thickBot="1" x14ac:dyDescent="0.25">
      <c r="A1475" s="10"/>
      <c r="E1475" s="9"/>
      <c r="F1475" s="14"/>
    </row>
    <row r="1476" spans="1:6" ht="30.75" customHeight="1" thickBot="1" x14ac:dyDescent="0.25">
      <c r="A1476" s="10"/>
      <c r="E1476" s="9"/>
      <c r="F1476" s="14"/>
    </row>
    <row r="1477" spans="1:6" ht="30.75" customHeight="1" thickBot="1" x14ac:dyDescent="0.25">
      <c r="A1477" s="10"/>
      <c r="E1477" s="9"/>
      <c r="F1477" s="14"/>
    </row>
    <row r="1478" spans="1:6" ht="30.75" customHeight="1" thickBot="1" x14ac:dyDescent="0.25">
      <c r="A1478" s="10"/>
      <c r="E1478" s="9"/>
      <c r="F1478" s="14"/>
    </row>
    <row r="1479" spans="1:6" ht="30.75" customHeight="1" thickBot="1" x14ac:dyDescent="0.25">
      <c r="A1479" s="10"/>
      <c r="E1479" s="9"/>
      <c r="F1479" s="14"/>
    </row>
    <row r="1480" spans="1:6" ht="30.75" customHeight="1" thickBot="1" x14ac:dyDescent="0.25">
      <c r="A1480" s="10"/>
      <c r="E1480" s="9"/>
      <c r="F1480" s="14"/>
    </row>
    <row r="1481" spans="1:6" ht="30.75" customHeight="1" thickBot="1" x14ac:dyDescent="0.25">
      <c r="A1481" s="10"/>
      <c r="E1481" s="9"/>
      <c r="F1481" s="14"/>
    </row>
    <row r="1482" spans="1:6" ht="30.75" customHeight="1" thickBot="1" x14ac:dyDescent="0.25">
      <c r="A1482" s="10"/>
      <c r="E1482" s="9"/>
      <c r="F1482" s="14"/>
    </row>
    <row r="1483" spans="1:6" ht="30.75" customHeight="1" thickBot="1" x14ac:dyDescent="0.25">
      <c r="A1483" s="10"/>
      <c r="E1483" s="9"/>
      <c r="F1483" s="14"/>
    </row>
    <row r="1484" spans="1:6" ht="30.75" customHeight="1" thickBot="1" x14ac:dyDescent="0.25">
      <c r="A1484" s="10"/>
      <c r="E1484" s="9"/>
      <c r="F1484" s="14"/>
    </row>
    <row r="1485" spans="1:6" ht="30.75" customHeight="1" thickBot="1" x14ac:dyDescent="0.25">
      <c r="A1485" s="10"/>
      <c r="E1485" s="9"/>
      <c r="F1485" s="14"/>
    </row>
    <row r="1486" spans="1:6" ht="30.75" customHeight="1" thickBot="1" x14ac:dyDescent="0.25">
      <c r="A1486" s="10"/>
      <c r="E1486" s="9"/>
      <c r="F1486" s="14"/>
    </row>
    <row r="1487" spans="1:6" ht="30.75" customHeight="1" thickBot="1" x14ac:dyDescent="0.25">
      <c r="A1487" s="10"/>
      <c r="E1487" s="9"/>
      <c r="F1487" s="14"/>
    </row>
    <row r="1488" spans="1:6" ht="30.75" customHeight="1" thickBot="1" x14ac:dyDescent="0.25">
      <c r="A1488" s="10"/>
      <c r="E1488" s="9"/>
      <c r="F1488" s="14"/>
    </row>
    <row r="1489" spans="1:6" ht="30.75" customHeight="1" thickBot="1" x14ac:dyDescent="0.25">
      <c r="A1489" s="10"/>
      <c r="E1489" s="9"/>
      <c r="F1489" s="14"/>
    </row>
    <row r="1490" spans="1:6" ht="30.75" customHeight="1" thickBot="1" x14ac:dyDescent="0.25">
      <c r="A1490" s="10"/>
      <c r="E1490" s="9"/>
      <c r="F1490" s="14"/>
    </row>
    <row r="1491" spans="1:6" ht="30.75" customHeight="1" thickBot="1" x14ac:dyDescent="0.25">
      <c r="A1491" s="10"/>
      <c r="E1491" s="9"/>
      <c r="F1491" s="14"/>
    </row>
    <row r="1492" spans="1:6" ht="30.75" customHeight="1" thickBot="1" x14ac:dyDescent="0.25">
      <c r="A1492" s="10"/>
      <c r="E1492" s="9"/>
      <c r="F1492" s="14"/>
    </row>
    <row r="1493" spans="1:6" ht="30.75" customHeight="1" thickBot="1" x14ac:dyDescent="0.25">
      <c r="A1493" s="10"/>
      <c r="E1493" s="9"/>
      <c r="F1493" s="14"/>
    </row>
    <row r="1494" spans="1:6" ht="30.75" customHeight="1" thickBot="1" x14ac:dyDescent="0.25">
      <c r="A1494" s="10"/>
      <c r="E1494" s="9"/>
      <c r="F1494" s="14"/>
    </row>
    <row r="1495" spans="1:6" ht="30.75" customHeight="1" thickBot="1" x14ac:dyDescent="0.25">
      <c r="A1495" s="10"/>
      <c r="E1495" s="9"/>
      <c r="F1495" s="14"/>
    </row>
    <row r="1496" spans="1:6" ht="30.75" customHeight="1" thickBot="1" x14ac:dyDescent="0.25">
      <c r="A1496" s="10"/>
      <c r="E1496" s="9"/>
      <c r="F1496" s="14"/>
    </row>
    <row r="1497" spans="1:6" ht="30.75" customHeight="1" thickBot="1" x14ac:dyDescent="0.25">
      <c r="A1497" s="10"/>
      <c r="E1497" s="9"/>
      <c r="F1497" s="14"/>
    </row>
    <row r="1498" spans="1:6" ht="30.75" customHeight="1" thickBot="1" x14ac:dyDescent="0.25">
      <c r="A1498" s="10"/>
      <c r="E1498" s="9"/>
      <c r="F1498" s="14"/>
    </row>
    <row r="1499" spans="1:6" ht="30.75" customHeight="1" thickBot="1" x14ac:dyDescent="0.25">
      <c r="A1499" s="10"/>
      <c r="E1499" s="9"/>
      <c r="F1499" s="14"/>
    </row>
    <row r="1500" spans="1:6" ht="30.75" customHeight="1" thickBot="1" x14ac:dyDescent="0.25">
      <c r="A1500" s="10"/>
      <c r="E1500" s="9"/>
      <c r="F1500" s="14"/>
    </row>
    <row r="1501" spans="1:6" ht="30.75" customHeight="1" thickBot="1" x14ac:dyDescent="0.25">
      <c r="A1501" s="10"/>
      <c r="E1501" s="9"/>
      <c r="F1501" s="14"/>
    </row>
    <row r="1502" spans="1:6" ht="30.75" customHeight="1" thickBot="1" x14ac:dyDescent="0.25">
      <c r="A1502" s="10"/>
      <c r="E1502" s="9"/>
      <c r="F1502" s="14"/>
    </row>
    <row r="1503" spans="1:6" ht="30.75" customHeight="1" thickBot="1" x14ac:dyDescent="0.25">
      <c r="A1503" s="10"/>
      <c r="E1503" s="9"/>
      <c r="F1503" s="14"/>
    </row>
    <row r="1504" spans="1:6" ht="30.75" customHeight="1" thickBot="1" x14ac:dyDescent="0.25">
      <c r="A1504" s="10"/>
      <c r="E1504" s="9"/>
      <c r="F1504" s="14"/>
    </row>
    <row r="1505" spans="1:6" ht="30.75" customHeight="1" thickBot="1" x14ac:dyDescent="0.25">
      <c r="A1505" s="10"/>
      <c r="E1505" s="9"/>
      <c r="F1505" s="14"/>
    </row>
    <row r="1506" spans="1:6" ht="30.75" customHeight="1" thickBot="1" x14ac:dyDescent="0.25">
      <c r="A1506" s="10"/>
      <c r="E1506" s="9"/>
      <c r="F1506" s="14"/>
    </row>
    <row r="1507" spans="1:6" ht="30.75" customHeight="1" thickBot="1" x14ac:dyDescent="0.25">
      <c r="A1507" s="10"/>
      <c r="E1507" s="9"/>
      <c r="F1507" s="14"/>
    </row>
    <row r="1508" spans="1:6" ht="30.75" customHeight="1" thickBot="1" x14ac:dyDescent="0.25">
      <c r="A1508" s="10"/>
      <c r="E1508" s="9"/>
      <c r="F1508" s="14"/>
    </row>
    <row r="1509" spans="1:6" ht="30.75" customHeight="1" thickBot="1" x14ac:dyDescent="0.25">
      <c r="A1509" s="10"/>
      <c r="E1509" s="9"/>
      <c r="F1509" s="14"/>
    </row>
    <row r="1510" spans="1:6" ht="30.75" customHeight="1" thickBot="1" x14ac:dyDescent="0.25">
      <c r="A1510" s="10"/>
      <c r="E1510" s="9"/>
      <c r="F1510" s="14"/>
    </row>
    <row r="1511" spans="1:6" ht="30.75" customHeight="1" thickBot="1" x14ac:dyDescent="0.25">
      <c r="A1511" s="10"/>
      <c r="E1511" s="9"/>
      <c r="F1511" s="14"/>
    </row>
    <row r="1512" spans="1:6" ht="30.75" customHeight="1" thickBot="1" x14ac:dyDescent="0.25">
      <c r="A1512" s="10"/>
      <c r="E1512" s="9"/>
      <c r="F1512" s="14"/>
    </row>
    <row r="1513" spans="1:6" ht="30.75" customHeight="1" thickBot="1" x14ac:dyDescent="0.25">
      <c r="A1513" s="10"/>
      <c r="E1513" s="9"/>
      <c r="F1513" s="14"/>
    </row>
    <row r="1514" spans="1:6" ht="30.75" customHeight="1" thickBot="1" x14ac:dyDescent="0.25">
      <c r="A1514" s="10"/>
      <c r="E1514" s="9"/>
      <c r="F1514" s="14"/>
    </row>
    <row r="1515" spans="1:6" ht="30.75" customHeight="1" thickBot="1" x14ac:dyDescent="0.25">
      <c r="A1515" s="10"/>
      <c r="E1515" s="9"/>
      <c r="F1515" s="14"/>
    </row>
    <row r="1516" spans="1:6" ht="30.75" customHeight="1" thickBot="1" x14ac:dyDescent="0.25">
      <c r="A1516" s="10"/>
      <c r="E1516" s="9"/>
      <c r="F1516" s="14"/>
    </row>
    <row r="1517" spans="1:6" ht="30.75" customHeight="1" thickBot="1" x14ac:dyDescent="0.25">
      <c r="A1517" s="10"/>
      <c r="E1517" s="9"/>
      <c r="F1517" s="14"/>
    </row>
    <row r="1518" spans="1:6" ht="30.75" customHeight="1" thickBot="1" x14ac:dyDescent="0.25">
      <c r="A1518" s="10"/>
      <c r="E1518" s="9"/>
      <c r="F1518" s="14"/>
    </row>
    <row r="1519" spans="1:6" ht="30.75" customHeight="1" thickBot="1" x14ac:dyDescent="0.25">
      <c r="A1519" s="10"/>
      <c r="E1519" s="9"/>
      <c r="F1519" s="14"/>
    </row>
    <row r="1520" spans="1:6" ht="30.75" customHeight="1" thickBot="1" x14ac:dyDescent="0.25">
      <c r="A1520" s="10"/>
      <c r="E1520" s="9"/>
      <c r="F1520" s="14"/>
    </row>
    <row r="1521" spans="1:6" ht="30.75" customHeight="1" thickBot="1" x14ac:dyDescent="0.25">
      <c r="A1521" s="10"/>
      <c r="E1521" s="9"/>
      <c r="F1521" s="14"/>
    </row>
    <row r="1522" spans="1:6" ht="30.75" customHeight="1" thickBot="1" x14ac:dyDescent="0.25">
      <c r="A1522" s="10"/>
      <c r="E1522" s="9"/>
      <c r="F1522" s="14"/>
    </row>
    <row r="1523" spans="1:6" ht="30.75" customHeight="1" thickBot="1" x14ac:dyDescent="0.25">
      <c r="A1523" s="10"/>
      <c r="E1523" s="9"/>
      <c r="F1523" s="14"/>
    </row>
    <row r="1524" spans="1:6" ht="30.75" customHeight="1" thickBot="1" x14ac:dyDescent="0.25">
      <c r="A1524" s="10"/>
      <c r="E1524" s="9"/>
      <c r="F1524" s="14"/>
    </row>
    <row r="1525" spans="1:6" ht="30.75" customHeight="1" thickBot="1" x14ac:dyDescent="0.25">
      <c r="A1525" s="10"/>
      <c r="E1525" s="9"/>
      <c r="F1525" s="14"/>
    </row>
    <row r="1526" spans="1:6" ht="30.75" customHeight="1" thickBot="1" x14ac:dyDescent="0.25">
      <c r="A1526" s="10"/>
      <c r="E1526" s="9"/>
      <c r="F1526" s="14"/>
    </row>
    <row r="1527" spans="1:6" ht="30.75" customHeight="1" thickBot="1" x14ac:dyDescent="0.25">
      <c r="A1527" s="10"/>
      <c r="E1527" s="9"/>
      <c r="F1527" s="14"/>
    </row>
    <row r="1528" spans="1:6" ht="30.75" customHeight="1" thickBot="1" x14ac:dyDescent="0.25">
      <c r="A1528" s="10"/>
      <c r="E1528" s="9"/>
      <c r="F1528" s="14"/>
    </row>
    <row r="1529" spans="1:6" ht="30.75" customHeight="1" thickBot="1" x14ac:dyDescent="0.25">
      <c r="A1529" s="10"/>
      <c r="E1529" s="9"/>
      <c r="F1529" s="14"/>
    </row>
    <row r="1530" spans="1:6" ht="30.75" customHeight="1" thickBot="1" x14ac:dyDescent="0.25">
      <c r="A1530" s="10"/>
      <c r="E1530" s="9"/>
      <c r="F1530" s="14"/>
    </row>
    <row r="1531" spans="1:6" ht="30.75" customHeight="1" thickBot="1" x14ac:dyDescent="0.25">
      <c r="A1531" s="10"/>
      <c r="E1531" s="9"/>
      <c r="F1531" s="14"/>
    </row>
    <row r="1532" spans="1:6" ht="30.75" customHeight="1" thickBot="1" x14ac:dyDescent="0.25">
      <c r="A1532" s="10"/>
      <c r="E1532" s="9"/>
      <c r="F1532" s="14"/>
    </row>
    <row r="1533" spans="1:6" ht="30.75" customHeight="1" thickBot="1" x14ac:dyDescent="0.25">
      <c r="A1533" s="10"/>
      <c r="E1533" s="9"/>
      <c r="F1533" s="14"/>
    </row>
    <row r="1534" spans="1:6" ht="30.75" customHeight="1" thickBot="1" x14ac:dyDescent="0.25">
      <c r="A1534" s="10"/>
      <c r="E1534" s="9"/>
      <c r="F1534" s="14"/>
    </row>
    <row r="1535" spans="1:6" ht="30.75" customHeight="1" thickBot="1" x14ac:dyDescent="0.25">
      <c r="A1535" s="10"/>
      <c r="E1535" s="9"/>
      <c r="F1535" s="14"/>
    </row>
    <row r="1536" spans="1:6" ht="30.75" customHeight="1" thickBot="1" x14ac:dyDescent="0.25">
      <c r="A1536" s="10"/>
      <c r="E1536" s="9"/>
      <c r="F1536" s="14"/>
    </row>
    <row r="1537" spans="1:6" ht="30.75" customHeight="1" thickBot="1" x14ac:dyDescent="0.25">
      <c r="A1537" s="10"/>
      <c r="E1537" s="9"/>
      <c r="F1537" s="14"/>
    </row>
    <row r="1538" spans="1:6" ht="30.75" customHeight="1" thickBot="1" x14ac:dyDescent="0.25">
      <c r="A1538" s="10"/>
      <c r="E1538" s="9"/>
      <c r="F1538" s="14"/>
    </row>
    <row r="1539" spans="1:6" ht="30.75" customHeight="1" thickBot="1" x14ac:dyDescent="0.25">
      <c r="A1539" s="10"/>
      <c r="E1539" s="9"/>
      <c r="F1539" s="14"/>
    </row>
    <row r="1540" spans="1:6" ht="30.75" customHeight="1" thickBot="1" x14ac:dyDescent="0.25">
      <c r="A1540" s="10"/>
      <c r="E1540" s="9"/>
      <c r="F1540" s="14"/>
    </row>
    <row r="1541" spans="1:6" ht="30.75" customHeight="1" thickBot="1" x14ac:dyDescent="0.25">
      <c r="A1541" s="10"/>
      <c r="E1541" s="9"/>
      <c r="F1541" s="14"/>
    </row>
    <row r="1542" spans="1:6" ht="30.75" customHeight="1" thickBot="1" x14ac:dyDescent="0.25">
      <c r="A1542" s="10"/>
      <c r="E1542" s="9"/>
      <c r="F1542" s="14"/>
    </row>
    <row r="1543" spans="1:6" ht="30.75" customHeight="1" thickBot="1" x14ac:dyDescent="0.25">
      <c r="A1543" s="10"/>
      <c r="E1543" s="9"/>
      <c r="F1543" s="14"/>
    </row>
    <row r="1544" spans="1:6" ht="30.75" customHeight="1" thickBot="1" x14ac:dyDescent="0.25">
      <c r="A1544" s="10"/>
      <c r="E1544" s="9"/>
      <c r="F1544" s="14"/>
    </row>
    <row r="1545" spans="1:6" ht="30.75" customHeight="1" thickBot="1" x14ac:dyDescent="0.25">
      <c r="A1545" s="10"/>
      <c r="E1545" s="9"/>
      <c r="F1545" s="14"/>
    </row>
    <row r="1546" spans="1:6" ht="30.75" customHeight="1" thickBot="1" x14ac:dyDescent="0.25">
      <c r="A1546" s="10"/>
      <c r="E1546" s="9"/>
      <c r="F1546" s="14"/>
    </row>
    <row r="1547" spans="1:6" ht="30.75" customHeight="1" thickBot="1" x14ac:dyDescent="0.25">
      <c r="A1547" s="10"/>
      <c r="E1547" s="9"/>
      <c r="F1547" s="14"/>
    </row>
    <row r="1548" spans="1:6" ht="30.75" customHeight="1" thickBot="1" x14ac:dyDescent="0.25">
      <c r="A1548" s="10"/>
      <c r="E1548" s="9"/>
      <c r="F1548" s="14"/>
    </row>
    <row r="1549" spans="1:6" ht="30.75" customHeight="1" thickBot="1" x14ac:dyDescent="0.25">
      <c r="A1549" s="10"/>
      <c r="E1549" s="9"/>
      <c r="F1549" s="14"/>
    </row>
    <row r="1550" spans="1:6" ht="30.75" customHeight="1" thickBot="1" x14ac:dyDescent="0.25">
      <c r="A1550" s="10"/>
      <c r="E1550" s="9"/>
      <c r="F1550" s="14"/>
    </row>
    <row r="1551" spans="1:6" ht="30.75" customHeight="1" thickBot="1" x14ac:dyDescent="0.25">
      <c r="A1551" s="10"/>
      <c r="E1551" s="9"/>
      <c r="F1551" s="14"/>
    </row>
    <row r="1552" spans="1:6" ht="30.75" customHeight="1" thickBot="1" x14ac:dyDescent="0.25">
      <c r="A1552" s="10"/>
      <c r="E1552" s="9"/>
      <c r="F1552" s="14"/>
    </row>
    <row r="1553" spans="1:6" ht="30.75" customHeight="1" thickBot="1" x14ac:dyDescent="0.25">
      <c r="A1553" s="10"/>
      <c r="E1553" s="9"/>
      <c r="F1553" s="14"/>
    </row>
    <row r="1554" spans="1:6" ht="30.75" customHeight="1" thickBot="1" x14ac:dyDescent="0.25">
      <c r="A1554" s="10"/>
      <c r="E1554" s="9"/>
      <c r="F1554" s="14"/>
    </row>
    <row r="1555" spans="1:6" ht="30.75" customHeight="1" thickBot="1" x14ac:dyDescent="0.25">
      <c r="A1555" s="10"/>
      <c r="E1555" s="9"/>
      <c r="F1555" s="14"/>
    </row>
    <row r="1556" spans="1:6" ht="30.75" customHeight="1" thickBot="1" x14ac:dyDescent="0.25">
      <c r="A1556" s="10"/>
      <c r="E1556" s="9"/>
      <c r="F1556" s="14"/>
    </row>
    <row r="1557" spans="1:6" ht="30.75" customHeight="1" thickBot="1" x14ac:dyDescent="0.25">
      <c r="A1557" s="10"/>
      <c r="E1557" s="9"/>
      <c r="F1557" s="14"/>
    </row>
    <row r="1558" spans="1:6" ht="30.75" customHeight="1" thickBot="1" x14ac:dyDescent="0.25">
      <c r="A1558" s="10"/>
      <c r="E1558" s="9"/>
      <c r="F1558" s="14"/>
    </row>
    <row r="1559" spans="1:6" ht="30.75" customHeight="1" thickBot="1" x14ac:dyDescent="0.25">
      <c r="A1559" s="10"/>
      <c r="E1559" s="9"/>
      <c r="F1559" s="14"/>
    </row>
    <row r="1560" spans="1:6" ht="30.75" customHeight="1" thickBot="1" x14ac:dyDescent="0.25">
      <c r="A1560" s="10"/>
      <c r="E1560" s="9"/>
      <c r="F1560" s="14"/>
    </row>
    <row r="1561" spans="1:6" ht="30.75" customHeight="1" thickBot="1" x14ac:dyDescent="0.25">
      <c r="A1561" s="10"/>
      <c r="E1561" s="9"/>
      <c r="F1561" s="14"/>
    </row>
    <row r="1562" spans="1:6" ht="30.75" customHeight="1" thickBot="1" x14ac:dyDescent="0.25">
      <c r="A1562" s="10"/>
      <c r="E1562" s="9"/>
      <c r="F1562" s="14"/>
    </row>
    <row r="1563" spans="1:6" ht="30.75" customHeight="1" thickBot="1" x14ac:dyDescent="0.25">
      <c r="A1563" s="10"/>
      <c r="E1563" s="9"/>
      <c r="F1563" s="14"/>
    </row>
    <row r="1564" spans="1:6" ht="30.75" customHeight="1" thickBot="1" x14ac:dyDescent="0.25">
      <c r="A1564" s="10"/>
      <c r="E1564" s="9"/>
      <c r="F1564" s="14"/>
    </row>
    <row r="1565" spans="1:6" ht="30.75" customHeight="1" thickBot="1" x14ac:dyDescent="0.25">
      <c r="A1565" s="10"/>
      <c r="E1565" s="9"/>
      <c r="F1565" s="14"/>
    </row>
    <row r="1566" spans="1:6" ht="30.75" customHeight="1" thickBot="1" x14ac:dyDescent="0.25">
      <c r="A1566" s="10"/>
      <c r="E1566" s="9"/>
      <c r="F1566" s="14"/>
    </row>
    <row r="1567" spans="1:6" ht="30.75" customHeight="1" thickBot="1" x14ac:dyDescent="0.25">
      <c r="A1567" s="10"/>
      <c r="E1567" s="9"/>
      <c r="F1567" s="14"/>
    </row>
    <row r="1568" spans="1:6" ht="30.75" customHeight="1" thickBot="1" x14ac:dyDescent="0.25">
      <c r="A1568" s="10"/>
      <c r="E1568" s="9"/>
      <c r="F1568" s="14"/>
    </row>
    <row r="1569" spans="1:6" ht="30.75" customHeight="1" thickBot="1" x14ac:dyDescent="0.25">
      <c r="A1569" s="10"/>
      <c r="E1569" s="9"/>
      <c r="F1569" s="14"/>
    </row>
    <row r="1570" spans="1:6" ht="30.75" customHeight="1" thickBot="1" x14ac:dyDescent="0.25">
      <c r="A1570" s="10"/>
      <c r="E1570" s="9"/>
      <c r="F1570" s="14"/>
    </row>
    <row r="1571" spans="1:6" ht="30.75" customHeight="1" thickBot="1" x14ac:dyDescent="0.25">
      <c r="A1571" s="10"/>
      <c r="E1571" s="9"/>
      <c r="F1571" s="14"/>
    </row>
    <row r="1572" spans="1:6" ht="30.75" customHeight="1" thickBot="1" x14ac:dyDescent="0.25">
      <c r="A1572" s="10"/>
      <c r="E1572" s="9"/>
      <c r="F1572" s="14"/>
    </row>
    <row r="1573" spans="1:6" ht="30.75" customHeight="1" thickBot="1" x14ac:dyDescent="0.25">
      <c r="A1573" s="10"/>
      <c r="E1573" s="9"/>
      <c r="F1573" s="14"/>
    </row>
    <row r="1574" spans="1:6" ht="30.75" customHeight="1" thickBot="1" x14ac:dyDescent="0.25">
      <c r="A1574" s="10"/>
      <c r="E1574" s="9"/>
      <c r="F1574" s="14"/>
    </row>
    <row r="1575" spans="1:6" ht="30.75" customHeight="1" thickBot="1" x14ac:dyDescent="0.25">
      <c r="A1575" s="10"/>
      <c r="E1575" s="9"/>
      <c r="F1575" s="14"/>
    </row>
    <row r="1576" spans="1:6" ht="30.75" customHeight="1" thickBot="1" x14ac:dyDescent="0.25">
      <c r="A1576" s="10"/>
      <c r="E1576" s="9"/>
      <c r="F1576" s="14"/>
    </row>
    <row r="1577" spans="1:6" ht="30.75" customHeight="1" thickBot="1" x14ac:dyDescent="0.25">
      <c r="A1577" s="10"/>
      <c r="E1577" s="9"/>
      <c r="F1577" s="14"/>
    </row>
    <row r="1578" spans="1:6" ht="30.75" customHeight="1" thickBot="1" x14ac:dyDescent="0.25">
      <c r="A1578" s="10"/>
      <c r="E1578" s="9"/>
      <c r="F1578" s="14"/>
    </row>
    <row r="1579" spans="1:6" ht="30.75" customHeight="1" thickBot="1" x14ac:dyDescent="0.25">
      <c r="A1579" s="10"/>
      <c r="E1579" s="9"/>
      <c r="F1579" s="14"/>
    </row>
    <row r="1580" spans="1:6" ht="30.75" customHeight="1" thickBot="1" x14ac:dyDescent="0.25">
      <c r="A1580" s="10"/>
      <c r="E1580" s="9"/>
      <c r="F1580" s="14"/>
    </row>
    <row r="1581" spans="1:6" ht="30.75" customHeight="1" thickBot="1" x14ac:dyDescent="0.25">
      <c r="A1581" s="10"/>
      <c r="E1581" s="9"/>
      <c r="F1581" s="14"/>
    </row>
    <row r="1582" spans="1:6" ht="30.75" customHeight="1" thickBot="1" x14ac:dyDescent="0.25">
      <c r="A1582" s="10"/>
      <c r="E1582" s="9"/>
      <c r="F1582" s="14"/>
    </row>
    <row r="1583" spans="1:6" ht="30.75" customHeight="1" thickBot="1" x14ac:dyDescent="0.25">
      <c r="A1583" s="10"/>
      <c r="E1583" s="9"/>
      <c r="F1583" s="14"/>
    </row>
    <row r="1584" spans="1:6" ht="30.75" customHeight="1" thickBot="1" x14ac:dyDescent="0.25">
      <c r="A1584" s="10"/>
      <c r="E1584" s="9"/>
      <c r="F1584" s="14"/>
    </row>
    <row r="1585" spans="1:6" ht="30.75" customHeight="1" thickBot="1" x14ac:dyDescent="0.25">
      <c r="A1585" s="10"/>
      <c r="E1585" s="9"/>
      <c r="F1585" s="14"/>
    </row>
    <row r="1586" spans="1:6" ht="30.75" customHeight="1" thickBot="1" x14ac:dyDescent="0.25">
      <c r="A1586" s="10"/>
      <c r="E1586" s="9"/>
      <c r="F1586" s="14"/>
    </row>
    <row r="1587" spans="1:6" ht="30.75" customHeight="1" thickBot="1" x14ac:dyDescent="0.25">
      <c r="A1587" s="10"/>
      <c r="E1587" s="9"/>
      <c r="F1587" s="14"/>
    </row>
    <row r="1588" spans="1:6" ht="30.75" customHeight="1" thickBot="1" x14ac:dyDescent="0.25">
      <c r="A1588" s="10"/>
      <c r="E1588" s="9"/>
      <c r="F1588" s="14"/>
    </row>
    <row r="1589" spans="1:6" ht="30.75" customHeight="1" thickBot="1" x14ac:dyDescent="0.25">
      <c r="A1589" s="10"/>
      <c r="E1589" s="9"/>
      <c r="F1589" s="14"/>
    </row>
    <row r="1590" spans="1:6" ht="30.75" customHeight="1" thickBot="1" x14ac:dyDescent="0.25">
      <c r="A1590" s="10"/>
      <c r="E1590" s="9"/>
      <c r="F1590" s="14"/>
    </row>
    <row r="1591" spans="1:6" ht="30.75" customHeight="1" thickBot="1" x14ac:dyDescent="0.25">
      <c r="A1591" s="10"/>
      <c r="E1591" s="9"/>
      <c r="F1591" s="14"/>
    </row>
    <row r="1592" spans="1:6" ht="30.75" customHeight="1" thickBot="1" x14ac:dyDescent="0.25">
      <c r="A1592" s="10"/>
      <c r="E1592" s="9"/>
      <c r="F1592" s="14"/>
    </row>
    <row r="1593" spans="1:6" ht="30.75" customHeight="1" thickBot="1" x14ac:dyDescent="0.25">
      <c r="A1593" s="10"/>
      <c r="E1593" s="9"/>
      <c r="F1593" s="14"/>
    </row>
    <row r="1594" spans="1:6" ht="30.75" customHeight="1" thickBot="1" x14ac:dyDescent="0.25">
      <c r="A1594" s="10"/>
      <c r="E1594" s="9"/>
      <c r="F1594" s="14"/>
    </row>
    <row r="1595" spans="1:6" ht="30.75" customHeight="1" thickBot="1" x14ac:dyDescent="0.25">
      <c r="A1595" s="10"/>
      <c r="E1595" s="9"/>
      <c r="F1595" s="14"/>
    </row>
    <row r="1596" spans="1:6" ht="30.75" customHeight="1" thickBot="1" x14ac:dyDescent="0.25">
      <c r="A1596" s="10"/>
      <c r="E1596" s="9"/>
      <c r="F1596" s="14"/>
    </row>
    <row r="1597" spans="1:6" ht="30.75" customHeight="1" thickBot="1" x14ac:dyDescent="0.25">
      <c r="A1597" s="10"/>
      <c r="E1597" s="9"/>
      <c r="F1597" s="14"/>
    </row>
    <row r="1598" spans="1:6" ht="30.75" customHeight="1" thickBot="1" x14ac:dyDescent="0.25">
      <c r="A1598" s="10"/>
      <c r="E1598" s="9"/>
      <c r="F1598" s="14"/>
    </row>
    <row r="1599" spans="1:6" ht="30.75" customHeight="1" thickBot="1" x14ac:dyDescent="0.25">
      <c r="A1599" s="10"/>
      <c r="E1599" s="9"/>
      <c r="F1599" s="14"/>
    </row>
    <row r="1600" spans="1:6" ht="30.75" customHeight="1" thickBot="1" x14ac:dyDescent="0.25">
      <c r="A1600" s="10"/>
      <c r="E1600" s="9"/>
      <c r="F1600" s="14"/>
    </row>
    <row r="1601" spans="1:6" ht="30.75" customHeight="1" thickBot="1" x14ac:dyDescent="0.25">
      <c r="A1601" s="10"/>
      <c r="E1601" s="9"/>
      <c r="F1601" s="14"/>
    </row>
    <row r="1602" spans="1:6" ht="30.75" customHeight="1" thickBot="1" x14ac:dyDescent="0.25">
      <c r="A1602" s="10"/>
      <c r="E1602" s="9"/>
      <c r="F1602" s="14"/>
    </row>
    <row r="1603" spans="1:6" ht="30.75" customHeight="1" thickBot="1" x14ac:dyDescent="0.25">
      <c r="A1603" s="10"/>
      <c r="E1603" s="9"/>
      <c r="F1603" s="14"/>
    </row>
    <row r="1604" spans="1:6" ht="30.75" customHeight="1" thickBot="1" x14ac:dyDescent="0.25">
      <c r="A1604" s="10"/>
      <c r="E1604" s="9"/>
      <c r="F1604" s="14"/>
    </row>
    <row r="1605" spans="1:6" ht="30.75" customHeight="1" thickBot="1" x14ac:dyDescent="0.25">
      <c r="A1605" s="10"/>
      <c r="E1605" s="9"/>
      <c r="F1605" s="14"/>
    </row>
    <row r="1606" spans="1:6" ht="30.75" customHeight="1" thickBot="1" x14ac:dyDescent="0.25">
      <c r="A1606" s="10"/>
      <c r="E1606" s="9"/>
      <c r="F1606" s="14"/>
    </row>
    <row r="1607" spans="1:6" ht="30.75" customHeight="1" thickBot="1" x14ac:dyDescent="0.25">
      <c r="A1607" s="10"/>
      <c r="E1607" s="9"/>
      <c r="F1607" s="14"/>
    </row>
    <row r="1608" spans="1:6" ht="30.75" customHeight="1" thickBot="1" x14ac:dyDescent="0.25">
      <c r="A1608" s="10"/>
      <c r="E1608" s="9"/>
      <c r="F1608" s="14"/>
    </row>
    <row r="1609" spans="1:6" ht="30.75" customHeight="1" thickBot="1" x14ac:dyDescent="0.25">
      <c r="A1609" s="10"/>
      <c r="E1609" s="9"/>
      <c r="F1609" s="14"/>
    </row>
    <row r="1610" spans="1:6" ht="30.75" customHeight="1" thickBot="1" x14ac:dyDescent="0.25">
      <c r="A1610" s="10"/>
      <c r="E1610" s="9"/>
      <c r="F1610" s="14"/>
    </row>
    <row r="1611" spans="1:6" ht="30.75" customHeight="1" thickBot="1" x14ac:dyDescent="0.25">
      <c r="A1611" s="10"/>
      <c r="E1611" s="9"/>
      <c r="F1611" s="14"/>
    </row>
    <row r="1612" spans="1:6" ht="30.75" customHeight="1" thickBot="1" x14ac:dyDescent="0.25">
      <c r="A1612" s="10"/>
      <c r="E1612" s="9"/>
      <c r="F1612" s="14"/>
    </row>
    <row r="1613" spans="1:6" ht="30.75" customHeight="1" thickBot="1" x14ac:dyDescent="0.25">
      <c r="A1613" s="10"/>
      <c r="E1613" s="9"/>
      <c r="F1613" s="14"/>
    </row>
    <row r="1614" spans="1:6" ht="30.75" customHeight="1" thickBot="1" x14ac:dyDescent="0.25">
      <c r="A1614" s="10"/>
      <c r="E1614" s="9"/>
      <c r="F1614" s="14"/>
    </row>
    <row r="1615" spans="1:6" ht="30.75" customHeight="1" thickBot="1" x14ac:dyDescent="0.25">
      <c r="A1615" s="10"/>
      <c r="E1615" s="9"/>
      <c r="F1615" s="14"/>
    </row>
    <row r="1616" spans="1:6" ht="30.75" customHeight="1" thickBot="1" x14ac:dyDescent="0.25">
      <c r="A1616" s="10"/>
      <c r="E1616" s="9"/>
      <c r="F1616" s="14"/>
    </row>
    <row r="1617" spans="1:6" ht="30.75" customHeight="1" thickBot="1" x14ac:dyDescent="0.25">
      <c r="A1617" s="10"/>
      <c r="E1617" s="9"/>
      <c r="F1617" s="14"/>
    </row>
    <row r="1618" spans="1:6" ht="30.75" customHeight="1" thickBot="1" x14ac:dyDescent="0.25">
      <c r="A1618" s="10"/>
      <c r="E1618" s="9"/>
      <c r="F1618" s="14"/>
    </row>
    <row r="1619" spans="1:6" ht="30.75" customHeight="1" thickBot="1" x14ac:dyDescent="0.25">
      <c r="A1619" s="10"/>
      <c r="E1619" s="9"/>
      <c r="F1619" s="14"/>
    </row>
    <row r="1620" spans="1:6" ht="30.75" customHeight="1" thickBot="1" x14ac:dyDescent="0.25">
      <c r="A1620" s="10"/>
      <c r="E1620" s="9"/>
      <c r="F1620" s="14"/>
    </row>
    <row r="1621" spans="1:6" ht="30.75" customHeight="1" thickBot="1" x14ac:dyDescent="0.25">
      <c r="A1621" s="10"/>
      <c r="E1621" s="9"/>
      <c r="F1621" s="14"/>
    </row>
    <row r="1622" spans="1:6" ht="30.75" customHeight="1" thickBot="1" x14ac:dyDescent="0.25">
      <c r="A1622" s="10"/>
      <c r="E1622" s="9"/>
      <c r="F1622" s="14"/>
    </row>
    <row r="1623" spans="1:6" ht="30.75" customHeight="1" thickBot="1" x14ac:dyDescent="0.25">
      <c r="A1623" s="10"/>
      <c r="E1623" s="9"/>
      <c r="F1623" s="14"/>
    </row>
    <row r="1624" spans="1:6" ht="30.75" customHeight="1" thickBot="1" x14ac:dyDescent="0.25">
      <c r="A1624" s="10"/>
      <c r="E1624" s="9"/>
      <c r="F1624" s="14"/>
    </row>
    <row r="1625" spans="1:6" ht="30.75" customHeight="1" thickBot="1" x14ac:dyDescent="0.25">
      <c r="A1625" s="10"/>
      <c r="E1625" s="9"/>
      <c r="F1625" s="14"/>
    </row>
    <row r="1626" spans="1:6" ht="30.75" customHeight="1" thickBot="1" x14ac:dyDescent="0.25">
      <c r="A1626" s="10"/>
      <c r="E1626" s="9"/>
      <c r="F1626" s="14"/>
    </row>
    <row r="1627" spans="1:6" ht="30.75" customHeight="1" thickBot="1" x14ac:dyDescent="0.25">
      <c r="A1627" s="10"/>
      <c r="E1627" s="9"/>
      <c r="F1627" s="14"/>
    </row>
    <row r="1628" spans="1:6" ht="30.75" customHeight="1" thickBot="1" x14ac:dyDescent="0.25">
      <c r="A1628" s="10"/>
      <c r="E1628" s="9"/>
      <c r="F1628" s="14"/>
    </row>
    <row r="1629" spans="1:6" ht="30.75" customHeight="1" thickBot="1" x14ac:dyDescent="0.25">
      <c r="A1629" s="10"/>
      <c r="E1629" s="9"/>
      <c r="F1629" s="14"/>
    </row>
    <row r="1630" spans="1:6" ht="30.75" customHeight="1" thickBot="1" x14ac:dyDescent="0.25">
      <c r="A1630" s="10"/>
      <c r="E1630" s="9"/>
      <c r="F1630" s="14"/>
    </row>
    <row r="1631" spans="1:6" ht="30.75" customHeight="1" thickBot="1" x14ac:dyDescent="0.25">
      <c r="A1631" s="10"/>
      <c r="E1631" s="9"/>
      <c r="F1631" s="14"/>
    </row>
    <row r="1632" spans="1:6" ht="30.75" customHeight="1" thickBot="1" x14ac:dyDescent="0.25">
      <c r="A1632" s="10"/>
      <c r="E1632" s="9"/>
      <c r="F1632" s="14"/>
    </row>
    <row r="1633" spans="1:6" ht="30.75" customHeight="1" thickBot="1" x14ac:dyDescent="0.25">
      <c r="A1633" s="10"/>
      <c r="E1633" s="9"/>
      <c r="F1633" s="14"/>
    </row>
    <row r="1634" spans="1:6" ht="30.75" customHeight="1" thickBot="1" x14ac:dyDescent="0.25">
      <c r="A1634" s="10"/>
      <c r="E1634" s="9"/>
      <c r="F1634" s="14"/>
    </row>
    <row r="1635" spans="1:6" ht="30.75" customHeight="1" thickBot="1" x14ac:dyDescent="0.25">
      <c r="A1635" s="10"/>
      <c r="E1635" s="9"/>
      <c r="F1635" s="14"/>
    </row>
    <row r="1636" spans="1:6" ht="30.75" customHeight="1" thickBot="1" x14ac:dyDescent="0.25">
      <c r="A1636" s="10"/>
      <c r="E1636" s="9"/>
      <c r="F1636" s="14"/>
    </row>
    <row r="1637" spans="1:6" ht="30.75" customHeight="1" thickBot="1" x14ac:dyDescent="0.25">
      <c r="A1637" s="10"/>
      <c r="E1637" s="9"/>
      <c r="F1637" s="14"/>
    </row>
    <row r="1638" spans="1:6" ht="30.75" customHeight="1" thickBot="1" x14ac:dyDescent="0.25">
      <c r="A1638" s="10"/>
      <c r="E1638" s="9"/>
      <c r="F1638" s="14"/>
    </row>
    <row r="1639" spans="1:6" ht="30.75" customHeight="1" thickBot="1" x14ac:dyDescent="0.25">
      <c r="A1639" s="10"/>
      <c r="E1639" s="9"/>
      <c r="F1639" s="14"/>
    </row>
    <row r="1640" spans="1:6" ht="30.75" customHeight="1" thickBot="1" x14ac:dyDescent="0.25">
      <c r="A1640" s="10"/>
      <c r="E1640" s="9"/>
      <c r="F1640" s="14"/>
    </row>
    <row r="1641" spans="1:6" ht="30.75" customHeight="1" thickBot="1" x14ac:dyDescent="0.25">
      <c r="A1641" s="10"/>
      <c r="E1641" s="9"/>
      <c r="F1641" s="14"/>
    </row>
    <row r="1642" spans="1:6" ht="30.75" customHeight="1" thickBot="1" x14ac:dyDescent="0.25">
      <c r="A1642" s="10"/>
      <c r="E1642" s="9"/>
      <c r="F1642" s="14"/>
    </row>
    <row r="1643" spans="1:6" ht="30.75" customHeight="1" thickBot="1" x14ac:dyDescent="0.25">
      <c r="A1643" s="10"/>
      <c r="E1643" s="9"/>
      <c r="F1643" s="14"/>
    </row>
    <row r="1644" spans="1:6" ht="30.75" customHeight="1" thickBot="1" x14ac:dyDescent="0.25">
      <c r="A1644" s="10"/>
      <c r="E1644" s="9"/>
      <c r="F1644" s="14"/>
    </row>
    <row r="1645" spans="1:6" ht="30.75" customHeight="1" thickBot="1" x14ac:dyDescent="0.25">
      <c r="A1645" s="10"/>
      <c r="E1645" s="9"/>
      <c r="F1645" s="14"/>
    </row>
    <row r="1646" spans="1:6" ht="30.75" customHeight="1" thickBot="1" x14ac:dyDescent="0.25"/>
    <row r="1647" spans="1:6" ht="30.75" customHeight="1" thickBot="1" x14ac:dyDescent="0.25"/>
    <row r="1648" spans="1:6" ht="30.75" customHeight="1" thickBot="1" x14ac:dyDescent="0.25"/>
    <row r="1649" ht="30.75" customHeight="1" thickBot="1" x14ac:dyDescent="0.25"/>
    <row r="1650" ht="30.75" customHeight="1" thickBot="1" x14ac:dyDescent="0.25"/>
    <row r="1651" ht="30.75" customHeight="1" thickBot="1" x14ac:dyDescent="0.25"/>
    <row r="1652" ht="30.75" customHeight="1" thickBot="1" x14ac:dyDescent="0.25"/>
    <row r="1653" ht="30.75" customHeight="1" thickBot="1" x14ac:dyDescent="0.25"/>
    <row r="1654" ht="30.75" customHeight="1" thickBot="1" x14ac:dyDescent="0.25"/>
    <row r="1655" ht="30.75" customHeight="1" thickBot="1" x14ac:dyDescent="0.25"/>
    <row r="1656" ht="30.75" customHeight="1" thickBot="1" x14ac:dyDescent="0.25"/>
    <row r="1657" ht="30.75" customHeight="1" thickBot="1" x14ac:dyDescent="0.25"/>
    <row r="1658" ht="30.75" customHeight="1" thickBot="1" x14ac:dyDescent="0.25"/>
    <row r="1659" ht="30.75" customHeight="1" thickBot="1" x14ac:dyDescent="0.25"/>
    <row r="1660" ht="30.75" customHeight="1" thickBot="1" x14ac:dyDescent="0.25"/>
    <row r="1661" ht="30.75" customHeight="1" thickBot="1" x14ac:dyDescent="0.25"/>
    <row r="1662" ht="30.75" customHeight="1" thickBot="1" x14ac:dyDescent="0.25"/>
    <row r="1663" ht="30.75" customHeight="1" thickBot="1" x14ac:dyDescent="0.25"/>
    <row r="1664" ht="30.75" customHeight="1" thickBot="1" x14ac:dyDescent="0.25"/>
    <row r="1665" ht="30.75" customHeight="1" thickBot="1" x14ac:dyDescent="0.25"/>
    <row r="1666" ht="30.75" customHeight="1" thickBot="1" x14ac:dyDescent="0.25"/>
    <row r="1667" ht="30.75" customHeight="1" thickBot="1" x14ac:dyDescent="0.25"/>
    <row r="1668" ht="30.75" customHeight="1" thickBot="1" x14ac:dyDescent="0.25"/>
    <row r="1669" ht="30.75" customHeight="1" thickBot="1" x14ac:dyDescent="0.25"/>
    <row r="1670" ht="30.75" customHeight="1" thickBot="1" x14ac:dyDescent="0.25"/>
    <row r="1671" ht="30.75" customHeight="1" thickBot="1" x14ac:dyDescent="0.25"/>
    <row r="1672" ht="30.75" customHeight="1" thickBot="1" x14ac:dyDescent="0.25"/>
    <row r="1673" ht="30.75" customHeight="1" thickBot="1" x14ac:dyDescent="0.25"/>
    <row r="1674" ht="30.75" customHeight="1" thickBot="1" x14ac:dyDescent="0.25"/>
    <row r="1675" ht="30.75" customHeight="1" thickBot="1" x14ac:dyDescent="0.25"/>
    <row r="1676" ht="30.75" customHeight="1" thickBot="1" x14ac:dyDescent="0.25"/>
    <row r="1677" ht="30.75" customHeight="1" thickBot="1" x14ac:dyDescent="0.25"/>
    <row r="1678" ht="30.75" customHeight="1" thickBot="1" x14ac:dyDescent="0.25"/>
    <row r="1679" ht="30.75" customHeight="1" thickBot="1" x14ac:dyDescent="0.25"/>
    <row r="1680" ht="30.75" customHeight="1" thickBot="1" x14ac:dyDescent="0.25"/>
    <row r="1681" ht="30.75" customHeight="1" thickBot="1" x14ac:dyDescent="0.25"/>
    <row r="1682" ht="30.75" customHeight="1" thickBot="1" x14ac:dyDescent="0.25"/>
    <row r="1683" ht="30.75" customHeight="1" thickBot="1" x14ac:dyDescent="0.25"/>
    <row r="1684" ht="30.75" customHeight="1" thickBot="1" x14ac:dyDescent="0.25"/>
    <row r="1685" ht="30.75" customHeight="1" thickBot="1" x14ac:dyDescent="0.25"/>
    <row r="1686" ht="30.75" customHeight="1" thickBot="1" x14ac:dyDescent="0.25"/>
    <row r="1687" ht="30.75" customHeight="1" thickBot="1" x14ac:dyDescent="0.25"/>
    <row r="1688" ht="30.75" customHeight="1" thickBot="1" x14ac:dyDescent="0.25"/>
    <row r="1689" ht="30.75" customHeight="1" thickBot="1" x14ac:dyDescent="0.25"/>
    <row r="1690" ht="30.75" customHeight="1" thickBot="1" x14ac:dyDescent="0.25"/>
    <row r="1691" ht="30.75" customHeight="1" thickBot="1" x14ac:dyDescent="0.25"/>
    <row r="1692" ht="30.75" customHeight="1" thickBot="1" x14ac:dyDescent="0.25"/>
    <row r="1693" ht="30.75" customHeight="1" thickBot="1" x14ac:dyDescent="0.25"/>
    <row r="1694" ht="30.75" customHeight="1" thickBot="1" x14ac:dyDescent="0.25"/>
    <row r="1695" ht="30.75" customHeight="1" thickBot="1" x14ac:dyDescent="0.25"/>
    <row r="1696" ht="30.75" customHeight="1" thickBot="1" x14ac:dyDescent="0.25"/>
    <row r="1697" ht="30.75" customHeight="1" thickBot="1" x14ac:dyDescent="0.25"/>
    <row r="1698" ht="30.75" customHeight="1" thickBot="1" x14ac:dyDescent="0.25"/>
    <row r="1699" ht="30.75" customHeight="1" thickBot="1" x14ac:dyDescent="0.25"/>
    <row r="1700" ht="30.75" customHeight="1" thickBot="1" x14ac:dyDescent="0.25"/>
    <row r="1701" ht="30.75" customHeight="1" thickBot="1" x14ac:dyDescent="0.25"/>
    <row r="1702" ht="30.75" customHeight="1" thickBot="1" x14ac:dyDescent="0.25"/>
    <row r="1703" ht="30.75" customHeight="1" thickBot="1" x14ac:dyDescent="0.25"/>
    <row r="1704" ht="30.75" customHeight="1" thickBot="1" x14ac:dyDescent="0.25"/>
    <row r="1705" ht="30.75" customHeight="1" thickBot="1" x14ac:dyDescent="0.25"/>
    <row r="1706" ht="30.75" customHeight="1" thickBot="1" x14ac:dyDescent="0.25"/>
    <row r="1707" ht="30.75" customHeight="1" thickBot="1" x14ac:dyDescent="0.25"/>
    <row r="1708" ht="30.75" customHeight="1" thickBot="1" x14ac:dyDescent="0.25"/>
    <row r="1709" ht="30.75" customHeight="1" thickBot="1" x14ac:dyDescent="0.25"/>
    <row r="1710" ht="30.75" customHeight="1" thickBot="1" x14ac:dyDescent="0.25"/>
    <row r="1711" ht="30.75" customHeight="1" thickBot="1" x14ac:dyDescent="0.25"/>
    <row r="1712" ht="30.75" customHeight="1" thickBot="1" x14ac:dyDescent="0.25"/>
    <row r="1713" ht="30.75" customHeight="1" thickBot="1" x14ac:dyDescent="0.25"/>
    <row r="1714" ht="30.75" customHeight="1" thickBot="1" x14ac:dyDescent="0.25"/>
    <row r="1715" ht="30.75" customHeight="1" thickBot="1" x14ac:dyDescent="0.25"/>
    <row r="1716" ht="30.75" customHeight="1" thickBot="1" x14ac:dyDescent="0.25"/>
    <row r="1717" ht="30.75" customHeight="1" thickBot="1" x14ac:dyDescent="0.25"/>
    <row r="1718" ht="30.75" customHeight="1" thickBot="1" x14ac:dyDescent="0.25"/>
    <row r="1719" ht="30.75" customHeight="1" thickBot="1" x14ac:dyDescent="0.25"/>
    <row r="1720" ht="30.75" customHeight="1" thickBot="1" x14ac:dyDescent="0.25"/>
    <row r="1721" ht="30.75" customHeight="1" thickBot="1" x14ac:dyDescent="0.25"/>
    <row r="1722" ht="30.75" customHeight="1" thickBot="1" x14ac:dyDescent="0.25"/>
    <row r="1723" ht="30.75" customHeight="1" thickBot="1" x14ac:dyDescent="0.25"/>
    <row r="1724" ht="30.75" customHeight="1" thickBot="1" x14ac:dyDescent="0.25"/>
    <row r="1725" ht="30.75" customHeight="1" thickBot="1" x14ac:dyDescent="0.25"/>
    <row r="1726" ht="30.75" customHeight="1" thickBot="1" x14ac:dyDescent="0.25"/>
    <row r="1727" ht="30.75" customHeight="1" thickBot="1" x14ac:dyDescent="0.25"/>
    <row r="1728" ht="30.75" customHeight="1" thickBot="1" x14ac:dyDescent="0.25"/>
    <row r="1729" ht="30.75" customHeight="1" thickBot="1" x14ac:dyDescent="0.25"/>
    <row r="1730" ht="30.75" customHeight="1" thickBot="1" x14ac:dyDescent="0.25"/>
    <row r="1731" ht="30.75" customHeight="1" thickBot="1" x14ac:dyDescent="0.25"/>
    <row r="1732" ht="30.75" customHeight="1" thickBot="1" x14ac:dyDescent="0.25"/>
    <row r="1733" ht="30.75" customHeight="1" thickBot="1" x14ac:dyDescent="0.25"/>
    <row r="1734" ht="30.75" customHeight="1" thickBot="1" x14ac:dyDescent="0.25"/>
    <row r="1735" ht="30.75" customHeight="1" thickBot="1" x14ac:dyDescent="0.25"/>
    <row r="1736" ht="30.75" customHeight="1" thickBot="1" x14ac:dyDescent="0.25"/>
    <row r="1737" ht="30.75" customHeight="1" thickBot="1" x14ac:dyDescent="0.25"/>
    <row r="1738" ht="30.75" customHeight="1" thickBot="1" x14ac:dyDescent="0.25"/>
    <row r="1739" ht="30.75" customHeight="1" thickBot="1" x14ac:dyDescent="0.25"/>
    <row r="1740" ht="30.75" customHeight="1" thickBot="1" x14ac:dyDescent="0.25"/>
    <row r="1741" ht="30.75" customHeight="1" thickBot="1" x14ac:dyDescent="0.25"/>
    <row r="1742" ht="30.75" customHeight="1" thickBot="1" x14ac:dyDescent="0.25"/>
    <row r="1743" ht="30.75" customHeight="1" thickBot="1" x14ac:dyDescent="0.25"/>
    <row r="1744" ht="30.75" customHeight="1" thickBot="1" x14ac:dyDescent="0.25"/>
    <row r="1745" ht="30.75" customHeight="1" thickBot="1" x14ac:dyDescent="0.25"/>
    <row r="1746" ht="30.75" customHeight="1" thickBot="1" x14ac:dyDescent="0.25"/>
    <row r="1747" ht="30.75" customHeight="1" thickBot="1" x14ac:dyDescent="0.25"/>
    <row r="1748" ht="30.75" customHeight="1" thickBot="1" x14ac:dyDescent="0.25"/>
    <row r="1749" ht="30.75" customHeight="1" thickBot="1" x14ac:dyDescent="0.25"/>
    <row r="1750" ht="30.75" customHeight="1" thickBot="1" x14ac:dyDescent="0.25"/>
    <row r="1751" ht="30.75" customHeight="1" thickBot="1" x14ac:dyDescent="0.25"/>
    <row r="1752" ht="30.75" customHeight="1" thickBot="1" x14ac:dyDescent="0.25"/>
    <row r="1753" ht="30.75" customHeight="1" thickBot="1" x14ac:dyDescent="0.25"/>
    <row r="1754" ht="30.75" customHeight="1" thickBot="1" x14ac:dyDescent="0.25"/>
    <row r="1755" ht="30.75" customHeight="1" thickBot="1" x14ac:dyDescent="0.25"/>
    <row r="1756" ht="30.75" customHeight="1" thickBot="1" x14ac:dyDescent="0.25"/>
    <row r="1757" ht="30.75" customHeight="1" thickBot="1" x14ac:dyDescent="0.25"/>
    <row r="1758" ht="30.75" customHeight="1" thickBot="1" x14ac:dyDescent="0.25"/>
    <row r="1759" ht="30.75" customHeight="1" thickBot="1" x14ac:dyDescent="0.25"/>
    <row r="1760" ht="30.75" customHeight="1" thickBot="1" x14ac:dyDescent="0.25"/>
    <row r="1761" ht="30.75" customHeight="1" thickBot="1" x14ac:dyDescent="0.25"/>
    <row r="1762" ht="30.75" customHeight="1" thickBot="1" x14ac:dyDescent="0.25"/>
    <row r="1763" ht="30.75" customHeight="1" thickBot="1" x14ac:dyDescent="0.25"/>
    <row r="1764" ht="30.75" customHeight="1" thickBot="1" x14ac:dyDescent="0.25"/>
    <row r="1765" ht="30.75" customHeight="1" thickBot="1" x14ac:dyDescent="0.25"/>
    <row r="1766" ht="30.75" customHeight="1" thickBot="1" x14ac:dyDescent="0.25"/>
    <row r="1767" ht="30.75" customHeight="1" thickBot="1" x14ac:dyDescent="0.25"/>
    <row r="1768" ht="30.75" customHeight="1" thickBot="1" x14ac:dyDescent="0.25"/>
    <row r="1769" ht="30.75" customHeight="1" thickBot="1" x14ac:dyDescent="0.25"/>
    <row r="1770" ht="30.75" customHeight="1" thickBot="1" x14ac:dyDescent="0.25"/>
    <row r="1771" ht="30.75" customHeight="1" thickBot="1" x14ac:dyDescent="0.25"/>
    <row r="1772" ht="30.75" customHeight="1" thickBot="1" x14ac:dyDescent="0.25"/>
    <row r="1773" ht="30.75" customHeight="1" thickBot="1" x14ac:dyDescent="0.25"/>
    <row r="1774" ht="30.75" customHeight="1" thickBot="1" x14ac:dyDescent="0.25"/>
    <row r="1775" ht="30.75" customHeight="1" thickBot="1" x14ac:dyDescent="0.25"/>
    <row r="1776" ht="30.75" customHeight="1" thickBot="1" x14ac:dyDescent="0.25"/>
    <row r="1777" ht="30.75" customHeight="1" thickBot="1" x14ac:dyDescent="0.25"/>
    <row r="1778" ht="30.75" customHeight="1" thickBot="1" x14ac:dyDescent="0.25"/>
    <row r="1779" ht="30.75" customHeight="1" thickBot="1" x14ac:dyDescent="0.25"/>
    <row r="1780" ht="30.75" customHeight="1" thickBot="1" x14ac:dyDescent="0.25"/>
    <row r="1781" ht="30.75" customHeight="1" thickBot="1" x14ac:dyDescent="0.25"/>
    <row r="1782" ht="30.75" customHeight="1" thickBot="1" x14ac:dyDescent="0.25"/>
    <row r="1783" ht="30.75" customHeight="1" thickBot="1" x14ac:dyDescent="0.25"/>
    <row r="1784" ht="30.75" customHeight="1" thickBot="1" x14ac:dyDescent="0.25"/>
    <row r="1785" ht="30.75" customHeight="1" thickBot="1" x14ac:dyDescent="0.25"/>
    <row r="1786" ht="30.75" customHeight="1" thickBot="1" x14ac:dyDescent="0.25"/>
    <row r="1787" ht="30.75" customHeight="1" thickBot="1" x14ac:dyDescent="0.25"/>
    <row r="1788" ht="30.75" customHeight="1" thickBot="1" x14ac:dyDescent="0.25"/>
    <row r="1789" ht="30.75" customHeight="1" thickBot="1" x14ac:dyDescent="0.25"/>
    <row r="1790" ht="30.75" customHeight="1" thickBot="1" x14ac:dyDescent="0.25"/>
    <row r="1791" ht="30.75" customHeight="1" thickBot="1" x14ac:dyDescent="0.25"/>
    <row r="1792" ht="30.75" customHeight="1" thickBot="1" x14ac:dyDescent="0.25"/>
    <row r="1793" ht="30.75" customHeight="1" thickBot="1" x14ac:dyDescent="0.25"/>
    <row r="1794" ht="30.75" customHeight="1" thickBot="1" x14ac:dyDescent="0.25"/>
    <row r="1795" ht="30.75" customHeight="1" thickBot="1" x14ac:dyDescent="0.25"/>
    <row r="1796" ht="30.75" customHeight="1" thickBot="1" x14ac:dyDescent="0.25"/>
    <row r="1797" ht="30.75" customHeight="1" thickBot="1" x14ac:dyDescent="0.25"/>
    <row r="1798" ht="30.75" customHeight="1" thickBot="1" x14ac:dyDescent="0.25"/>
    <row r="1799" ht="30.75" customHeight="1" thickBot="1" x14ac:dyDescent="0.25"/>
    <row r="1800" ht="30.75" customHeight="1" thickBot="1" x14ac:dyDescent="0.25"/>
    <row r="1801" ht="30.75" customHeight="1" thickBot="1" x14ac:dyDescent="0.25"/>
    <row r="1802" ht="30.75" customHeight="1" thickBot="1" x14ac:dyDescent="0.25"/>
    <row r="1803" ht="30.75" customHeight="1" thickBot="1" x14ac:dyDescent="0.25"/>
    <row r="1804" ht="30.75" customHeight="1" thickBot="1" x14ac:dyDescent="0.25"/>
    <row r="1805" ht="30.75" customHeight="1" thickBot="1" x14ac:dyDescent="0.25"/>
    <row r="1806" ht="30.75" customHeight="1" thickBot="1" x14ac:dyDescent="0.25"/>
    <row r="1807" ht="30.75" customHeight="1" thickBot="1" x14ac:dyDescent="0.25"/>
    <row r="1808" ht="30.75" customHeight="1" thickBot="1" x14ac:dyDescent="0.25"/>
    <row r="1809" ht="30.75" customHeight="1" thickBot="1" x14ac:dyDescent="0.25"/>
    <row r="1810" ht="30.75" customHeight="1" thickBot="1" x14ac:dyDescent="0.25"/>
    <row r="1811" ht="30.75" customHeight="1" thickBot="1" x14ac:dyDescent="0.25"/>
    <row r="1812" ht="30.75" customHeight="1" thickBot="1" x14ac:dyDescent="0.25"/>
    <row r="1813" ht="30.75" customHeight="1" thickBot="1" x14ac:dyDescent="0.25"/>
    <row r="1814" ht="30.75" customHeight="1" thickBot="1" x14ac:dyDescent="0.25"/>
    <row r="1815" ht="30.75" customHeight="1" thickBot="1" x14ac:dyDescent="0.25"/>
    <row r="1816" ht="30.75" customHeight="1" thickBot="1" x14ac:dyDescent="0.25"/>
    <row r="1817" ht="30.75" customHeight="1" thickBot="1" x14ac:dyDescent="0.25"/>
    <row r="1818" ht="30.75" customHeight="1" thickBot="1" x14ac:dyDescent="0.25"/>
    <row r="1819" ht="30.75" customHeight="1" thickBot="1" x14ac:dyDescent="0.25"/>
    <row r="1820" ht="30.75" customHeight="1" thickBot="1" x14ac:dyDescent="0.25"/>
    <row r="1821" ht="30.75" customHeight="1" thickBot="1" x14ac:dyDescent="0.25"/>
    <row r="1822" ht="30.75" customHeight="1" thickBot="1" x14ac:dyDescent="0.25"/>
    <row r="1823" ht="30.75" customHeight="1" thickBot="1" x14ac:dyDescent="0.25"/>
    <row r="1824" ht="30.75" customHeight="1" thickBot="1" x14ac:dyDescent="0.25"/>
    <row r="1825" ht="30.75" customHeight="1" thickBot="1" x14ac:dyDescent="0.25"/>
    <row r="1826" ht="30.75" customHeight="1" thickBot="1" x14ac:dyDescent="0.25"/>
    <row r="1827" ht="30.75" customHeight="1" thickBot="1" x14ac:dyDescent="0.25"/>
    <row r="1828" ht="30.75" customHeight="1" thickBot="1" x14ac:dyDescent="0.25"/>
    <row r="1829" ht="30.75" customHeight="1" thickBot="1" x14ac:dyDescent="0.25"/>
    <row r="1830" ht="30.75" customHeight="1" thickBot="1" x14ac:dyDescent="0.25"/>
    <row r="1831" ht="30.75" customHeight="1" thickBot="1" x14ac:dyDescent="0.25"/>
    <row r="1832" ht="30.75" customHeight="1" thickBot="1" x14ac:dyDescent="0.25"/>
    <row r="1833" ht="30.75" customHeight="1" thickBot="1" x14ac:dyDescent="0.25"/>
    <row r="1834" ht="30.75" customHeight="1" thickBot="1" x14ac:dyDescent="0.25"/>
    <row r="1835" ht="30.75" customHeight="1" thickBot="1" x14ac:dyDescent="0.25"/>
    <row r="1836" ht="30.75" customHeight="1" thickBot="1" x14ac:dyDescent="0.25"/>
    <row r="1837" ht="30.75" customHeight="1" thickBot="1" x14ac:dyDescent="0.25"/>
    <row r="1838" ht="30.75" customHeight="1" thickBot="1" x14ac:dyDescent="0.25"/>
    <row r="1839" ht="30.75" customHeight="1" thickBot="1" x14ac:dyDescent="0.25"/>
    <row r="1840" ht="30.75" customHeight="1" thickBot="1" x14ac:dyDescent="0.25"/>
    <row r="1841" ht="30.75" customHeight="1" thickBot="1" x14ac:dyDescent="0.25"/>
    <row r="1842" ht="30.75" customHeight="1" thickBot="1" x14ac:dyDescent="0.25"/>
    <row r="1843" ht="30.75" customHeight="1" thickBot="1" x14ac:dyDescent="0.25"/>
    <row r="1844" ht="30.75" customHeight="1" thickBot="1" x14ac:dyDescent="0.25"/>
    <row r="1845" ht="30.75" customHeight="1" thickBot="1" x14ac:dyDescent="0.25"/>
    <row r="1846" ht="30.75" customHeight="1" thickBot="1" x14ac:dyDescent="0.25"/>
    <row r="1847" ht="30.75" customHeight="1" thickBot="1" x14ac:dyDescent="0.25"/>
    <row r="1848" ht="30.75" customHeight="1" thickBot="1" x14ac:dyDescent="0.25"/>
    <row r="1849" ht="30.75" customHeight="1" thickBot="1" x14ac:dyDescent="0.25"/>
    <row r="1850" ht="30.75" customHeight="1" thickBot="1" x14ac:dyDescent="0.25"/>
    <row r="1851" ht="30.75" customHeight="1" thickBot="1" x14ac:dyDescent="0.25"/>
    <row r="1852" ht="30.75" customHeight="1" thickBot="1" x14ac:dyDescent="0.25"/>
    <row r="1853" ht="30.75" customHeight="1" thickBot="1" x14ac:dyDescent="0.25"/>
    <row r="1854" ht="30.75" customHeight="1" thickBot="1" x14ac:dyDescent="0.25"/>
    <row r="1855" ht="30.75" customHeight="1" thickBot="1" x14ac:dyDescent="0.25"/>
    <row r="1856" ht="30.75" customHeight="1" thickBot="1" x14ac:dyDescent="0.25"/>
    <row r="1857" ht="30.75" customHeight="1" thickBot="1" x14ac:dyDescent="0.25"/>
    <row r="1858" ht="30.75" customHeight="1" thickBot="1" x14ac:dyDescent="0.25"/>
    <row r="1859" ht="30.75" customHeight="1" thickBot="1" x14ac:dyDescent="0.25"/>
    <row r="1860" ht="30.75" customHeight="1" thickBot="1" x14ac:dyDescent="0.25"/>
    <row r="1861" ht="30.75" customHeight="1" thickBot="1" x14ac:dyDescent="0.25"/>
    <row r="1862" ht="30.75" customHeight="1" thickBot="1" x14ac:dyDescent="0.25"/>
    <row r="1863" ht="30.75" customHeight="1" thickBot="1" x14ac:dyDescent="0.25"/>
    <row r="1864" ht="30.75" customHeight="1" thickBot="1" x14ac:dyDescent="0.25"/>
    <row r="1865" ht="30.75" customHeight="1" thickBot="1" x14ac:dyDescent="0.25"/>
    <row r="1866" ht="30.75" customHeight="1" thickBot="1" x14ac:dyDescent="0.25"/>
    <row r="1867" ht="30.75" customHeight="1" thickBot="1" x14ac:dyDescent="0.25"/>
    <row r="1868" ht="30.75" customHeight="1" thickBot="1" x14ac:dyDescent="0.25"/>
    <row r="1869" ht="30.75" customHeight="1" thickBot="1" x14ac:dyDescent="0.25"/>
    <row r="1870" ht="30.75" customHeight="1" thickBot="1" x14ac:dyDescent="0.25"/>
    <row r="1871" ht="30.75" customHeight="1" thickBot="1" x14ac:dyDescent="0.25"/>
    <row r="1872" ht="30.75" customHeight="1" thickBot="1" x14ac:dyDescent="0.25"/>
    <row r="1873" ht="30.75" customHeight="1" thickBot="1" x14ac:dyDescent="0.25"/>
    <row r="1874" ht="30.75" customHeight="1" thickBot="1" x14ac:dyDescent="0.25"/>
    <row r="1875" ht="30.75" customHeight="1" thickBot="1" x14ac:dyDescent="0.25"/>
    <row r="1876" ht="30.75" customHeight="1" thickBot="1" x14ac:dyDescent="0.25"/>
    <row r="1877" ht="30.75" customHeight="1" thickBot="1" x14ac:dyDescent="0.25"/>
    <row r="1878" ht="30.75" customHeight="1" thickBot="1" x14ac:dyDescent="0.25"/>
    <row r="1879" ht="30.75" customHeight="1" thickBot="1" x14ac:dyDescent="0.25"/>
    <row r="1880" ht="30.75" customHeight="1" thickBot="1" x14ac:dyDescent="0.25"/>
    <row r="1881" ht="30.75" customHeight="1" thickBot="1" x14ac:dyDescent="0.25"/>
    <row r="1882" ht="30.75" customHeight="1" thickBot="1" x14ac:dyDescent="0.25"/>
    <row r="1883" ht="30.75" customHeight="1" thickBot="1" x14ac:dyDescent="0.25"/>
    <row r="1884" ht="30.75" customHeight="1" thickBot="1" x14ac:dyDescent="0.25"/>
    <row r="1885" ht="30.75" customHeight="1" thickBot="1" x14ac:dyDescent="0.25"/>
    <row r="1886" ht="30.75" customHeight="1" thickBot="1" x14ac:dyDescent="0.25"/>
    <row r="1887" ht="30.75" customHeight="1" thickBot="1" x14ac:dyDescent="0.25"/>
    <row r="1888" ht="30.75" customHeight="1" thickBot="1" x14ac:dyDescent="0.25"/>
    <row r="1889" ht="30.75" customHeight="1" thickBot="1" x14ac:dyDescent="0.25"/>
    <row r="1890" ht="30.75" customHeight="1" thickBot="1" x14ac:dyDescent="0.25"/>
    <row r="1891" ht="30.75" customHeight="1" thickBot="1" x14ac:dyDescent="0.25"/>
    <row r="1892" ht="30.75" customHeight="1" thickBot="1" x14ac:dyDescent="0.25"/>
    <row r="1893" ht="30.75" customHeight="1" thickBot="1" x14ac:dyDescent="0.25"/>
    <row r="1894" ht="30.75" customHeight="1" thickBot="1" x14ac:dyDescent="0.25"/>
    <row r="1895" ht="30.75" customHeight="1" thickBot="1" x14ac:dyDescent="0.25"/>
    <row r="1896" ht="30.75" customHeight="1" thickBot="1" x14ac:dyDescent="0.25"/>
    <row r="1897" ht="30.75" customHeight="1" thickBot="1" x14ac:dyDescent="0.25"/>
    <row r="1898" ht="30.75" customHeight="1" thickBot="1" x14ac:dyDescent="0.25"/>
    <row r="1899" ht="30.75" customHeight="1" thickBot="1" x14ac:dyDescent="0.25"/>
    <row r="1900" ht="30.75" customHeight="1" thickBot="1" x14ac:dyDescent="0.25"/>
    <row r="1901" ht="30.75" customHeight="1" thickBot="1" x14ac:dyDescent="0.25"/>
    <row r="1902" ht="30.75" customHeight="1" thickBot="1" x14ac:dyDescent="0.25"/>
    <row r="1903" ht="30.75" customHeight="1" thickBot="1" x14ac:dyDescent="0.25"/>
    <row r="1904" ht="30.75" customHeight="1" thickBot="1" x14ac:dyDescent="0.25"/>
    <row r="1905" ht="30.75" customHeight="1" thickBot="1" x14ac:dyDescent="0.25"/>
    <row r="1906" ht="30.75" customHeight="1" thickBot="1" x14ac:dyDescent="0.25"/>
    <row r="1907" ht="30.75" customHeight="1" thickBot="1" x14ac:dyDescent="0.25"/>
    <row r="1908" ht="30.75" customHeight="1" thickBot="1" x14ac:dyDescent="0.25"/>
    <row r="1909" ht="30.75" customHeight="1" thickBot="1" x14ac:dyDescent="0.25"/>
    <row r="1910" ht="30.75" customHeight="1" thickBot="1" x14ac:dyDescent="0.25"/>
    <row r="1911" ht="30.75" customHeight="1" thickBot="1" x14ac:dyDescent="0.25"/>
    <row r="1912" ht="30.75" customHeight="1" thickBot="1" x14ac:dyDescent="0.25"/>
    <row r="1913" ht="30.75" customHeight="1" thickBot="1" x14ac:dyDescent="0.25"/>
    <row r="1914" ht="30.75" customHeight="1" thickBot="1" x14ac:dyDescent="0.25"/>
    <row r="1915" ht="30.75" customHeight="1" thickBot="1" x14ac:dyDescent="0.25"/>
    <row r="1916" ht="30.75" customHeight="1" thickBot="1" x14ac:dyDescent="0.25"/>
    <row r="1917" ht="30.75" customHeight="1" thickBot="1" x14ac:dyDescent="0.25"/>
    <row r="1918" ht="30.75" customHeight="1" thickBot="1" x14ac:dyDescent="0.25"/>
    <row r="1919" ht="30.75" customHeight="1" thickBot="1" x14ac:dyDescent="0.25"/>
    <row r="1920" ht="30.75" customHeight="1" thickBot="1" x14ac:dyDescent="0.25"/>
    <row r="1921" ht="30.75" customHeight="1" thickBot="1" x14ac:dyDescent="0.25"/>
    <row r="1922" ht="30.75" customHeight="1" thickBot="1" x14ac:dyDescent="0.25"/>
    <row r="1923" ht="30.75" customHeight="1" thickBot="1" x14ac:dyDescent="0.25"/>
    <row r="1924" ht="30.75" customHeight="1" thickBot="1" x14ac:dyDescent="0.25"/>
    <row r="1925" ht="30.75" customHeight="1" thickBot="1" x14ac:dyDescent="0.25"/>
    <row r="1926" ht="30.75" customHeight="1" thickBot="1" x14ac:dyDescent="0.25"/>
    <row r="1927" ht="30.75" customHeight="1" thickBot="1" x14ac:dyDescent="0.25"/>
    <row r="1928" ht="30.75" customHeight="1" thickBot="1" x14ac:dyDescent="0.25"/>
    <row r="1929" ht="30.75" customHeight="1" thickBot="1" x14ac:dyDescent="0.25"/>
    <row r="1930" ht="30.75" customHeight="1" thickBot="1" x14ac:dyDescent="0.25"/>
    <row r="1931" ht="30.75" customHeight="1" thickBot="1" x14ac:dyDescent="0.25"/>
    <row r="1932" ht="30.75" customHeight="1" thickBot="1" x14ac:dyDescent="0.25"/>
    <row r="1933" ht="30.75" customHeight="1" thickBot="1" x14ac:dyDescent="0.25"/>
    <row r="1934" ht="30.75" customHeight="1" thickBot="1" x14ac:dyDescent="0.25"/>
    <row r="1935" ht="30.75" customHeight="1" thickBot="1" x14ac:dyDescent="0.25"/>
    <row r="1936" ht="30.75" customHeight="1" thickBot="1" x14ac:dyDescent="0.25"/>
    <row r="1937" ht="30.75" customHeight="1" thickBot="1" x14ac:dyDescent="0.25"/>
    <row r="1938" ht="30.75" customHeight="1" thickBot="1" x14ac:dyDescent="0.25"/>
    <row r="1939" ht="30.75" customHeight="1" thickBot="1" x14ac:dyDescent="0.25"/>
    <row r="1940" ht="30.75" customHeight="1" thickBot="1" x14ac:dyDescent="0.25"/>
    <row r="1941" ht="30.75" customHeight="1" thickBot="1" x14ac:dyDescent="0.25"/>
    <row r="1942" ht="30.75" customHeight="1" thickBot="1" x14ac:dyDescent="0.25"/>
    <row r="1943" ht="30.75" customHeight="1" thickBot="1" x14ac:dyDescent="0.25"/>
    <row r="1944" ht="30.75" customHeight="1" thickBot="1" x14ac:dyDescent="0.25"/>
    <row r="1945" ht="30.75" customHeight="1" thickBot="1" x14ac:dyDescent="0.25"/>
    <row r="1946" ht="30.75" customHeight="1" thickBot="1" x14ac:dyDescent="0.25"/>
    <row r="1947" ht="30.75" customHeight="1" thickBot="1" x14ac:dyDescent="0.25"/>
    <row r="1948" ht="30.75" customHeight="1" thickBot="1" x14ac:dyDescent="0.25"/>
    <row r="1949" ht="30.75" customHeight="1" thickBot="1" x14ac:dyDescent="0.25"/>
    <row r="1950" ht="30.75" customHeight="1" thickBot="1" x14ac:dyDescent="0.25"/>
    <row r="1951" ht="30.75" customHeight="1" thickBot="1" x14ac:dyDescent="0.25"/>
    <row r="1952" ht="30.75" customHeight="1" thickBot="1" x14ac:dyDescent="0.25"/>
    <row r="1953" ht="30.75" customHeight="1" thickBot="1" x14ac:dyDescent="0.25"/>
    <row r="1954" ht="30.75" customHeight="1" thickBot="1" x14ac:dyDescent="0.25"/>
    <row r="1955" ht="30.75" customHeight="1" thickBot="1" x14ac:dyDescent="0.25"/>
    <row r="1956" ht="30.75" customHeight="1" thickBot="1" x14ac:dyDescent="0.25"/>
    <row r="1957" ht="30.75" customHeight="1" thickBot="1" x14ac:dyDescent="0.25"/>
    <row r="1958" ht="30.75" customHeight="1" thickBot="1" x14ac:dyDescent="0.25"/>
    <row r="1959" ht="30.75" customHeight="1" thickBot="1" x14ac:dyDescent="0.25"/>
    <row r="1960" ht="30.75" customHeight="1" thickBot="1" x14ac:dyDescent="0.25"/>
    <row r="1961" ht="30.75" customHeight="1" thickBot="1" x14ac:dyDescent="0.25"/>
    <row r="1962" ht="30.75" customHeight="1" thickBot="1" x14ac:dyDescent="0.25"/>
    <row r="1963" ht="30.75" customHeight="1" thickBot="1" x14ac:dyDescent="0.25"/>
    <row r="1964" ht="30.75" customHeight="1" thickBot="1" x14ac:dyDescent="0.25"/>
    <row r="1965" ht="30.75" customHeight="1" thickBot="1" x14ac:dyDescent="0.25"/>
    <row r="1966" ht="30.75" customHeight="1" thickBot="1" x14ac:dyDescent="0.25"/>
    <row r="1967" ht="30.75" customHeight="1" thickBot="1" x14ac:dyDescent="0.25"/>
    <row r="1968" ht="30.75" customHeight="1" thickBot="1" x14ac:dyDescent="0.25"/>
    <row r="1969" ht="30.75" customHeight="1" thickBot="1" x14ac:dyDescent="0.25"/>
    <row r="1970" ht="30.75" customHeight="1" thickBot="1" x14ac:dyDescent="0.25"/>
    <row r="1971" ht="30.75" customHeight="1" thickBot="1" x14ac:dyDescent="0.25"/>
    <row r="1972" ht="30.75" customHeight="1" thickBot="1" x14ac:dyDescent="0.25"/>
    <row r="1973" ht="30.75" customHeight="1" thickBot="1" x14ac:dyDescent="0.25"/>
    <row r="1974" ht="30.75" customHeight="1" thickBot="1" x14ac:dyDescent="0.25"/>
    <row r="1975" ht="30.75" customHeight="1" thickBot="1" x14ac:dyDescent="0.25"/>
    <row r="1976" ht="30.75" customHeight="1" thickBot="1" x14ac:dyDescent="0.25"/>
    <row r="1977" ht="30.75" customHeight="1" thickBot="1" x14ac:dyDescent="0.25"/>
    <row r="1978" ht="30.75" customHeight="1" thickBot="1" x14ac:dyDescent="0.25"/>
    <row r="1979" ht="30.75" customHeight="1" thickBot="1" x14ac:dyDescent="0.25"/>
    <row r="1980" ht="30.75" customHeight="1" thickBot="1" x14ac:dyDescent="0.25"/>
    <row r="1981" ht="30.75" customHeight="1" thickBot="1" x14ac:dyDescent="0.25"/>
    <row r="1982" ht="30.75" customHeight="1" thickBot="1" x14ac:dyDescent="0.25"/>
    <row r="1983" ht="30.75" customHeight="1" thickBot="1" x14ac:dyDescent="0.25"/>
    <row r="1984" ht="30.75" customHeight="1" thickBot="1" x14ac:dyDescent="0.25"/>
    <row r="1985" ht="30.75" customHeight="1" thickBot="1" x14ac:dyDescent="0.25"/>
    <row r="1986" ht="30.75" customHeight="1" thickBot="1" x14ac:dyDescent="0.25"/>
    <row r="1987" ht="30.75" customHeight="1" thickBot="1" x14ac:dyDescent="0.25"/>
    <row r="1988" ht="30.75" customHeight="1" thickBot="1" x14ac:dyDescent="0.25"/>
    <row r="1989" ht="30.75" customHeight="1" thickBot="1" x14ac:dyDescent="0.25"/>
    <row r="1990" ht="30.75" customHeight="1" thickBot="1" x14ac:dyDescent="0.25"/>
    <row r="1991" ht="30.75" customHeight="1" thickBot="1" x14ac:dyDescent="0.25"/>
    <row r="1992" ht="30.75" customHeight="1" thickBot="1" x14ac:dyDescent="0.25"/>
    <row r="1993" ht="30.75" customHeight="1" thickBot="1" x14ac:dyDescent="0.25"/>
    <row r="1994" ht="30.75" customHeight="1" thickBot="1" x14ac:dyDescent="0.25"/>
    <row r="1995" ht="30.75" customHeight="1" thickBot="1" x14ac:dyDescent="0.25"/>
    <row r="1996" ht="30.75" customHeight="1" thickBot="1" x14ac:dyDescent="0.25"/>
    <row r="1997" ht="30.75" customHeight="1" thickBot="1" x14ac:dyDescent="0.25"/>
    <row r="1998" ht="30.75" customHeight="1" thickBot="1" x14ac:dyDescent="0.25"/>
    <row r="1999" ht="30.75" customHeight="1" thickBot="1" x14ac:dyDescent="0.25"/>
    <row r="2000" ht="30.75" customHeight="1" thickBot="1" x14ac:dyDescent="0.25"/>
    <row r="2001" ht="30.75" customHeight="1" thickBot="1" x14ac:dyDescent="0.25"/>
    <row r="2002" ht="30.75" customHeight="1" thickBot="1" x14ac:dyDescent="0.25"/>
    <row r="2003" ht="30.75" customHeight="1" thickBot="1" x14ac:dyDescent="0.25"/>
    <row r="2004" ht="30.75" customHeight="1" thickBot="1" x14ac:dyDescent="0.25"/>
    <row r="2005" ht="30.75" customHeight="1" thickBot="1" x14ac:dyDescent="0.25"/>
    <row r="2006" ht="30.75" customHeight="1" thickBot="1" x14ac:dyDescent="0.25"/>
    <row r="2007" ht="30.75" customHeight="1" thickBot="1" x14ac:dyDescent="0.25"/>
    <row r="2008" ht="30.75" customHeight="1" thickBot="1" x14ac:dyDescent="0.25"/>
    <row r="2009" ht="30.75" customHeight="1" thickBot="1" x14ac:dyDescent="0.25"/>
    <row r="2010" ht="30.75" customHeight="1" thickBot="1" x14ac:dyDescent="0.25"/>
    <row r="2011" ht="30.75" customHeight="1" thickBot="1" x14ac:dyDescent="0.25"/>
    <row r="2012" ht="30.75" customHeight="1" thickBot="1" x14ac:dyDescent="0.25"/>
    <row r="2013" ht="30.75" customHeight="1" thickBot="1" x14ac:dyDescent="0.25"/>
    <row r="2014" ht="30.75" customHeight="1" thickBot="1" x14ac:dyDescent="0.25"/>
    <row r="2015" ht="30.75" customHeight="1" thickBot="1" x14ac:dyDescent="0.25"/>
    <row r="2016" ht="30.75" customHeight="1" thickBot="1" x14ac:dyDescent="0.25"/>
    <row r="2017" ht="30.75" customHeight="1" thickBot="1" x14ac:dyDescent="0.25"/>
    <row r="2018" ht="30.75" customHeight="1" thickBot="1" x14ac:dyDescent="0.25"/>
    <row r="2019" ht="30.75" customHeight="1" thickBot="1" x14ac:dyDescent="0.25"/>
    <row r="2020" ht="30.75" customHeight="1" thickBot="1" x14ac:dyDescent="0.25"/>
    <row r="2021" ht="30.75" customHeight="1" thickBot="1" x14ac:dyDescent="0.25"/>
    <row r="2022" ht="30.75" customHeight="1" thickBot="1" x14ac:dyDescent="0.25"/>
    <row r="2023" ht="30.75" customHeight="1" thickBot="1" x14ac:dyDescent="0.25"/>
    <row r="2024" ht="30.75" customHeight="1" thickBot="1" x14ac:dyDescent="0.25"/>
    <row r="2025" ht="30.75" customHeight="1" thickBot="1" x14ac:dyDescent="0.25"/>
    <row r="2026" ht="30.75" customHeight="1" thickBot="1" x14ac:dyDescent="0.25"/>
    <row r="2027" ht="30.75" customHeight="1" thickBot="1" x14ac:dyDescent="0.25"/>
    <row r="2028" ht="30.75" customHeight="1" thickBot="1" x14ac:dyDescent="0.25"/>
    <row r="2029" ht="30.75" customHeight="1" thickBot="1" x14ac:dyDescent="0.25"/>
    <row r="2030" ht="30.75" customHeight="1" thickBot="1" x14ac:dyDescent="0.25"/>
    <row r="2031" ht="30.75" customHeight="1" thickBot="1" x14ac:dyDescent="0.25"/>
    <row r="2032" ht="30.75" customHeight="1" thickBot="1" x14ac:dyDescent="0.25"/>
    <row r="2033" ht="30.75" customHeight="1" thickBot="1" x14ac:dyDescent="0.25"/>
    <row r="2034" ht="30.75" customHeight="1" thickBot="1" x14ac:dyDescent="0.25"/>
    <row r="2035" ht="30.75" customHeight="1" thickBot="1" x14ac:dyDescent="0.25"/>
    <row r="2036" ht="30.75" customHeight="1" thickBot="1" x14ac:dyDescent="0.25"/>
    <row r="2037" ht="30.75" customHeight="1" thickBot="1" x14ac:dyDescent="0.25"/>
    <row r="2038" ht="30.75" customHeight="1" thickBot="1" x14ac:dyDescent="0.25"/>
    <row r="2039" ht="30.75" customHeight="1" thickBot="1" x14ac:dyDescent="0.25"/>
    <row r="2040" ht="30.75" customHeight="1" thickBot="1" x14ac:dyDescent="0.25"/>
    <row r="2041" ht="30.75" customHeight="1" thickBot="1" x14ac:dyDescent="0.25"/>
    <row r="2042" ht="30.75" customHeight="1" thickBot="1" x14ac:dyDescent="0.25"/>
    <row r="2043" ht="30.75" customHeight="1" thickBot="1" x14ac:dyDescent="0.25"/>
    <row r="2044" ht="30.75" customHeight="1" thickBot="1" x14ac:dyDescent="0.25"/>
    <row r="2045" ht="30.75" customHeight="1" thickBot="1" x14ac:dyDescent="0.25"/>
    <row r="2046" ht="30.75" customHeight="1" thickBot="1" x14ac:dyDescent="0.25"/>
    <row r="2047" ht="30.75" customHeight="1" thickBot="1" x14ac:dyDescent="0.25"/>
    <row r="2048" ht="30.75" customHeight="1" thickBot="1" x14ac:dyDescent="0.25"/>
    <row r="2049" ht="30.75" customHeight="1" thickBot="1" x14ac:dyDescent="0.25"/>
    <row r="2050" ht="30.75" customHeight="1" thickBot="1" x14ac:dyDescent="0.25"/>
    <row r="2051" ht="30.75" customHeight="1" thickBot="1" x14ac:dyDescent="0.25"/>
    <row r="2052" ht="30.75" customHeight="1" thickBot="1" x14ac:dyDescent="0.25"/>
    <row r="2053" ht="30.75" customHeight="1" thickBot="1" x14ac:dyDescent="0.25"/>
    <row r="2054" ht="30.75" customHeight="1" thickBot="1" x14ac:dyDescent="0.25"/>
    <row r="2055" ht="30.75" customHeight="1" thickBot="1" x14ac:dyDescent="0.25"/>
    <row r="2056" ht="30.75" customHeight="1" thickBot="1" x14ac:dyDescent="0.25"/>
    <row r="2057" ht="30.75" customHeight="1" thickBot="1" x14ac:dyDescent="0.25"/>
    <row r="2058" ht="30.75" customHeight="1" thickBot="1" x14ac:dyDescent="0.25"/>
    <row r="2059" ht="30.75" customHeight="1" thickBot="1" x14ac:dyDescent="0.25"/>
    <row r="2060" ht="30.75" customHeight="1" thickBot="1" x14ac:dyDescent="0.25"/>
    <row r="2061" ht="30.75" customHeight="1" thickBot="1" x14ac:dyDescent="0.25"/>
    <row r="2062" ht="30.75" customHeight="1" thickBot="1" x14ac:dyDescent="0.25"/>
    <row r="2063" ht="30.75" customHeight="1" thickBot="1" x14ac:dyDescent="0.25"/>
    <row r="2064" ht="30.75" customHeight="1" thickBot="1" x14ac:dyDescent="0.25"/>
    <row r="2065" ht="30.75" customHeight="1" thickBot="1" x14ac:dyDescent="0.25"/>
    <row r="2066" ht="30.75" customHeight="1" thickBot="1" x14ac:dyDescent="0.25"/>
    <row r="2067" ht="30.75" customHeight="1" thickBot="1" x14ac:dyDescent="0.25"/>
    <row r="2068" ht="30.75" customHeight="1" thickBot="1" x14ac:dyDescent="0.25"/>
    <row r="2069" ht="30.75" customHeight="1" thickBot="1" x14ac:dyDescent="0.25"/>
    <row r="2070" ht="30.75" customHeight="1" thickBot="1" x14ac:dyDescent="0.25"/>
    <row r="2071" ht="30.75" customHeight="1" thickBot="1" x14ac:dyDescent="0.25"/>
    <row r="2072" ht="30.75" customHeight="1" thickBot="1" x14ac:dyDescent="0.25"/>
    <row r="2073" ht="30.75" customHeight="1" thickBot="1" x14ac:dyDescent="0.25"/>
    <row r="2074" ht="30.75" customHeight="1" thickBot="1" x14ac:dyDescent="0.25"/>
    <row r="2075" ht="30.75" customHeight="1" thickBot="1" x14ac:dyDescent="0.25"/>
    <row r="2076" ht="30.75" customHeight="1" thickBot="1" x14ac:dyDescent="0.25"/>
    <row r="2077" ht="30.75" customHeight="1" thickBot="1" x14ac:dyDescent="0.25"/>
    <row r="2078" ht="30.75" customHeight="1" thickBot="1" x14ac:dyDescent="0.25"/>
    <row r="2079" ht="30.75" customHeight="1" thickBot="1" x14ac:dyDescent="0.25"/>
    <row r="2080" ht="30.75" customHeight="1" thickBot="1" x14ac:dyDescent="0.25"/>
    <row r="2081" ht="30.75" customHeight="1" thickBot="1" x14ac:dyDescent="0.25"/>
    <row r="2082" ht="30.75" customHeight="1" thickBot="1" x14ac:dyDescent="0.25"/>
    <row r="2083" ht="30.75" customHeight="1" thickBot="1" x14ac:dyDescent="0.25"/>
    <row r="2084" ht="30.75" customHeight="1" thickBot="1" x14ac:dyDescent="0.25"/>
    <row r="2085" ht="30.75" customHeight="1" thickBot="1" x14ac:dyDescent="0.25"/>
    <row r="2086" ht="30.75" customHeight="1" thickBot="1" x14ac:dyDescent="0.25"/>
    <row r="2087" ht="30.75" customHeight="1" thickBot="1" x14ac:dyDescent="0.25"/>
    <row r="2088" ht="30.75" customHeight="1" thickBot="1" x14ac:dyDescent="0.25"/>
    <row r="2089" ht="30.75" customHeight="1" thickBot="1" x14ac:dyDescent="0.25"/>
    <row r="2090" ht="30.75" customHeight="1" thickBot="1" x14ac:dyDescent="0.25"/>
    <row r="2091" ht="30.75" customHeight="1" thickBot="1" x14ac:dyDescent="0.25"/>
    <row r="2092" ht="30.75" customHeight="1" thickBot="1" x14ac:dyDescent="0.25"/>
    <row r="2093" ht="30.75" customHeight="1" thickBot="1" x14ac:dyDescent="0.25"/>
    <row r="2094" ht="30.75" customHeight="1" thickBot="1" x14ac:dyDescent="0.25"/>
    <row r="2095" ht="30.75" customHeight="1" thickBot="1" x14ac:dyDescent="0.25"/>
    <row r="2096" ht="30.75" customHeight="1" thickBot="1" x14ac:dyDescent="0.25"/>
    <row r="2097" ht="30.75" customHeight="1" thickBot="1" x14ac:dyDescent="0.25"/>
    <row r="2098" ht="30.75" customHeight="1" thickBot="1" x14ac:dyDescent="0.25"/>
    <row r="2099" ht="30.75" customHeight="1" thickBot="1" x14ac:dyDescent="0.25"/>
    <row r="2100" ht="30.75" customHeight="1" thickBot="1" x14ac:dyDescent="0.25"/>
    <row r="2101" ht="30.75" customHeight="1" thickBot="1" x14ac:dyDescent="0.25"/>
    <row r="2102" ht="30.75" customHeight="1" thickBot="1" x14ac:dyDescent="0.25"/>
    <row r="2103" ht="30.75" customHeight="1" thickBot="1" x14ac:dyDescent="0.25"/>
    <row r="2104" ht="30.75" customHeight="1" thickBot="1" x14ac:dyDescent="0.25"/>
    <row r="2105" ht="30.75" customHeight="1" thickBot="1" x14ac:dyDescent="0.25"/>
    <row r="2106" ht="30.75" customHeight="1" thickBot="1" x14ac:dyDescent="0.25"/>
    <row r="2107" ht="30.75" customHeight="1" thickBot="1" x14ac:dyDescent="0.25"/>
    <row r="2108" ht="30.75" customHeight="1" thickBot="1" x14ac:dyDescent="0.25"/>
    <row r="2109" ht="30.75" customHeight="1" thickBot="1" x14ac:dyDescent="0.25"/>
    <row r="2110" ht="30.75" customHeight="1" thickBot="1" x14ac:dyDescent="0.25"/>
    <row r="2111" ht="30.75" customHeight="1" thickBot="1" x14ac:dyDescent="0.25"/>
    <row r="2112" ht="30.75" customHeight="1" thickBot="1" x14ac:dyDescent="0.25"/>
    <row r="2113" ht="30.75" customHeight="1" thickBot="1" x14ac:dyDescent="0.25"/>
    <row r="2114" ht="30.75" customHeight="1" thickBot="1" x14ac:dyDescent="0.25"/>
    <row r="2115" ht="30.75" customHeight="1" thickBot="1" x14ac:dyDescent="0.25"/>
    <row r="2116" ht="30.75" customHeight="1" thickBot="1" x14ac:dyDescent="0.25"/>
    <row r="2117" ht="30.75" customHeight="1" thickBot="1" x14ac:dyDescent="0.25"/>
    <row r="2118" ht="30.75" customHeight="1" thickBot="1" x14ac:dyDescent="0.25"/>
    <row r="2119" ht="30.75" customHeight="1" thickBot="1" x14ac:dyDescent="0.25"/>
    <row r="2120" ht="30.75" customHeight="1" thickBot="1" x14ac:dyDescent="0.25"/>
    <row r="2121" ht="30.75" customHeight="1" thickBot="1" x14ac:dyDescent="0.25"/>
    <row r="2122" ht="30.75" customHeight="1" thickBot="1" x14ac:dyDescent="0.25"/>
    <row r="2123" ht="30.75" customHeight="1" thickBot="1" x14ac:dyDescent="0.25"/>
    <row r="2124" ht="30.75" customHeight="1" thickBot="1" x14ac:dyDescent="0.25"/>
    <row r="2125" ht="30.75" customHeight="1" thickBot="1" x14ac:dyDescent="0.25"/>
    <row r="2126" ht="30.75" customHeight="1" thickBot="1" x14ac:dyDescent="0.25"/>
    <row r="2127" ht="30.75" customHeight="1" thickBot="1" x14ac:dyDescent="0.25"/>
    <row r="2128" ht="30.75" customHeight="1" thickBot="1" x14ac:dyDescent="0.25"/>
    <row r="2129" ht="30.75" customHeight="1" thickBot="1" x14ac:dyDescent="0.25"/>
    <row r="2130" ht="30.75" customHeight="1" thickBot="1" x14ac:dyDescent="0.25"/>
    <row r="2131" ht="30.75" customHeight="1" thickBot="1" x14ac:dyDescent="0.25"/>
    <row r="2132" ht="30.75" customHeight="1" thickBot="1" x14ac:dyDescent="0.25"/>
    <row r="2133" ht="30.75" customHeight="1" thickBot="1" x14ac:dyDescent="0.25"/>
    <row r="2134" ht="30.75" customHeight="1" thickBot="1" x14ac:dyDescent="0.25"/>
    <row r="2135" ht="30.75" customHeight="1" thickBot="1" x14ac:dyDescent="0.25"/>
    <row r="2136" ht="30.75" customHeight="1" thickBot="1" x14ac:dyDescent="0.25"/>
    <row r="2137" ht="30.75" customHeight="1" thickBot="1" x14ac:dyDescent="0.25"/>
    <row r="2138" ht="30.75" customHeight="1" thickBot="1" x14ac:dyDescent="0.25"/>
    <row r="2139" ht="30.75" customHeight="1" thickBot="1" x14ac:dyDescent="0.25"/>
    <row r="2140" ht="30.75" customHeight="1" thickBot="1" x14ac:dyDescent="0.25"/>
    <row r="2141" ht="30.75" customHeight="1" thickBot="1" x14ac:dyDescent="0.25"/>
    <row r="2142" ht="30.75" customHeight="1" thickBot="1" x14ac:dyDescent="0.25"/>
    <row r="2143" ht="30.75" customHeight="1" thickBot="1" x14ac:dyDescent="0.25"/>
    <row r="2144" ht="30.75" customHeight="1" thickBot="1" x14ac:dyDescent="0.25"/>
    <row r="2145" ht="30.75" customHeight="1" thickBot="1" x14ac:dyDescent="0.25"/>
    <row r="2146" ht="30.75" customHeight="1" thickBot="1" x14ac:dyDescent="0.25"/>
    <row r="2147" ht="30.75" customHeight="1" thickBot="1" x14ac:dyDescent="0.25"/>
    <row r="2148" ht="30.75" customHeight="1" thickBot="1" x14ac:dyDescent="0.25"/>
    <row r="2149" ht="30.75" customHeight="1" thickBot="1" x14ac:dyDescent="0.25"/>
    <row r="2150" ht="30.75" customHeight="1" thickBot="1" x14ac:dyDescent="0.25"/>
    <row r="2151" ht="30.75" customHeight="1" thickBot="1" x14ac:dyDescent="0.25"/>
    <row r="2152" ht="30.75" customHeight="1" thickBot="1" x14ac:dyDescent="0.25"/>
    <row r="2153" ht="30.75" customHeight="1" thickBot="1" x14ac:dyDescent="0.25"/>
    <row r="2154" ht="30.75" customHeight="1" thickBot="1" x14ac:dyDescent="0.25"/>
    <row r="2155" ht="30.75" customHeight="1" thickBot="1" x14ac:dyDescent="0.25"/>
    <row r="2156" ht="30.75" customHeight="1" thickBot="1" x14ac:dyDescent="0.25"/>
    <row r="2157" ht="30.75" customHeight="1" thickBot="1" x14ac:dyDescent="0.25"/>
    <row r="2158" ht="30.75" customHeight="1" thickBot="1" x14ac:dyDescent="0.25"/>
    <row r="2159" ht="30.75" customHeight="1" thickBot="1" x14ac:dyDescent="0.25"/>
    <row r="2160" ht="30.75" customHeight="1" thickBot="1" x14ac:dyDescent="0.25"/>
    <row r="2161" ht="30.75" customHeight="1" thickBot="1" x14ac:dyDescent="0.25"/>
    <row r="2162" ht="30.75" customHeight="1" thickBot="1" x14ac:dyDescent="0.25"/>
    <row r="2163" ht="30.75" customHeight="1" thickBot="1" x14ac:dyDescent="0.25"/>
    <row r="2164" ht="30.75" customHeight="1" thickBot="1" x14ac:dyDescent="0.25"/>
    <row r="2165" ht="30.75" customHeight="1" thickBot="1" x14ac:dyDescent="0.25"/>
    <row r="2166" ht="30.75" customHeight="1" thickBot="1" x14ac:dyDescent="0.25"/>
    <row r="2167" ht="30.75" customHeight="1" thickBot="1" x14ac:dyDescent="0.25"/>
    <row r="2168" ht="30.75" customHeight="1" thickBot="1" x14ac:dyDescent="0.25"/>
    <row r="2169" ht="30.75" customHeight="1" thickBot="1" x14ac:dyDescent="0.25"/>
    <row r="2170" ht="30.75" customHeight="1" thickBot="1" x14ac:dyDescent="0.25"/>
    <row r="2171" ht="30.75" customHeight="1" thickBot="1" x14ac:dyDescent="0.25"/>
    <row r="2172" ht="30.75" customHeight="1" thickBot="1" x14ac:dyDescent="0.25"/>
    <row r="2173" ht="30.75" customHeight="1" thickBot="1" x14ac:dyDescent="0.25"/>
    <row r="2174" ht="30.75" customHeight="1" thickBot="1" x14ac:dyDescent="0.25"/>
    <row r="2175" ht="30.75" customHeight="1" thickBot="1" x14ac:dyDescent="0.25"/>
    <row r="2176" ht="30.75" customHeight="1" thickBot="1" x14ac:dyDescent="0.25"/>
    <row r="2177" ht="30.75" customHeight="1" thickBot="1" x14ac:dyDescent="0.25"/>
    <row r="2178" ht="30.75" customHeight="1" thickBot="1" x14ac:dyDescent="0.25"/>
    <row r="2179" ht="30.75" customHeight="1" thickBot="1" x14ac:dyDescent="0.25"/>
    <row r="2180" ht="30.75" customHeight="1" thickBot="1" x14ac:dyDescent="0.25"/>
    <row r="2181" ht="30.75" customHeight="1" thickBot="1" x14ac:dyDescent="0.25"/>
    <row r="2182" ht="30.75" customHeight="1" thickBot="1" x14ac:dyDescent="0.25"/>
    <row r="2183" ht="30.75" customHeight="1" thickBot="1" x14ac:dyDescent="0.25"/>
    <row r="2184" ht="30.75" customHeight="1" thickBot="1" x14ac:dyDescent="0.25"/>
    <row r="2185" ht="30.75" customHeight="1" thickBot="1" x14ac:dyDescent="0.25"/>
    <row r="2186" ht="30.75" customHeight="1" thickBot="1" x14ac:dyDescent="0.25"/>
    <row r="2187" ht="30.75" customHeight="1" thickBot="1" x14ac:dyDescent="0.25"/>
    <row r="2188" ht="30.75" customHeight="1" thickBot="1" x14ac:dyDescent="0.25"/>
    <row r="2189" ht="30.75" customHeight="1" thickBot="1" x14ac:dyDescent="0.25"/>
    <row r="2190" ht="30.75" customHeight="1" thickBot="1" x14ac:dyDescent="0.25"/>
    <row r="2191" ht="30.75" customHeight="1" thickBot="1" x14ac:dyDescent="0.25"/>
    <row r="2192" ht="30.75" customHeight="1" thickBot="1" x14ac:dyDescent="0.25"/>
    <row r="2193" ht="30.75" customHeight="1" thickBot="1" x14ac:dyDescent="0.25"/>
    <row r="2194" ht="30.75" customHeight="1" thickBot="1" x14ac:dyDescent="0.25"/>
    <row r="2195" ht="30.75" customHeight="1" thickBot="1" x14ac:dyDescent="0.25"/>
    <row r="2196" ht="30.75" customHeight="1" thickBot="1" x14ac:dyDescent="0.25"/>
    <row r="2197" ht="30.75" customHeight="1" thickBot="1" x14ac:dyDescent="0.25"/>
    <row r="2198" ht="30.75" customHeight="1" thickBot="1" x14ac:dyDescent="0.25"/>
    <row r="2199" ht="30.75" customHeight="1" thickBot="1" x14ac:dyDescent="0.25"/>
    <row r="2200" ht="30.75" customHeight="1" thickBot="1" x14ac:dyDescent="0.25"/>
    <row r="2201" ht="30.75" customHeight="1" thickBot="1" x14ac:dyDescent="0.25"/>
    <row r="2202" ht="30.75" customHeight="1" thickBot="1" x14ac:dyDescent="0.25"/>
    <row r="2203" ht="30.75" customHeight="1" thickBot="1" x14ac:dyDescent="0.25"/>
    <row r="2204" ht="30.75" customHeight="1" thickBot="1" x14ac:dyDescent="0.25"/>
    <row r="2205" ht="30.75" customHeight="1" thickBot="1" x14ac:dyDescent="0.25"/>
    <row r="2206" ht="30.75" customHeight="1" thickBot="1" x14ac:dyDescent="0.25"/>
    <row r="2207" ht="30.75" customHeight="1" thickBot="1" x14ac:dyDescent="0.25"/>
    <row r="2208" ht="30.75" customHeight="1" thickBot="1" x14ac:dyDescent="0.25"/>
    <row r="2209" ht="30.75" customHeight="1" thickBot="1" x14ac:dyDescent="0.25"/>
    <row r="2210" ht="30.75" customHeight="1" thickBot="1" x14ac:dyDescent="0.25"/>
    <row r="2211" ht="30.75" customHeight="1" thickBot="1" x14ac:dyDescent="0.25"/>
    <row r="2212" ht="30.75" customHeight="1" thickBot="1" x14ac:dyDescent="0.25"/>
    <row r="2213" ht="30.75" customHeight="1" thickBot="1" x14ac:dyDescent="0.25"/>
    <row r="2214" ht="30.75" customHeight="1" thickBot="1" x14ac:dyDescent="0.25"/>
    <row r="2215" ht="30.75" customHeight="1" thickBot="1" x14ac:dyDescent="0.25"/>
    <row r="2216" ht="30.75" customHeight="1" thickBot="1" x14ac:dyDescent="0.25"/>
    <row r="2217" ht="30.75" customHeight="1" thickBot="1" x14ac:dyDescent="0.25"/>
    <row r="2218" ht="30.75" customHeight="1" thickBot="1" x14ac:dyDescent="0.25"/>
    <row r="2219" ht="30.75" customHeight="1" thickBot="1" x14ac:dyDescent="0.25"/>
    <row r="2220" ht="30.75" customHeight="1" thickBot="1" x14ac:dyDescent="0.25"/>
    <row r="2221" ht="30.75" customHeight="1" thickBot="1" x14ac:dyDescent="0.25"/>
    <row r="2222" ht="30.75" customHeight="1" thickBot="1" x14ac:dyDescent="0.25"/>
    <row r="2223" ht="30.75" customHeight="1" thickBot="1" x14ac:dyDescent="0.25"/>
    <row r="2224" ht="30.75" customHeight="1" thickBot="1" x14ac:dyDescent="0.25"/>
    <row r="2225" ht="30.75" customHeight="1" thickBot="1" x14ac:dyDescent="0.25"/>
    <row r="2226" ht="30.75" customHeight="1" thickBot="1" x14ac:dyDescent="0.25"/>
    <row r="2227" ht="30.75" customHeight="1" thickBot="1" x14ac:dyDescent="0.25"/>
    <row r="2228" ht="30.75" customHeight="1" thickBot="1" x14ac:dyDescent="0.25"/>
    <row r="2229" ht="30.75" customHeight="1" thickBot="1" x14ac:dyDescent="0.25"/>
    <row r="2230" ht="30.75" customHeight="1" thickBot="1" x14ac:dyDescent="0.25"/>
    <row r="2231" ht="30.75" customHeight="1" thickBot="1" x14ac:dyDescent="0.25"/>
    <row r="2232" ht="30.75" customHeight="1" thickBot="1" x14ac:dyDescent="0.25"/>
    <row r="2233" ht="30.75" customHeight="1" thickBot="1" x14ac:dyDescent="0.25"/>
    <row r="2234" ht="30.75" customHeight="1" thickBot="1" x14ac:dyDescent="0.25"/>
    <row r="2235" ht="30.75" customHeight="1" thickBot="1" x14ac:dyDescent="0.25"/>
    <row r="2236" ht="30.75" customHeight="1" thickBot="1" x14ac:dyDescent="0.25"/>
    <row r="2237" ht="30.75" customHeight="1" thickBot="1" x14ac:dyDescent="0.25"/>
    <row r="2238" ht="30.75" customHeight="1" thickBot="1" x14ac:dyDescent="0.25"/>
    <row r="2239" ht="30.75" customHeight="1" thickBot="1" x14ac:dyDescent="0.25"/>
    <row r="2240" ht="30.75" customHeight="1" thickBot="1" x14ac:dyDescent="0.25"/>
    <row r="2241" ht="30.75" customHeight="1" thickBot="1" x14ac:dyDescent="0.25"/>
    <row r="2242" ht="30.75" customHeight="1" thickBot="1" x14ac:dyDescent="0.25"/>
    <row r="2243" ht="30.75" customHeight="1" thickBot="1" x14ac:dyDescent="0.25"/>
    <row r="2244" ht="30.75" customHeight="1" thickBot="1" x14ac:dyDescent="0.25"/>
    <row r="2245" ht="30.75" customHeight="1" thickBot="1" x14ac:dyDescent="0.25"/>
    <row r="2246" ht="30.75" customHeight="1" thickBot="1" x14ac:dyDescent="0.25"/>
    <row r="2247" ht="30.75" customHeight="1" thickBot="1" x14ac:dyDescent="0.25"/>
    <row r="2248" ht="30.75" customHeight="1" thickBot="1" x14ac:dyDescent="0.25"/>
    <row r="2249" ht="30.75" customHeight="1" thickBot="1" x14ac:dyDescent="0.25"/>
    <row r="2250" ht="30.75" customHeight="1" thickBot="1" x14ac:dyDescent="0.25"/>
    <row r="2251" ht="30.75" customHeight="1" thickBot="1" x14ac:dyDescent="0.25"/>
    <row r="2252" ht="30.75" customHeight="1" thickBot="1" x14ac:dyDescent="0.25"/>
    <row r="2253" ht="30.75" customHeight="1" thickBot="1" x14ac:dyDescent="0.25"/>
    <row r="2254" ht="30.75" customHeight="1" thickBot="1" x14ac:dyDescent="0.25"/>
    <row r="2255" ht="30.75" customHeight="1" thickBot="1" x14ac:dyDescent="0.25"/>
    <row r="2256" ht="30.75" customHeight="1" thickBot="1" x14ac:dyDescent="0.25"/>
    <row r="2257" ht="30.75" customHeight="1" thickBot="1" x14ac:dyDescent="0.25"/>
    <row r="2258" ht="30.75" customHeight="1" thickBot="1" x14ac:dyDescent="0.25"/>
    <row r="2259" ht="30.75" customHeight="1" thickBot="1" x14ac:dyDescent="0.25"/>
    <row r="2260" ht="30.75" customHeight="1" thickBot="1" x14ac:dyDescent="0.25"/>
    <row r="2261" ht="30.75" customHeight="1" thickBot="1" x14ac:dyDescent="0.25"/>
    <row r="2262" ht="30.75" customHeight="1" thickBot="1" x14ac:dyDescent="0.25"/>
    <row r="2263" ht="30.75" customHeight="1" thickBot="1" x14ac:dyDescent="0.25"/>
    <row r="2264" ht="30.75" customHeight="1" thickBot="1" x14ac:dyDescent="0.25"/>
    <row r="2265" ht="30.75" customHeight="1" thickBot="1" x14ac:dyDescent="0.25"/>
    <row r="2266" ht="30.75" customHeight="1" thickBot="1" x14ac:dyDescent="0.25"/>
    <row r="2267" ht="30.75" customHeight="1" thickBot="1" x14ac:dyDescent="0.25"/>
    <row r="2268" ht="30.75" customHeight="1" thickBot="1" x14ac:dyDescent="0.25"/>
    <row r="2269" ht="30.75" customHeight="1" thickBot="1" x14ac:dyDescent="0.25"/>
    <row r="2270" ht="30.75" customHeight="1" thickBot="1" x14ac:dyDescent="0.25"/>
    <row r="2271" ht="30.75" customHeight="1" thickBot="1" x14ac:dyDescent="0.25"/>
    <row r="2272" ht="30.75" customHeight="1" thickBot="1" x14ac:dyDescent="0.25"/>
    <row r="2273" ht="30.75" customHeight="1" thickBot="1" x14ac:dyDescent="0.25"/>
    <row r="2274" ht="30.75" customHeight="1" thickBot="1" x14ac:dyDescent="0.25"/>
    <row r="2275" ht="30.75" customHeight="1" thickBot="1" x14ac:dyDescent="0.25"/>
    <row r="2276" ht="30.75" customHeight="1" thickBot="1" x14ac:dyDescent="0.25"/>
    <row r="2277" ht="30.75" customHeight="1" thickBot="1" x14ac:dyDescent="0.25"/>
    <row r="2278" ht="30.75" customHeight="1" thickBot="1" x14ac:dyDescent="0.25"/>
    <row r="2279" ht="30.75" customHeight="1" thickBot="1" x14ac:dyDescent="0.25"/>
    <row r="2280" ht="30.75" customHeight="1" thickBot="1" x14ac:dyDescent="0.25"/>
    <row r="2281" ht="30.75" customHeight="1" thickBot="1" x14ac:dyDescent="0.25"/>
    <row r="2282" ht="30.75" customHeight="1" thickBot="1" x14ac:dyDescent="0.25"/>
    <row r="2283" ht="30.75" customHeight="1" thickBot="1" x14ac:dyDescent="0.25"/>
    <row r="2284" ht="30.75" customHeight="1" thickBot="1" x14ac:dyDescent="0.25"/>
    <row r="2285" ht="30.75" customHeight="1" thickBot="1" x14ac:dyDescent="0.25"/>
    <row r="2286" ht="30.75" customHeight="1" thickBot="1" x14ac:dyDescent="0.25"/>
    <row r="2287" ht="30.75" customHeight="1" thickBot="1" x14ac:dyDescent="0.25"/>
    <row r="2288" ht="30.75" customHeight="1" thickBot="1" x14ac:dyDescent="0.25"/>
    <row r="2289" ht="30.75" customHeight="1" thickBot="1" x14ac:dyDescent="0.25"/>
    <row r="2290" ht="30.75" customHeight="1" thickBot="1" x14ac:dyDescent="0.25"/>
    <row r="2291" ht="30.75" customHeight="1" thickBot="1" x14ac:dyDescent="0.25"/>
    <row r="2292" ht="30.75" customHeight="1" thickBot="1" x14ac:dyDescent="0.25"/>
    <row r="2293" ht="30.75" customHeight="1" thickBot="1" x14ac:dyDescent="0.25"/>
    <row r="2294" ht="30.75" customHeight="1" thickBot="1" x14ac:dyDescent="0.25"/>
    <row r="2295" ht="30.75" customHeight="1" thickBot="1" x14ac:dyDescent="0.25"/>
    <row r="2296" ht="30.75" customHeight="1" thickBot="1" x14ac:dyDescent="0.25"/>
    <row r="2297" ht="30.75" customHeight="1" thickBot="1" x14ac:dyDescent="0.25"/>
    <row r="2298" ht="30.75" customHeight="1" thickBot="1" x14ac:dyDescent="0.25"/>
    <row r="2299" ht="30.75" customHeight="1" thickBot="1" x14ac:dyDescent="0.25"/>
    <row r="2300" ht="30.75" customHeight="1" thickBot="1" x14ac:dyDescent="0.25"/>
    <row r="2301" ht="30.75" customHeight="1" thickBot="1" x14ac:dyDescent="0.25"/>
    <row r="2302" ht="30.75" customHeight="1" thickBot="1" x14ac:dyDescent="0.25"/>
    <row r="2303" ht="30.75" customHeight="1" thickBot="1" x14ac:dyDescent="0.25"/>
    <row r="2304" ht="30.75" customHeight="1" thickBot="1" x14ac:dyDescent="0.25"/>
    <row r="2305" ht="30.75" customHeight="1" thickBot="1" x14ac:dyDescent="0.25"/>
    <row r="2306" ht="30.75" customHeight="1" thickBot="1" x14ac:dyDescent="0.25"/>
    <row r="2307" ht="30.75" customHeight="1" thickBot="1" x14ac:dyDescent="0.25"/>
    <row r="2308" ht="30.75" customHeight="1" thickBot="1" x14ac:dyDescent="0.25"/>
    <row r="2309" ht="30.75" customHeight="1" thickBot="1" x14ac:dyDescent="0.25"/>
    <row r="2310" ht="30.75" customHeight="1" thickBot="1" x14ac:dyDescent="0.25"/>
    <row r="2311" ht="30.75" customHeight="1" thickBot="1" x14ac:dyDescent="0.25"/>
    <row r="2312" ht="30.75" customHeight="1" thickBot="1" x14ac:dyDescent="0.25"/>
    <row r="2313" ht="30.75" customHeight="1" thickBot="1" x14ac:dyDescent="0.25"/>
    <row r="2314" ht="30.75" customHeight="1" thickBot="1" x14ac:dyDescent="0.25"/>
    <row r="2315" ht="30.75" customHeight="1" thickBot="1" x14ac:dyDescent="0.25"/>
    <row r="2316" ht="30.75" customHeight="1" thickBot="1" x14ac:dyDescent="0.25"/>
    <row r="2317" ht="30.75" customHeight="1" thickBot="1" x14ac:dyDescent="0.25"/>
    <row r="2318" ht="30.75" customHeight="1" thickBot="1" x14ac:dyDescent="0.25"/>
    <row r="2319" ht="30.75" customHeight="1" thickBot="1" x14ac:dyDescent="0.25"/>
    <row r="2320" ht="30.75" customHeight="1" thickBot="1" x14ac:dyDescent="0.25"/>
    <row r="2321" ht="30.75" customHeight="1" thickBot="1" x14ac:dyDescent="0.25"/>
    <row r="2322" ht="30.75" customHeight="1" thickBot="1" x14ac:dyDescent="0.25"/>
    <row r="2323" ht="30.75" customHeight="1" thickBot="1" x14ac:dyDescent="0.25"/>
    <row r="2324" ht="30.75" customHeight="1" thickBot="1" x14ac:dyDescent="0.25"/>
    <row r="2325" ht="30.75" customHeight="1" thickBot="1" x14ac:dyDescent="0.25"/>
    <row r="2326" ht="30.75" customHeight="1" thickBot="1" x14ac:dyDescent="0.25"/>
    <row r="2327" ht="30.75" customHeight="1" thickBot="1" x14ac:dyDescent="0.25"/>
    <row r="2328" ht="30.75" customHeight="1" thickBot="1" x14ac:dyDescent="0.25"/>
    <row r="2329" ht="30.75" customHeight="1" thickBot="1" x14ac:dyDescent="0.25"/>
    <row r="2330" ht="30.75" customHeight="1" thickBot="1" x14ac:dyDescent="0.25"/>
    <row r="2331" ht="30.75" customHeight="1" thickBot="1" x14ac:dyDescent="0.25"/>
    <row r="2332" ht="30.75" customHeight="1" thickBot="1" x14ac:dyDescent="0.25"/>
    <row r="2333" ht="30.75" customHeight="1" thickBot="1" x14ac:dyDescent="0.25"/>
    <row r="2334" ht="30.75" customHeight="1" thickBot="1" x14ac:dyDescent="0.25"/>
    <row r="2335" ht="30.75" customHeight="1" thickBot="1" x14ac:dyDescent="0.25"/>
    <row r="2336" ht="30.75" customHeight="1" thickBot="1" x14ac:dyDescent="0.25"/>
    <row r="2337" ht="30.75" customHeight="1" thickBot="1" x14ac:dyDescent="0.25"/>
    <row r="2338" ht="30.75" customHeight="1" thickBot="1" x14ac:dyDescent="0.25"/>
    <row r="2339" ht="30.75" customHeight="1" thickBot="1" x14ac:dyDescent="0.25"/>
    <row r="2340" ht="30.75" customHeight="1" thickBot="1" x14ac:dyDescent="0.25"/>
    <row r="2341" ht="30.75" customHeight="1" thickBot="1" x14ac:dyDescent="0.25"/>
    <row r="2342" ht="30.75" customHeight="1" thickBot="1" x14ac:dyDescent="0.25"/>
    <row r="2343" ht="30.75" customHeight="1" thickBot="1" x14ac:dyDescent="0.25"/>
    <row r="2344" ht="30.75" customHeight="1" thickBot="1" x14ac:dyDescent="0.25"/>
    <row r="2345" ht="30.75" customHeight="1" thickBot="1" x14ac:dyDescent="0.25"/>
    <row r="2346" ht="30.75" customHeight="1" thickBot="1" x14ac:dyDescent="0.25"/>
    <row r="2347" ht="30.75" customHeight="1" thickBot="1" x14ac:dyDescent="0.25"/>
    <row r="2348" ht="30.75" customHeight="1" thickBot="1" x14ac:dyDescent="0.25"/>
    <row r="2349" ht="30.75" customHeight="1" thickBot="1" x14ac:dyDescent="0.25"/>
    <row r="2350" ht="30.75" customHeight="1" thickBot="1" x14ac:dyDescent="0.25"/>
    <row r="2351" ht="30.75" customHeight="1" thickBot="1" x14ac:dyDescent="0.25"/>
    <row r="2352" ht="30.75" customHeight="1" thickBot="1" x14ac:dyDescent="0.25"/>
    <row r="2353" ht="30.75" customHeight="1" thickBot="1" x14ac:dyDescent="0.25"/>
    <row r="2354" ht="30.75" customHeight="1" thickBot="1" x14ac:dyDescent="0.25"/>
    <row r="2355" ht="30.75" customHeight="1" thickBot="1" x14ac:dyDescent="0.25"/>
    <row r="2356" ht="30.75" customHeight="1" thickBot="1" x14ac:dyDescent="0.25"/>
    <row r="2357" ht="30.75" customHeight="1" thickBot="1" x14ac:dyDescent="0.25"/>
    <row r="2358" ht="30.75" customHeight="1" thickBot="1" x14ac:dyDescent="0.25"/>
    <row r="2359" ht="30.75" customHeight="1" thickBot="1" x14ac:dyDescent="0.25"/>
    <row r="2360" ht="30.75" customHeight="1" thickBot="1" x14ac:dyDescent="0.25"/>
    <row r="2361" ht="30.75" customHeight="1" thickBot="1" x14ac:dyDescent="0.25"/>
    <row r="2362" ht="30.75" customHeight="1" thickBot="1" x14ac:dyDescent="0.25"/>
    <row r="2363" ht="30.75" customHeight="1" thickBot="1" x14ac:dyDescent="0.25"/>
    <row r="2364" ht="30.75" customHeight="1" thickBot="1" x14ac:dyDescent="0.25"/>
    <row r="2365" ht="30.75" customHeight="1" thickBot="1" x14ac:dyDescent="0.25"/>
    <row r="2366" ht="30.75" customHeight="1" thickBot="1" x14ac:dyDescent="0.25"/>
    <row r="2367" ht="30.75" customHeight="1" thickBot="1" x14ac:dyDescent="0.25"/>
    <row r="2368" ht="30.75" customHeight="1" thickBot="1" x14ac:dyDescent="0.25"/>
    <row r="2369" ht="30.75" customHeight="1" thickBot="1" x14ac:dyDescent="0.25"/>
    <row r="2370" ht="30.75" customHeight="1" thickBot="1" x14ac:dyDescent="0.25"/>
    <row r="2371" ht="30.75" customHeight="1" thickBot="1" x14ac:dyDescent="0.25"/>
    <row r="2372" ht="30.75" customHeight="1" thickBot="1" x14ac:dyDescent="0.25"/>
    <row r="2373" ht="30.75" customHeight="1" thickBot="1" x14ac:dyDescent="0.25"/>
    <row r="2374" ht="30.75" customHeight="1" thickBot="1" x14ac:dyDescent="0.25"/>
    <row r="2375" ht="30.75" customHeight="1" thickBot="1" x14ac:dyDescent="0.25"/>
    <row r="2376" ht="30.75" customHeight="1" thickBot="1" x14ac:dyDescent="0.25"/>
    <row r="2377" ht="30.75" customHeight="1" thickBot="1" x14ac:dyDescent="0.25"/>
    <row r="2378" ht="30.75" customHeight="1" thickBot="1" x14ac:dyDescent="0.25"/>
    <row r="2379" ht="30.75" customHeight="1" thickBot="1" x14ac:dyDescent="0.25"/>
    <row r="2380" ht="30.75" customHeight="1" thickBot="1" x14ac:dyDescent="0.25"/>
    <row r="2381" ht="30.75" customHeight="1" thickBot="1" x14ac:dyDescent="0.25"/>
    <row r="2382" ht="30.75" customHeight="1" thickBot="1" x14ac:dyDescent="0.25"/>
    <row r="2383" ht="30.75" customHeight="1" thickBot="1" x14ac:dyDescent="0.25"/>
    <row r="2384" ht="30.75" customHeight="1" thickBot="1" x14ac:dyDescent="0.25"/>
    <row r="2385" ht="30.75" customHeight="1" thickBot="1" x14ac:dyDescent="0.25"/>
    <row r="2386" ht="30.75" customHeight="1" thickBot="1" x14ac:dyDescent="0.25"/>
    <row r="2387" ht="30.75" customHeight="1" thickBot="1" x14ac:dyDescent="0.25"/>
    <row r="2388" ht="30.75" customHeight="1" thickBot="1" x14ac:dyDescent="0.25"/>
    <row r="2389" ht="30.75" customHeight="1" thickBot="1" x14ac:dyDescent="0.25"/>
    <row r="2390" ht="30.75" customHeight="1" thickBot="1" x14ac:dyDescent="0.25"/>
    <row r="2391" ht="30.75" customHeight="1" thickBot="1" x14ac:dyDescent="0.25"/>
    <row r="2392" ht="30.75" customHeight="1" thickBot="1" x14ac:dyDescent="0.25"/>
    <row r="2393" ht="30.75" customHeight="1" thickBot="1" x14ac:dyDescent="0.25"/>
    <row r="2394" ht="30.75" customHeight="1" thickBot="1" x14ac:dyDescent="0.25"/>
    <row r="2395" ht="30.75" customHeight="1" thickBot="1" x14ac:dyDescent="0.25"/>
    <row r="2396" ht="30.75" customHeight="1" thickBot="1" x14ac:dyDescent="0.25"/>
    <row r="2397" ht="30.75" customHeight="1" thickBot="1" x14ac:dyDescent="0.25"/>
    <row r="2398" ht="30.75" customHeight="1" thickBot="1" x14ac:dyDescent="0.25"/>
    <row r="2399" ht="30.75" customHeight="1" thickBot="1" x14ac:dyDescent="0.25"/>
    <row r="2400" ht="30.75" customHeight="1" thickBot="1" x14ac:dyDescent="0.25"/>
    <row r="2401" ht="30.75" customHeight="1" thickBot="1" x14ac:dyDescent="0.25"/>
    <row r="2402" ht="30.75" customHeight="1" thickBot="1" x14ac:dyDescent="0.25"/>
    <row r="2403" ht="30.75" customHeight="1" thickBot="1" x14ac:dyDescent="0.25"/>
    <row r="2404" ht="30.75" customHeight="1" thickBot="1" x14ac:dyDescent="0.25"/>
    <row r="2405" ht="30.75" customHeight="1" thickBot="1" x14ac:dyDescent="0.25"/>
    <row r="2406" ht="30.75" customHeight="1" thickBot="1" x14ac:dyDescent="0.25"/>
    <row r="2407" ht="30.75" customHeight="1" thickBot="1" x14ac:dyDescent="0.25"/>
    <row r="2408" ht="30.75" customHeight="1" thickBot="1" x14ac:dyDescent="0.25"/>
    <row r="2409" ht="30.75" customHeight="1" thickBot="1" x14ac:dyDescent="0.25"/>
    <row r="2410" ht="30.75" customHeight="1" thickBot="1" x14ac:dyDescent="0.25"/>
    <row r="2411" ht="30.75" customHeight="1" thickBot="1" x14ac:dyDescent="0.25"/>
    <row r="2412" ht="30.75" customHeight="1" thickBot="1" x14ac:dyDescent="0.25"/>
    <row r="2413" ht="30.75" customHeight="1" thickBot="1" x14ac:dyDescent="0.25"/>
    <row r="2414" ht="30.75" customHeight="1" thickBot="1" x14ac:dyDescent="0.25"/>
    <row r="2415" ht="30.75" customHeight="1" thickBot="1" x14ac:dyDescent="0.25"/>
    <row r="2416" ht="30.75" customHeight="1" thickBot="1" x14ac:dyDescent="0.25"/>
    <row r="2417" ht="30.75" customHeight="1" thickBot="1" x14ac:dyDescent="0.25"/>
    <row r="2418" ht="30.75" customHeight="1" thickBot="1" x14ac:dyDescent="0.25"/>
    <row r="2419" ht="30.75" customHeight="1" thickBot="1" x14ac:dyDescent="0.25"/>
    <row r="2420" ht="30.75" customHeight="1" thickBot="1" x14ac:dyDescent="0.25"/>
    <row r="2421" ht="30.75" customHeight="1" thickBot="1" x14ac:dyDescent="0.25"/>
    <row r="2422" ht="30.75" customHeight="1" thickBot="1" x14ac:dyDescent="0.25"/>
    <row r="2423" ht="30.75" customHeight="1" thickBot="1" x14ac:dyDescent="0.25"/>
    <row r="2424" ht="30.75" customHeight="1" thickBot="1" x14ac:dyDescent="0.25"/>
    <row r="2425" ht="30.75" customHeight="1" thickBot="1" x14ac:dyDescent="0.25"/>
    <row r="2426" ht="30.75" customHeight="1" thickBot="1" x14ac:dyDescent="0.25"/>
    <row r="2427" ht="30.75" customHeight="1" thickBot="1" x14ac:dyDescent="0.25"/>
    <row r="2428" ht="30.75" customHeight="1" thickBot="1" x14ac:dyDescent="0.25"/>
    <row r="2429" ht="30.75" customHeight="1" thickBot="1" x14ac:dyDescent="0.25"/>
    <row r="2430" ht="30.75" customHeight="1" thickBot="1" x14ac:dyDescent="0.25"/>
    <row r="2431" ht="30.75" customHeight="1" thickBot="1" x14ac:dyDescent="0.25"/>
    <row r="2432" ht="30.75" customHeight="1" thickBot="1" x14ac:dyDescent="0.25"/>
    <row r="2433" ht="30.75" customHeight="1" thickBot="1" x14ac:dyDescent="0.25"/>
    <row r="2434" ht="30.75" customHeight="1" thickBot="1" x14ac:dyDescent="0.25"/>
    <row r="2435" ht="30.75" customHeight="1" thickBot="1" x14ac:dyDescent="0.25"/>
    <row r="2436" ht="30.75" customHeight="1" thickBot="1" x14ac:dyDescent="0.25"/>
    <row r="2437" ht="30.75" customHeight="1" thickBot="1" x14ac:dyDescent="0.25"/>
    <row r="2438" ht="30.75" customHeight="1" thickBot="1" x14ac:dyDescent="0.25"/>
    <row r="2439" ht="30.75" customHeight="1" thickBot="1" x14ac:dyDescent="0.25"/>
    <row r="2440" ht="30.75" customHeight="1" thickBot="1" x14ac:dyDescent="0.25"/>
    <row r="2441" ht="30.75" customHeight="1" thickBot="1" x14ac:dyDescent="0.25"/>
    <row r="2442" ht="30.75" customHeight="1" thickBot="1" x14ac:dyDescent="0.25"/>
    <row r="2443" ht="30.75" customHeight="1" thickBot="1" x14ac:dyDescent="0.25"/>
    <row r="2444" ht="30.75" customHeight="1" thickBot="1" x14ac:dyDescent="0.25"/>
    <row r="2445" ht="30.75" customHeight="1" thickBot="1" x14ac:dyDescent="0.25"/>
    <row r="2446" ht="30.75" customHeight="1" thickBot="1" x14ac:dyDescent="0.25"/>
    <row r="2447" ht="30.75" customHeight="1" thickBot="1" x14ac:dyDescent="0.25"/>
    <row r="2448" ht="30.75" customHeight="1" thickBot="1" x14ac:dyDescent="0.25"/>
    <row r="2449" ht="30.75" customHeight="1" thickBot="1" x14ac:dyDescent="0.25"/>
    <row r="2450" ht="30.75" customHeight="1" thickBot="1" x14ac:dyDescent="0.25"/>
    <row r="2451" ht="30.75" customHeight="1" thickBot="1" x14ac:dyDescent="0.25"/>
    <row r="2452" ht="30.75" customHeight="1" thickBot="1" x14ac:dyDescent="0.25"/>
    <row r="2453" ht="30.75" customHeight="1" thickBot="1" x14ac:dyDescent="0.25"/>
    <row r="2454" ht="30.75" customHeight="1" thickBot="1" x14ac:dyDescent="0.25"/>
    <row r="2455" ht="30.75" customHeight="1" thickBot="1" x14ac:dyDescent="0.25"/>
    <row r="2456" ht="30.75" customHeight="1" thickBot="1" x14ac:dyDescent="0.25"/>
    <row r="2457" ht="30.75" customHeight="1" thickBot="1" x14ac:dyDescent="0.25"/>
    <row r="2458" ht="30.75" customHeight="1" thickBot="1" x14ac:dyDescent="0.25"/>
    <row r="2459" ht="30.75" customHeight="1" thickBot="1" x14ac:dyDescent="0.25"/>
    <row r="2460" ht="30.75" customHeight="1" thickBot="1" x14ac:dyDescent="0.25"/>
    <row r="2461" ht="30.75" customHeight="1" thickBot="1" x14ac:dyDescent="0.25"/>
    <row r="2462" ht="30.75" customHeight="1" thickBot="1" x14ac:dyDescent="0.25"/>
    <row r="2463" ht="30.75" customHeight="1" thickBot="1" x14ac:dyDescent="0.25"/>
    <row r="2464" ht="30.75" customHeight="1" thickBot="1" x14ac:dyDescent="0.25"/>
    <row r="2465" ht="30.75" customHeight="1" thickBot="1" x14ac:dyDescent="0.25"/>
    <row r="2466" ht="30.75" customHeight="1" thickBot="1" x14ac:dyDescent="0.25"/>
    <row r="2467" ht="30.75" customHeight="1" thickBot="1" x14ac:dyDescent="0.25"/>
    <row r="2468" ht="30.75" customHeight="1" thickBot="1" x14ac:dyDescent="0.25"/>
    <row r="2469" ht="30.75" customHeight="1" thickBot="1" x14ac:dyDescent="0.25"/>
    <row r="2470" ht="30.75" customHeight="1" thickBot="1" x14ac:dyDescent="0.25"/>
    <row r="2471" ht="30.75" customHeight="1" thickBot="1" x14ac:dyDescent="0.25"/>
    <row r="2472" ht="30.75" customHeight="1" thickBot="1" x14ac:dyDescent="0.25"/>
    <row r="2473" ht="30.75" customHeight="1" thickBot="1" x14ac:dyDescent="0.25"/>
    <row r="2474" ht="30.75" customHeight="1" thickBot="1" x14ac:dyDescent="0.25"/>
    <row r="2475" ht="30.75" customHeight="1" thickBot="1" x14ac:dyDescent="0.25"/>
    <row r="2476" ht="30.75" customHeight="1" thickBot="1" x14ac:dyDescent="0.25"/>
    <row r="2477" ht="30.75" customHeight="1" thickBot="1" x14ac:dyDescent="0.25"/>
    <row r="2478" ht="30.75" customHeight="1" thickBot="1" x14ac:dyDescent="0.25"/>
    <row r="2479" ht="30.75" customHeight="1" thickBot="1" x14ac:dyDescent="0.25"/>
    <row r="2480" ht="30.75" customHeight="1" thickBot="1" x14ac:dyDescent="0.25"/>
    <row r="2481" ht="30.75" customHeight="1" thickBot="1" x14ac:dyDescent="0.25"/>
    <row r="2482" ht="30.75" customHeight="1" thickBot="1" x14ac:dyDescent="0.25"/>
    <row r="2483" ht="30.75" customHeight="1" thickBot="1" x14ac:dyDescent="0.25"/>
    <row r="2484" ht="30.75" customHeight="1" thickBot="1" x14ac:dyDescent="0.25"/>
    <row r="2485" ht="30.75" customHeight="1" thickBot="1" x14ac:dyDescent="0.25"/>
    <row r="2486" ht="30.75" customHeight="1" thickBot="1" x14ac:dyDescent="0.25"/>
    <row r="2487" ht="30.75" customHeight="1" thickBot="1" x14ac:dyDescent="0.25"/>
    <row r="2488" ht="30.75" customHeight="1" thickBot="1" x14ac:dyDescent="0.25"/>
    <row r="2489" ht="30.75" customHeight="1" thickBot="1" x14ac:dyDescent="0.25"/>
    <row r="2490" ht="30.75" customHeight="1" thickBot="1" x14ac:dyDescent="0.25"/>
    <row r="2491" ht="30.75" customHeight="1" thickBot="1" x14ac:dyDescent="0.25"/>
    <row r="2492" ht="30.75" customHeight="1" thickBot="1" x14ac:dyDescent="0.25"/>
    <row r="2493" ht="30.75" customHeight="1" thickBot="1" x14ac:dyDescent="0.25"/>
    <row r="2494" ht="30.75" customHeight="1" thickBot="1" x14ac:dyDescent="0.25"/>
    <row r="2495" ht="30.75" customHeight="1" thickBot="1" x14ac:dyDescent="0.25"/>
    <row r="2496" ht="30.75" customHeight="1" thickBot="1" x14ac:dyDescent="0.25"/>
    <row r="2497" ht="30.75" customHeight="1" thickBot="1" x14ac:dyDescent="0.25"/>
    <row r="2498" ht="30.75" customHeight="1" thickBot="1" x14ac:dyDescent="0.25"/>
    <row r="2499" ht="30.75" customHeight="1" thickBot="1" x14ac:dyDescent="0.25"/>
    <row r="2500" ht="30.75" customHeight="1" thickBot="1" x14ac:dyDescent="0.25"/>
    <row r="2501" ht="30.75" customHeight="1" thickBot="1" x14ac:dyDescent="0.25"/>
    <row r="2502" ht="30.75" customHeight="1" thickBot="1" x14ac:dyDescent="0.25"/>
    <row r="2503" ht="30.75" customHeight="1" thickBot="1" x14ac:dyDescent="0.25"/>
    <row r="2504" ht="30.75" customHeight="1" thickBot="1" x14ac:dyDescent="0.25"/>
    <row r="2505" ht="30.75" customHeight="1" thickBot="1" x14ac:dyDescent="0.25"/>
    <row r="2506" ht="30.75" customHeight="1" thickBot="1" x14ac:dyDescent="0.25"/>
    <row r="2507" ht="30.75" customHeight="1" thickBot="1" x14ac:dyDescent="0.25"/>
    <row r="2508" ht="30.75" customHeight="1" thickBot="1" x14ac:dyDescent="0.25"/>
    <row r="2509" ht="30.75" customHeight="1" thickBot="1" x14ac:dyDescent="0.25"/>
    <row r="2510" ht="30.75" customHeight="1" thickBot="1" x14ac:dyDescent="0.25"/>
    <row r="2511" ht="30.75" customHeight="1" thickBot="1" x14ac:dyDescent="0.25"/>
    <row r="2512" ht="30.75" customHeight="1" thickBot="1" x14ac:dyDescent="0.25"/>
    <row r="2513" ht="30.75" customHeight="1" thickBot="1" x14ac:dyDescent="0.25"/>
    <row r="2514" ht="30.75" customHeight="1" thickBot="1" x14ac:dyDescent="0.25"/>
    <row r="2515" ht="30.75" customHeight="1" thickBot="1" x14ac:dyDescent="0.25"/>
    <row r="2516" ht="30.75" customHeight="1" thickBot="1" x14ac:dyDescent="0.25"/>
    <row r="2517" ht="30.75" customHeight="1" thickBot="1" x14ac:dyDescent="0.25"/>
    <row r="2518" ht="30.75" customHeight="1" thickBot="1" x14ac:dyDescent="0.25"/>
    <row r="2519" ht="30.75" customHeight="1" thickBot="1" x14ac:dyDescent="0.25"/>
    <row r="2520" ht="30.75" customHeight="1" thickBot="1" x14ac:dyDescent="0.25"/>
    <row r="2521" ht="30.75" customHeight="1" thickBot="1" x14ac:dyDescent="0.25"/>
    <row r="2522" ht="30.75" customHeight="1" thickBot="1" x14ac:dyDescent="0.25"/>
    <row r="2523" ht="30.75" customHeight="1" thickBot="1" x14ac:dyDescent="0.25"/>
    <row r="2524" ht="30.75" customHeight="1" thickBot="1" x14ac:dyDescent="0.25"/>
    <row r="2525" ht="30.75" customHeight="1" thickBot="1" x14ac:dyDescent="0.25"/>
    <row r="2526" ht="30.75" customHeight="1" thickBot="1" x14ac:dyDescent="0.25"/>
    <row r="2527" ht="30.75" customHeight="1" thickBot="1" x14ac:dyDescent="0.25"/>
    <row r="2528" ht="30.75" customHeight="1" thickBot="1" x14ac:dyDescent="0.25"/>
    <row r="2529" ht="30.75" customHeight="1" thickBot="1" x14ac:dyDescent="0.25"/>
    <row r="2530" ht="30.75" customHeight="1" thickBot="1" x14ac:dyDescent="0.25"/>
    <row r="2531" ht="30.75" customHeight="1" thickBot="1" x14ac:dyDescent="0.25"/>
    <row r="2532" ht="30.75" customHeight="1" thickBot="1" x14ac:dyDescent="0.25"/>
    <row r="2533" ht="30.75" customHeight="1" thickBot="1" x14ac:dyDescent="0.25"/>
    <row r="2534" ht="30.75" customHeight="1" thickBot="1" x14ac:dyDescent="0.25"/>
    <row r="2535" ht="30.75" customHeight="1" thickBot="1" x14ac:dyDescent="0.25"/>
    <row r="2536" ht="30.75" customHeight="1" thickBot="1" x14ac:dyDescent="0.25"/>
    <row r="2537" ht="30.75" customHeight="1" thickBot="1" x14ac:dyDescent="0.25"/>
    <row r="2538" ht="30.75" customHeight="1" thickBot="1" x14ac:dyDescent="0.25"/>
    <row r="2539" ht="30.75" customHeight="1" thickBot="1" x14ac:dyDescent="0.25"/>
    <row r="2540" ht="30.75" customHeight="1" thickBot="1" x14ac:dyDescent="0.25"/>
    <row r="2541" ht="30.75" customHeight="1" thickBot="1" x14ac:dyDescent="0.25"/>
    <row r="2542" ht="30.75" customHeight="1" thickBot="1" x14ac:dyDescent="0.25"/>
    <row r="2543" ht="30.75" customHeight="1" thickBot="1" x14ac:dyDescent="0.25"/>
    <row r="2544" ht="30.75" customHeight="1" thickBot="1" x14ac:dyDescent="0.25"/>
    <row r="2545" ht="30.75" customHeight="1" thickBot="1" x14ac:dyDescent="0.25"/>
    <row r="2546" ht="30.75" customHeight="1" thickBot="1" x14ac:dyDescent="0.25"/>
    <row r="2547" ht="30.75" customHeight="1" thickBot="1" x14ac:dyDescent="0.25"/>
    <row r="2548" ht="30.75" customHeight="1" thickBot="1" x14ac:dyDescent="0.25"/>
    <row r="2549" ht="30.75" customHeight="1" thickBot="1" x14ac:dyDescent="0.25"/>
    <row r="2550" ht="30.75" customHeight="1" thickBot="1" x14ac:dyDescent="0.25"/>
    <row r="2551" ht="30.75" customHeight="1" thickBot="1" x14ac:dyDescent="0.25"/>
    <row r="2552" ht="30.75" customHeight="1" thickBot="1" x14ac:dyDescent="0.25"/>
    <row r="2553" ht="30.75" customHeight="1" thickBot="1" x14ac:dyDescent="0.25"/>
    <row r="2554" ht="30.75" customHeight="1" thickBot="1" x14ac:dyDescent="0.25"/>
    <row r="2555" ht="30.75" customHeight="1" thickBot="1" x14ac:dyDescent="0.25"/>
    <row r="2556" ht="30.75" customHeight="1" thickBot="1" x14ac:dyDescent="0.25"/>
    <row r="2557" ht="30.75" customHeight="1" thickBot="1" x14ac:dyDescent="0.25"/>
    <row r="2558" ht="30.75" customHeight="1" thickBot="1" x14ac:dyDescent="0.25"/>
    <row r="2559" ht="30.75" customHeight="1" thickBot="1" x14ac:dyDescent="0.25"/>
    <row r="2560" ht="30.75" customHeight="1" thickBot="1" x14ac:dyDescent="0.25"/>
    <row r="2561" ht="30.75" customHeight="1" thickBot="1" x14ac:dyDescent="0.25"/>
    <row r="2562" ht="30.75" customHeight="1" thickBot="1" x14ac:dyDescent="0.25"/>
    <row r="2563" ht="30.75" customHeight="1" thickBot="1" x14ac:dyDescent="0.25"/>
    <row r="2564" ht="30.75" customHeight="1" thickBot="1" x14ac:dyDescent="0.25"/>
    <row r="2565" ht="30.75" customHeight="1" thickBot="1" x14ac:dyDescent="0.25"/>
    <row r="2566" ht="30.75" customHeight="1" thickBot="1" x14ac:dyDescent="0.25"/>
    <row r="2567" ht="30.75" customHeight="1" thickBot="1" x14ac:dyDescent="0.25"/>
    <row r="2568" ht="30.75" customHeight="1" thickBot="1" x14ac:dyDescent="0.25"/>
    <row r="2569" ht="30.75" customHeight="1" thickBot="1" x14ac:dyDescent="0.25"/>
    <row r="2570" ht="30.75" customHeight="1" thickBot="1" x14ac:dyDescent="0.25"/>
    <row r="2571" ht="30.75" customHeight="1" thickBot="1" x14ac:dyDescent="0.25"/>
    <row r="2572" ht="30.75" customHeight="1" thickBot="1" x14ac:dyDescent="0.25"/>
    <row r="2573" ht="30.75" customHeight="1" thickBot="1" x14ac:dyDescent="0.25"/>
    <row r="2574" ht="30.75" customHeight="1" thickBot="1" x14ac:dyDescent="0.25"/>
    <row r="2575" ht="30.75" customHeight="1" thickBot="1" x14ac:dyDescent="0.25"/>
    <row r="2576" ht="30.75" customHeight="1" thickBot="1" x14ac:dyDescent="0.25"/>
    <row r="2577" ht="30.75" customHeight="1" thickBot="1" x14ac:dyDescent="0.25"/>
    <row r="2578" ht="30.75" customHeight="1" thickBot="1" x14ac:dyDescent="0.25"/>
    <row r="2579" ht="30.75" customHeight="1" thickBot="1" x14ac:dyDescent="0.25"/>
    <row r="2580" ht="30.75" customHeight="1" thickBot="1" x14ac:dyDescent="0.25"/>
    <row r="2581" ht="30.75" customHeight="1" thickBot="1" x14ac:dyDescent="0.25"/>
    <row r="2582" ht="30.75" customHeight="1" thickBot="1" x14ac:dyDescent="0.25"/>
    <row r="2583" ht="30.75" customHeight="1" thickBot="1" x14ac:dyDescent="0.25"/>
    <row r="2584" ht="30.75" customHeight="1" thickBot="1" x14ac:dyDescent="0.25"/>
    <row r="2585" ht="30.75" customHeight="1" thickBot="1" x14ac:dyDescent="0.25"/>
    <row r="2586" ht="30.75" customHeight="1" thickBot="1" x14ac:dyDescent="0.25"/>
    <row r="2587" ht="30.75" customHeight="1" thickBot="1" x14ac:dyDescent="0.25"/>
    <row r="2588" ht="30.75" customHeight="1" thickBot="1" x14ac:dyDescent="0.25"/>
    <row r="2589" ht="30.75" customHeight="1" thickBot="1" x14ac:dyDescent="0.25"/>
    <row r="2590" ht="30.75" customHeight="1" thickBot="1" x14ac:dyDescent="0.25"/>
    <row r="2591" ht="30.75" customHeight="1" thickBot="1" x14ac:dyDescent="0.25"/>
    <row r="2592" ht="30.75" customHeight="1" thickBot="1" x14ac:dyDescent="0.25"/>
    <row r="2593" ht="30.75" customHeight="1" thickBot="1" x14ac:dyDescent="0.25"/>
    <row r="2594" ht="30.75" customHeight="1" thickBot="1" x14ac:dyDescent="0.25"/>
    <row r="2595" ht="30.75" customHeight="1" thickBot="1" x14ac:dyDescent="0.25"/>
    <row r="2596" ht="30.75" customHeight="1" thickBot="1" x14ac:dyDescent="0.25"/>
    <row r="2597" ht="30.75" customHeight="1" thickBot="1" x14ac:dyDescent="0.25"/>
    <row r="2598" ht="30.75" customHeight="1" thickBot="1" x14ac:dyDescent="0.25"/>
    <row r="2599" ht="30.75" customHeight="1" thickBot="1" x14ac:dyDescent="0.25"/>
    <row r="2600" ht="30.75" customHeight="1" thickBot="1" x14ac:dyDescent="0.25"/>
    <row r="2601" ht="30.75" customHeight="1" thickBot="1" x14ac:dyDescent="0.25"/>
    <row r="2602" ht="30.75" customHeight="1" thickBot="1" x14ac:dyDescent="0.25"/>
    <row r="2603" ht="30.75" customHeight="1" thickBot="1" x14ac:dyDescent="0.25"/>
    <row r="2604" ht="30.75" customHeight="1" thickBot="1" x14ac:dyDescent="0.25"/>
    <row r="2605" ht="30.75" customHeight="1" thickBot="1" x14ac:dyDescent="0.25"/>
    <row r="2606" ht="30.75" customHeight="1" thickBot="1" x14ac:dyDescent="0.25"/>
    <row r="2607" ht="30.75" customHeight="1" thickBot="1" x14ac:dyDescent="0.25"/>
    <row r="2608" ht="30.75" customHeight="1" thickBot="1" x14ac:dyDescent="0.25"/>
    <row r="2609" ht="30.75" customHeight="1" thickBot="1" x14ac:dyDescent="0.25"/>
    <row r="2610" ht="30.75" customHeight="1" thickBot="1" x14ac:dyDescent="0.25"/>
    <row r="2611" ht="30.75" customHeight="1" thickBot="1" x14ac:dyDescent="0.25"/>
    <row r="2612" ht="30.75" customHeight="1" thickBot="1" x14ac:dyDescent="0.25"/>
    <row r="2613" ht="30.75" customHeight="1" thickBot="1" x14ac:dyDescent="0.25"/>
    <row r="2614" ht="30.75" customHeight="1" thickBot="1" x14ac:dyDescent="0.25"/>
    <row r="2615" ht="30.75" customHeight="1" thickBot="1" x14ac:dyDescent="0.25"/>
    <row r="2616" ht="30.75" customHeight="1" thickBot="1" x14ac:dyDescent="0.25"/>
    <row r="2617" ht="30.75" customHeight="1" thickBot="1" x14ac:dyDescent="0.25"/>
    <row r="2618" ht="30.75" customHeight="1" thickBot="1" x14ac:dyDescent="0.25"/>
    <row r="2619" ht="30.75" customHeight="1" thickBot="1" x14ac:dyDescent="0.25"/>
    <row r="2620" ht="30.75" customHeight="1" thickBot="1" x14ac:dyDescent="0.25"/>
    <row r="2621" ht="30.75" customHeight="1" thickBot="1" x14ac:dyDescent="0.25"/>
    <row r="2622" ht="30.75" customHeight="1" thickBot="1" x14ac:dyDescent="0.25"/>
    <row r="2623" ht="30.75" customHeight="1" thickBot="1" x14ac:dyDescent="0.25"/>
    <row r="2624" ht="30.75" customHeight="1" thickBot="1" x14ac:dyDescent="0.25"/>
    <row r="2625" ht="30.75" customHeight="1" thickBot="1" x14ac:dyDescent="0.25"/>
    <row r="2626" ht="30.75" customHeight="1" thickBot="1" x14ac:dyDescent="0.25"/>
    <row r="2627" ht="30.75" customHeight="1" thickBot="1" x14ac:dyDescent="0.25"/>
    <row r="2628" ht="30.75" customHeight="1" thickBot="1" x14ac:dyDescent="0.25"/>
    <row r="2629" ht="30.75" customHeight="1" thickBot="1" x14ac:dyDescent="0.25"/>
    <row r="2630" ht="30.75" customHeight="1" thickBot="1" x14ac:dyDescent="0.25"/>
    <row r="2631" ht="30.75" customHeight="1" thickBot="1" x14ac:dyDescent="0.25"/>
    <row r="2632" ht="30.75" customHeight="1" thickBot="1" x14ac:dyDescent="0.25"/>
    <row r="2633" ht="30.75" customHeight="1" thickBot="1" x14ac:dyDescent="0.25"/>
    <row r="2634" ht="30.75" customHeight="1" thickBot="1" x14ac:dyDescent="0.25"/>
    <row r="2635" ht="30.75" customHeight="1" thickBot="1" x14ac:dyDescent="0.25"/>
    <row r="2636" ht="30.75" customHeight="1" thickBot="1" x14ac:dyDescent="0.25"/>
    <row r="2637" ht="30.75" customHeight="1" thickBot="1" x14ac:dyDescent="0.25"/>
    <row r="2638" ht="30.75" customHeight="1" thickBot="1" x14ac:dyDescent="0.25"/>
    <row r="2639" ht="30.75" customHeight="1" thickBot="1" x14ac:dyDescent="0.25"/>
    <row r="2640" ht="30.75" customHeight="1" thickBot="1" x14ac:dyDescent="0.25"/>
    <row r="2641" ht="30.75" customHeight="1" thickBot="1" x14ac:dyDescent="0.25"/>
    <row r="2642" ht="30.75" customHeight="1" thickBot="1" x14ac:dyDescent="0.25"/>
    <row r="2643" ht="30.75" customHeight="1" thickBot="1" x14ac:dyDescent="0.25"/>
    <row r="2644" ht="30.75" customHeight="1" thickBot="1" x14ac:dyDescent="0.25"/>
    <row r="2645" ht="30.75" customHeight="1" thickBot="1" x14ac:dyDescent="0.25"/>
    <row r="2646" ht="30.75" customHeight="1" thickBot="1" x14ac:dyDescent="0.25"/>
    <row r="2647" ht="30.75" customHeight="1" thickBot="1" x14ac:dyDescent="0.25"/>
    <row r="2648" ht="30.75" customHeight="1" thickBot="1" x14ac:dyDescent="0.25"/>
    <row r="2649" ht="30.75" customHeight="1" thickBot="1" x14ac:dyDescent="0.25"/>
    <row r="2650" ht="30.75" customHeight="1" thickBot="1" x14ac:dyDescent="0.25"/>
    <row r="2651" ht="30.75" customHeight="1" thickBot="1" x14ac:dyDescent="0.25"/>
    <row r="2652" ht="30.75" customHeight="1" thickBot="1" x14ac:dyDescent="0.25"/>
    <row r="2653" ht="30.75" customHeight="1" thickBot="1" x14ac:dyDescent="0.25"/>
    <row r="2654" ht="30.75" customHeight="1" thickBot="1" x14ac:dyDescent="0.25"/>
    <row r="2655" ht="30.75" customHeight="1" thickBot="1" x14ac:dyDescent="0.25"/>
    <row r="2656" ht="30.75" customHeight="1" thickBot="1" x14ac:dyDescent="0.25"/>
    <row r="2657" ht="30.75" customHeight="1" thickBot="1" x14ac:dyDescent="0.25"/>
    <row r="2658" ht="30.75" customHeight="1" thickBot="1" x14ac:dyDescent="0.25"/>
    <row r="2659" ht="30.75" customHeight="1" thickBot="1" x14ac:dyDescent="0.25"/>
    <row r="2660" ht="30.75" customHeight="1" thickBot="1" x14ac:dyDescent="0.25"/>
    <row r="2661" ht="30.75" customHeight="1" thickBot="1" x14ac:dyDescent="0.25"/>
    <row r="2662" ht="30.75" customHeight="1" thickBot="1" x14ac:dyDescent="0.25"/>
    <row r="2663" ht="30.75" customHeight="1" thickBot="1" x14ac:dyDescent="0.25"/>
    <row r="2664" ht="30.75" customHeight="1" thickBot="1" x14ac:dyDescent="0.25"/>
    <row r="2665" ht="30.75" customHeight="1" thickBot="1" x14ac:dyDescent="0.25"/>
    <row r="2666" ht="30.75" customHeight="1" thickBot="1" x14ac:dyDescent="0.25"/>
    <row r="2667" ht="30.75" customHeight="1" thickBot="1" x14ac:dyDescent="0.25"/>
    <row r="2668" ht="30.75" customHeight="1" thickBot="1" x14ac:dyDescent="0.25"/>
    <row r="2669" ht="30.75" customHeight="1" thickBot="1" x14ac:dyDescent="0.25"/>
    <row r="2670" ht="30.75" customHeight="1" thickBot="1" x14ac:dyDescent="0.25"/>
    <row r="2671" ht="30.75" customHeight="1" thickBot="1" x14ac:dyDescent="0.25"/>
    <row r="2672" ht="30.75" customHeight="1" thickBot="1" x14ac:dyDescent="0.25"/>
    <row r="2673" ht="30.75" customHeight="1" thickBot="1" x14ac:dyDescent="0.25"/>
    <row r="2674" ht="30.75" customHeight="1" thickBot="1" x14ac:dyDescent="0.25"/>
    <row r="2675" ht="30.75" customHeight="1" thickBot="1" x14ac:dyDescent="0.25"/>
    <row r="2676" ht="30.75" customHeight="1" thickBot="1" x14ac:dyDescent="0.25"/>
    <row r="2677" ht="30.75" customHeight="1" thickBot="1" x14ac:dyDescent="0.25"/>
    <row r="2678" ht="30.75" customHeight="1" thickBot="1" x14ac:dyDescent="0.25"/>
    <row r="2679" ht="30.75" customHeight="1" thickBot="1" x14ac:dyDescent="0.25"/>
    <row r="2680" ht="30.75" customHeight="1" thickBot="1" x14ac:dyDescent="0.25"/>
    <row r="2681" ht="30.75" customHeight="1" thickBot="1" x14ac:dyDescent="0.25"/>
    <row r="2682" ht="30.75" customHeight="1" thickBot="1" x14ac:dyDescent="0.25"/>
    <row r="2683" ht="30.75" customHeight="1" thickBot="1" x14ac:dyDescent="0.25"/>
    <row r="2684" ht="30.75" customHeight="1" thickBot="1" x14ac:dyDescent="0.25"/>
    <row r="2685" ht="30.75" customHeight="1" thickBot="1" x14ac:dyDescent="0.25"/>
    <row r="2686" ht="30.75" customHeight="1" thickBot="1" x14ac:dyDescent="0.25"/>
    <row r="2687" ht="30.75" customHeight="1" thickBot="1" x14ac:dyDescent="0.25"/>
    <row r="2688" ht="30.75" customHeight="1" thickBot="1" x14ac:dyDescent="0.25"/>
    <row r="2689" ht="30.75" customHeight="1" thickBot="1" x14ac:dyDescent="0.25"/>
    <row r="2690" ht="30.75" customHeight="1" thickBot="1" x14ac:dyDescent="0.25"/>
    <row r="2691" ht="30.75" customHeight="1" thickBot="1" x14ac:dyDescent="0.25"/>
    <row r="2692" ht="30.75" customHeight="1" thickBot="1" x14ac:dyDescent="0.25"/>
    <row r="2693" ht="30.75" customHeight="1" thickBot="1" x14ac:dyDescent="0.25"/>
    <row r="2694" ht="30.75" customHeight="1" thickBot="1" x14ac:dyDescent="0.25"/>
    <row r="2695" ht="30.75" customHeight="1" thickBot="1" x14ac:dyDescent="0.25"/>
    <row r="2696" ht="30.75" customHeight="1" thickBot="1" x14ac:dyDescent="0.25"/>
    <row r="2697" ht="30.75" customHeight="1" thickBot="1" x14ac:dyDescent="0.25"/>
    <row r="2698" ht="30.75" customHeight="1" thickBot="1" x14ac:dyDescent="0.25"/>
    <row r="2699" ht="30.75" customHeight="1" thickBot="1" x14ac:dyDescent="0.25"/>
    <row r="2700" ht="30.75" customHeight="1" thickBot="1" x14ac:dyDescent="0.25"/>
    <row r="2701" ht="30.75" customHeight="1" thickBot="1" x14ac:dyDescent="0.25"/>
    <row r="2702" ht="30.75" customHeight="1" thickBot="1" x14ac:dyDescent="0.25"/>
    <row r="2703" ht="30.75" customHeight="1" thickBot="1" x14ac:dyDescent="0.25"/>
    <row r="2704" ht="30.75" customHeight="1" thickBot="1" x14ac:dyDescent="0.25"/>
    <row r="2705" ht="30.75" customHeight="1" thickBot="1" x14ac:dyDescent="0.25"/>
    <row r="2706" ht="30.75" customHeight="1" thickBot="1" x14ac:dyDescent="0.25"/>
    <row r="2707" ht="30.75" customHeight="1" thickBot="1" x14ac:dyDescent="0.25"/>
    <row r="2708" ht="30.75" customHeight="1" thickBot="1" x14ac:dyDescent="0.25"/>
    <row r="2709" ht="30.75" customHeight="1" thickBot="1" x14ac:dyDescent="0.25"/>
    <row r="2710" ht="30.75" customHeight="1" thickBot="1" x14ac:dyDescent="0.25"/>
    <row r="2711" ht="30.75" customHeight="1" thickBot="1" x14ac:dyDescent="0.25"/>
    <row r="2712" ht="30.75" customHeight="1" thickBot="1" x14ac:dyDescent="0.25"/>
    <row r="2713" ht="30.75" customHeight="1" thickBot="1" x14ac:dyDescent="0.25"/>
    <row r="2714" ht="30.75" customHeight="1" thickBot="1" x14ac:dyDescent="0.25"/>
    <row r="2715" ht="30.75" customHeight="1" thickBot="1" x14ac:dyDescent="0.25"/>
    <row r="2716" ht="30.75" customHeight="1" thickBot="1" x14ac:dyDescent="0.25"/>
    <row r="2717" ht="30.75" customHeight="1" thickBot="1" x14ac:dyDescent="0.25"/>
    <row r="2718" ht="30.75" customHeight="1" thickBot="1" x14ac:dyDescent="0.25"/>
    <row r="2719" ht="30.75" customHeight="1" thickBot="1" x14ac:dyDescent="0.25"/>
    <row r="2720" ht="30.75" customHeight="1" thickBot="1" x14ac:dyDescent="0.25"/>
    <row r="2721" ht="30.75" customHeight="1" thickBot="1" x14ac:dyDescent="0.25"/>
    <row r="2722" ht="30.75" customHeight="1" thickBot="1" x14ac:dyDescent="0.25"/>
    <row r="2723" ht="30.75" customHeight="1" thickBot="1" x14ac:dyDescent="0.25"/>
    <row r="2724" ht="30.75" customHeight="1" thickBot="1" x14ac:dyDescent="0.25"/>
    <row r="2725" ht="30.75" customHeight="1" thickBot="1" x14ac:dyDescent="0.25"/>
    <row r="2726" ht="30.75" customHeight="1" thickBot="1" x14ac:dyDescent="0.25"/>
    <row r="2727" ht="30.75" customHeight="1" thickBot="1" x14ac:dyDescent="0.25"/>
    <row r="2728" ht="30.75" customHeight="1" thickBot="1" x14ac:dyDescent="0.25"/>
    <row r="2729" ht="30.75" customHeight="1" thickBot="1" x14ac:dyDescent="0.25"/>
    <row r="2730" ht="30.75" customHeight="1" thickBot="1" x14ac:dyDescent="0.25"/>
    <row r="2731" ht="30.75" customHeight="1" thickBot="1" x14ac:dyDescent="0.25"/>
    <row r="2732" ht="30.75" customHeight="1" thickBot="1" x14ac:dyDescent="0.25"/>
    <row r="2733" ht="30.75" customHeight="1" thickBot="1" x14ac:dyDescent="0.25"/>
    <row r="2734" ht="30.75" customHeight="1" thickBot="1" x14ac:dyDescent="0.25"/>
    <row r="2735" ht="30.75" customHeight="1" thickBot="1" x14ac:dyDescent="0.25"/>
    <row r="2736" ht="30.75" customHeight="1" thickBot="1" x14ac:dyDescent="0.25"/>
    <row r="2737" ht="30.75" customHeight="1" thickBot="1" x14ac:dyDescent="0.25"/>
    <row r="2738" ht="30.75" customHeight="1" thickBot="1" x14ac:dyDescent="0.25"/>
    <row r="2739" ht="30.75" customHeight="1" thickBot="1" x14ac:dyDescent="0.25"/>
    <row r="2740" ht="30.75" customHeight="1" thickBot="1" x14ac:dyDescent="0.25"/>
    <row r="2741" ht="30.75" customHeight="1" thickBot="1" x14ac:dyDescent="0.25"/>
    <row r="2742" ht="30.75" customHeight="1" thickBot="1" x14ac:dyDescent="0.25"/>
    <row r="2743" ht="30.75" customHeight="1" thickBot="1" x14ac:dyDescent="0.25"/>
    <row r="2744" ht="30.75" customHeight="1" thickBot="1" x14ac:dyDescent="0.25"/>
    <row r="2745" ht="30.75" customHeight="1" thickBot="1" x14ac:dyDescent="0.25"/>
    <row r="2746" ht="30.75" customHeight="1" thickBot="1" x14ac:dyDescent="0.25"/>
    <row r="2747" ht="30.75" customHeight="1" thickBot="1" x14ac:dyDescent="0.25"/>
    <row r="2748" ht="30.75" customHeight="1" thickBot="1" x14ac:dyDescent="0.25"/>
    <row r="2749" ht="30.75" customHeight="1" thickBot="1" x14ac:dyDescent="0.25"/>
    <row r="2750" ht="30.75" customHeight="1" thickBot="1" x14ac:dyDescent="0.25"/>
    <row r="2751" ht="30.75" customHeight="1" thickBot="1" x14ac:dyDescent="0.25"/>
    <row r="2752" ht="30.75" customHeight="1" thickBot="1" x14ac:dyDescent="0.25"/>
    <row r="2753" ht="30.75" customHeight="1" thickBot="1" x14ac:dyDescent="0.25"/>
    <row r="2754" ht="30.75" customHeight="1" thickBot="1" x14ac:dyDescent="0.25"/>
    <row r="2755" ht="30.75" customHeight="1" thickBot="1" x14ac:dyDescent="0.25"/>
    <row r="2756" ht="30.75" customHeight="1" thickBot="1" x14ac:dyDescent="0.25"/>
    <row r="2757" ht="30.75" customHeight="1" thickBot="1" x14ac:dyDescent="0.25"/>
    <row r="2758" ht="30.75" customHeight="1" thickBot="1" x14ac:dyDescent="0.25"/>
    <row r="2759" ht="30.75" customHeight="1" thickBot="1" x14ac:dyDescent="0.25"/>
    <row r="2760" ht="30.75" customHeight="1" thickBot="1" x14ac:dyDescent="0.25"/>
    <row r="2761" ht="30.75" customHeight="1" thickBot="1" x14ac:dyDescent="0.25"/>
    <row r="2762" ht="30.75" customHeight="1" thickBot="1" x14ac:dyDescent="0.25"/>
    <row r="2763" ht="30.75" customHeight="1" thickBot="1" x14ac:dyDescent="0.25"/>
    <row r="2764" ht="30.75" customHeight="1" thickBot="1" x14ac:dyDescent="0.25"/>
    <row r="2765" ht="30.75" customHeight="1" thickBot="1" x14ac:dyDescent="0.25"/>
    <row r="2766" ht="30.75" customHeight="1" thickBot="1" x14ac:dyDescent="0.25"/>
    <row r="2767" ht="30.75" customHeight="1" thickBot="1" x14ac:dyDescent="0.25"/>
    <row r="2768" ht="30.75" customHeight="1" thickBot="1" x14ac:dyDescent="0.25"/>
    <row r="2769" ht="30.75" customHeight="1" thickBot="1" x14ac:dyDescent="0.25"/>
    <row r="2770" ht="30.75" customHeight="1" thickBot="1" x14ac:dyDescent="0.25"/>
    <row r="2771" ht="30.75" customHeight="1" thickBot="1" x14ac:dyDescent="0.25"/>
    <row r="2772" ht="30.75" customHeight="1" thickBot="1" x14ac:dyDescent="0.25"/>
    <row r="2773" ht="30.75" customHeight="1" thickBot="1" x14ac:dyDescent="0.25"/>
    <row r="2774" ht="30.75" customHeight="1" thickBot="1" x14ac:dyDescent="0.25"/>
    <row r="2775" ht="30.75" customHeight="1" thickBot="1" x14ac:dyDescent="0.25"/>
    <row r="2776" ht="30.75" customHeight="1" thickBot="1" x14ac:dyDescent="0.25"/>
    <row r="2777" ht="30.75" customHeight="1" thickBot="1" x14ac:dyDescent="0.25"/>
    <row r="2778" ht="30.75" customHeight="1" thickBot="1" x14ac:dyDescent="0.25"/>
    <row r="2779" ht="30.75" customHeight="1" thickBot="1" x14ac:dyDescent="0.25"/>
    <row r="2780" ht="30.75" customHeight="1" thickBot="1" x14ac:dyDescent="0.25"/>
    <row r="2781" ht="30.75" customHeight="1" thickBot="1" x14ac:dyDescent="0.25"/>
    <row r="2782" ht="30.75" customHeight="1" thickBot="1" x14ac:dyDescent="0.25"/>
    <row r="2783" ht="30.75" customHeight="1" thickBot="1" x14ac:dyDescent="0.25"/>
    <row r="2784" ht="30.75" customHeight="1" thickBot="1" x14ac:dyDescent="0.25"/>
    <row r="2785" ht="30.75" customHeight="1" thickBot="1" x14ac:dyDescent="0.25"/>
    <row r="2786" ht="30.75" customHeight="1" thickBot="1" x14ac:dyDescent="0.25"/>
    <row r="2787" ht="30.75" customHeight="1" thickBot="1" x14ac:dyDescent="0.25"/>
    <row r="2788" ht="30.75" customHeight="1" thickBot="1" x14ac:dyDescent="0.25"/>
    <row r="2789" ht="30.75" customHeight="1" thickBot="1" x14ac:dyDescent="0.25"/>
    <row r="2790" ht="30.75" customHeight="1" thickBot="1" x14ac:dyDescent="0.25"/>
    <row r="2791" ht="30.75" customHeight="1" thickBot="1" x14ac:dyDescent="0.25"/>
    <row r="2792" ht="30.75" customHeight="1" thickBot="1" x14ac:dyDescent="0.25"/>
    <row r="2793" ht="30.75" customHeight="1" thickBot="1" x14ac:dyDescent="0.25"/>
    <row r="2794" ht="30.75" customHeight="1" thickBot="1" x14ac:dyDescent="0.25"/>
    <row r="2795" ht="30.75" customHeight="1" thickBot="1" x14ac:dyDescent="0.25"/>
    <row r="2796" ht="30.75" customHeight="1" thickBot="1" x14ac:dyDescent="0.25"/>
    <row r="2797" ht="30.75" customHeight="1" thickBot="1" x14ac:dyDescent="0.25"/>
    <row r="2798" ht="30.75" customHeight="1" thickBot="1" x14ac:dyDescent="0.25"/>
    <row r="2799" ht="30.75" customHeight="1" thickBot="1" x14ac:dyDescent="0.25"/>
    <row r="2800" ht="30.75" customHeight="1" thickBot="1" x14ac:dyDescent="0.25"/>
    <row r="2801" ht="30.75" customHeight="1" thickBot="1" x14ac:dyDescent="0.25"/>
    <row r="2802" ht="30.75" customHeight="1" thickBot="1" x14ac:dyDescent="0.25"/>
    <row r="2803" ht="30.75" customHeight="1" thickBot="1" x14ac:dyDescent="0.25"/>
    <row r="2804" ht="30.75" customHeight="1" thickBot="1" x14ac:dyDescent="0.25"/>
    <row r="2805" ht="30.75" customHeight="1" thickBot="1" x14ac:dyDescent="0.25"/>
    <row r="2806" ht="30.75" customHeight="1" thickBot="1" x14ac:dyDescent="0.25"/>
    <row r="2807" ht="30.75" customHeight="1" thickBot="1" x14ac:dyDescent="0.25"/>
    <row r="2808" ht="30.75" customHeight="1" thickBot="1" x14ac:dyDescent="0.25"/>
    <row r="2809" ht="30.75" customHeight="1" thickBot="1" x14ac:dyDescent="0.25"/>
    <row r="2810" ht="30.75" customHeight="1" thickBot="1" x14ac:dyDescent="0.25"/>
    <row r="2811" ht="30.75" customHeight="1" thickBot="1" x14ac:dyDescent="0.25"/>
    <row r="2812" ht="30.75" customHeight="1" thickBot="1" x14ac:dyDescent="0.25"/>
    <row r="2813" ht="30.75" customHeight="1" thickBot="1" x14ac:dyDescent="0.25"/>
    <row r="2814" ht="30.75" customHeight="1" thickBot="1" x14ac:dyDescent="0.25"/>
    <row r="2815" ht="30.75" customHeight="1" thickBot="1" x14ac:dyDescent="0.25"/>
    <row r="2816" ht="30.75" customHeight="1" thickBot="1" x14ac:dyDescent="0.25"/>
    <row r="2817" ht="30.75" customHeight="1" thickBot="1" x14ac:dyDescent="0.25"/>
    <row r="2818" ht="30.75" customHeight="1" thickBot="1" x14ac:dyDescent="0.25"/>
    <row r="2819" ht="30.75" customHeight="1" thickBot="1" x14ac:dyDescent="0.25"/>
    <row r="2820" ht="30.75" customHeight="1" thickBot="1" x14ac:dyDescent="0.25"/>
    <row r="2821" ht="30.75" customHeight="1" thickBot="1" x14ac:dyDescent="0.25"/>
    <row r="2822" ht="30.75" customHeight="1" thickBot="1" x14ac:dyDescent="0.25"/>
    <row r="2823" ht="30.75" customHeight="1" thickBot="1" x14ac:dyDescent="0.25"/>
    <row r="2824" ht="30.75" customHeight="1" thickBot="1" x14ac:dyDescent="0.25"/>
    <row r="2825" ht="30.75" customHeight="1" thickBot="1" x14ac:dyDescent="0.25"/>
    <row r="2826" ht="30.75" customHeight="1" thickBot="1" x14ac:dyDescent="0.25"/>
    <row r="2827" ht="30.75" customHeight="1" thickBot="1" x14ac:dyDescent="0.25"/>
    <row r="2828" ht="30.75" customHeight="1" thickBot="1" x14ac:dyDescent="0.25"/>
    <row r="2829" ht="30.75" customHeight="1" thickBot="1" x14ac:dyDescent="0.25"/>
    <row r="2830" ht="30.75" customHeight="1" thickBot="1" x14ac:dyDescent="0.25"/>
    <row r="2831" ht="30.75" customHeight="1" thickBot="1" x14ac:dyDescent="0.25"/>
    <row r="2832" ht="30.75" customHeight="1" thickBot="1" x14ac:dyDescent="0.25"/>
    <row r="2833" ht="30.75" customHeight="1" thickBot="1" x14ac:dyDescent="0.25"/>
    <row r="2834" ht="30.75" customHeight="1" thickBot="1" x14ac:dyDescent="0.25"/>
    <row r="2835" ht="30.75" customHeight="1" thickBot="1" x14ac:dyDescent="0.25"/>
    <row r="2836" ht="30.75" customHeight="1" thickBot="1" x14ac:dyDescent="0.25"/>
    <row r="2837" ht="30.75" customHeight="1" thickBot="1" x14ac:dyDescent="0.25"/>
    <row r="2838" ht="30.75" customHeight="1" thickBot="1" x14ac:dyDescent="0.25"/>
    <row r="2839" ht="30.75" customHeight="1" thickBot="1" x14ac:dyDescent="0.25"/>
    <row r="2840" ht="30.75" customHeight="1" thickBot="1" x14ac:dyDescent="0.25"/>
    <row r="2841" ht="30.75" customHeight="1" thickBot="1" x14ac:dyDescent="0.25"/>
    <row r="2842" ht="30.75" customHeight="1" thickBot="1" x14ac:dyDescent="0.25"/>
    <row r="2843" ht="30.75" customHeight="1" thickBot="1" x14ac:dyDescent="0.25"/>
    <row r="2844" ht="30.75" customHeight="1" thickBot="1" x14ac:dyDescent="0.25"/>
    <row r="2845" ht="30.75" customHeight="1" thickBot="1" x14ac:dyDescent="0.25"/>
    <row r="2846" ht="30.75" customHeight="1" thickBot="1" x14ac:dyDescent="0.25"/>
    <row r="2847" ht="30.75" customHeight="1" thickBot="1" x14ac:dyDescent="0.25"/>
    <row r="2848" ht="30.75" customHeight="1" thickBot="1" x14ac:dyDescent="0.25"/>
    <row r="2849" ht="30.75" customHeight="1" thickBot="1" x14ac:dyDescent="0.25"/>
    <row r="2850" ht="30.75" customHeight="1" thickBot="1" x14ac:dyDescent="0.25"/>
    <row r="2851" ht="30.75" customHeight="1" thickBot="1" x14ac:dyDescent="0.25"/>
    <row r="2852" ht="30.75" customHeight="1" thickBot="1" x14ac:dyDescent="0.25"/>
    <row r="2853" ht="30.75" customHeight="1" thickBot="1" x14ac:dyDescent="0.25"/>
    <row r="2854" ht="30.75" customHeight="1" thickBot="1" x14ac:dyDescent="0.25"/>
    <row r="2855" ht="30.75" customHeight="1" thickBot="1" x14ac:dyDescent="0.25"/>
    <row r="2856" ht="30.75" customHeight="1" thickBot="1" x14ac:dyDescent="0.25"/>
    <row r="2857" ht="30.75" customHeight="1" thickBot="1" x14ac:dyDescent="0.25"/>
    <row r="2858" ht="30.75" customHeight="1" thickBot="1" x14ac:dyDescent="0.25"/>
    <row r="2859" ht="30.75" customHeight="1" thickBot="1" x14ac:dyDescent="0.25"/>
    <row r="2860" ht="30.75" customHeight="1" thickBot="1" x14ac:dyDescent="0.25"/>
    <row r="2861" ht="30.75" customHeight="1" thickBot="1" x14ac:dyDescent="0.25"/>
    <row r="2862" ht="30.75" customHeight="1" thickBot="1" x14ac:dyDescent="0.25"/>
    <row r="2863" ht="30.75" customHeight="1" thickBot="1" x14ac:dyDescent="0.25"/>
    <row r="2864" ht="30.75" customHeight="1" thickBot="1" x14ac:dyDescent="0.25"/>
    <row r="2865" ht="30.75" customHeight="1" thickBot="1" x14ac:dyDescent="0.25"/>
    <row r="2866" ht="30.75" customHeight="1" thickBot="1" x14ac:dyDescent="0.25"/>
    <row r="2867" ht="30.75" customHeight="1" thickBot="1" x14ac:dyDescent="0.25"/>
    <row r="2868" ht="30.75" customHeight="1" thickBot="1" x14ac:dyDescent="0.25"/>
    <row r="2869" ht="30.75" customHeight="1" thickBot="1" x14ac:dyDescent="0.25"/>
    <row r="2870" ht="30.75" customHeight="1" thickBot="1" x14ac:dyDescent="0.25"/>
    <row r="2871" ht="30.75" customHeight="1" thickBot="1" x14ac:dyDescent="0.25"/>
    <row r="2872" ht="30.75" customHeight="1" thickBot="1" x14ac:dyDescent="0.25"/>
    <row r="2873" ht="30.75" customHeight="1" thickBot="1" x14ac:dyDescent="0.25"/>
    <row r="2874" ht="30.75" customHeight="1" thickBot="1" x14ac:dyDescent="0.25"/>
    <row r="2875" ht="30.75" customHeight="1" thickBot="1" x14ac:dyDescent="0.25"/>
    <row r="2876" ht="30.75" customHeight="1" thickBot="1" x14ac:dyDescent="0.25"/>
    <row r="2877" ht="30.75" customHeight="1" thickBot="1" x14ac:dyDescent="0.25"/>
    <row r="2878" ht="30.75" customHeight="1" thickBot="1" x14ac:dyDescent="0.25"/>
    <row r="2879" ht="30.75" customHeight="1" thickBot="1" x14ac:dyDescent="0.25"/>
    <row r="2880" ht="30.75" customHeight="1" thickBot="1" x14ac:dyDescent="0.25"/>
    <row r="2881" ht="30.75" customHeight="1" thickBot="1" x14ac:dyDescent="0.25"/>
    <row r="2882" ht="30.75" customHeight="1" thickBot="1" x14ac:dyDescent="0.25"/>
    <row r="2883" ht="30.75" customHeight="1" thickBot="1" x14ac:dyDescent="0.25"/>
    <row r="2884" ht="30.75" customHeight="1" thickBot="1" x14ac:dyDescent="0.25"/>
    <row r="2885" ht="30.75" customHeight="1" thickBot="1" x14ac:dyDescent="0.25"/>
    <row r="2886" ht="30.75" customHeight="1" thickBot="1" x14ac:dyDescent="0.25"/>
    <row r="2887" ht="30.75" customHeight="1" thickBot="1" x14ac:dyDescent="0.25"/>
    <row r="2888" ht="30.75" customHeight="1" thickBot="1" x14ac:dyDescent="0.25"/>
    <row r="2889" ht="30.75" customHeight="1" thickBot="1" x14ac:dyDescent="0.25"/>
    <row r="2890" ht="30.75" customHeight="1" thickBot="1" x14ac:dyDescent="0.25"/>
    <row r="2891" ht="30.75" customHeight="1" thickBot="1" x14ac:dyDescent="0.25"/>
    <row r="2892" ht="30.75" customHeight="1" thickBot="1" x14ac:dyDescent="0.25"/>
    <row r="2893" ht="30.75" customHeight="1" thickBot="1" x14ac:dyDescent="0.25"/>
    <row r="2894" ht="30.75" customHeight="1" thickBot="1" x14ac:dyDescent="0.25"/>
    <row r="2895" ht="30.75" customHeight="1" thickBot="1" x14ac:dyDescent="0.25"/>
    <row r="2896" ht="30.75" customHeight="1" thickBot="1" x14ac:dyDescent="0.25"/>
    <row r="2897" ht="30.75" customHeight="1" thickBot="1" x14ac:dyDescent="0.25"/>
    <row r="2898" ht="30.75" customHeight="1" thickBot="1" x14ac:dyDescent="0.25"/>
    <row r="2899" ht="30.75" customHeight="1" thickBot="1" x14ac:dyDescent="0.25"/>
    <row r="2900" ht="30.75" customHeight="1" thickBot="1" x14ac:dyDescent="0.25"/>
    <row r="2901" ht="30.75" customHeight="1" thickBot="1" x14ac:dyDescent="0.25"/>
    <row r="2902" ht="30.75" customHeight="1" thickBot="1" x14ac:dyDescent="0.25"/>
    <row r="2903" ht="30.75" customHeight="1" thickBot="1" x14ac:dyDescent="0.25"/>
    <row r="2904" ht="30.75" customHeight="1" thickBot="1" x14ac:dyDescent="0.25"/>
    <row r="2905" ht="30.75" customHeight="1" thickBot="1" x14ac:dyDescent="0.25"/>
    <row r="2906" ht="30.75" customHeight="1" thickBot="1" x14ac:dyDescent="0.25"/>
    <row r="2907" ht="30.75" customHeight="1" thickBot="1" x14ac:dyDescent="0.25"/>
    <row r="2908" ht="30.75" customHeight="1" thickBot="1" x14ac:dyDescent="0.25"/>
    <row r="2909" ht="30.75" customHeight="1" thickBot="1" x14ac:dyDescent="0.25"/>
    <row r="2910" ht="30.75" customHeight="1" thickBot="1" x14ac:dyDescent="0.25"/>
    <row r="2911" ht="30.75" customHeight="1" thickBot="1" x14ac:dyDescent="0.25"/>
    <row r="2912" ht="30.75" customHeight="1" thickBot="1" x14ac:dyDescent="0.25"/>
    <row r="2913" ht="30.75" customHeight="1" thickBot="1" x14ac:dyDescent="0.25"/>
    <row r="2914" ht="30.75" customHeight="1" thickBot="1" x14ac:dyDescent="0.25"/>
    <row r="2915" ht="30.75" customHeight="1" thickBot="1" x14ac:dyDescent="0.25"/>
    <row r="2916" ht="30.75" customHeight="1" thickBot="1" x14ac:dyDescent="0.25"/>
    <row r="2917" ht="30.75" customHeight="1" thickBot="1" x14ac:dyDescent="0.25"/>
    <row r="2918" ht="30.75" customHeight="1" thickBot="1" x14ac:dyDescent="0.25"/>
    <row r="2919" ht="30.75" customHeight="1" thickBot="1" x14ac:dyDescent="0.25"/>
    <row r="2920" ht="30.75" customHeight="1" thickBot="1" x14ac:dyDescent="0.25"/>
    <row r="2921" ht="30.75" customHeight="1" thickBot="1" x14ac:dyDescent="0.25"/>
    <row r="2922" ht="30.75" customHeight="1" thickBot="1" x14ac:dyDescent="0.25"/>
    <row r="2923" ht="30.75" customHeight="1" thickBot="1" x14ac:dyDescent="0.25"/>
    <row r="2924" ht="30.75" customHeight="1" thickBot="1" x14ac:dyDescent="0.25"/>
    <row r="2925" ht="30.75" customHeight="1" thickBot="1" x14ac:dyDescent="0.25"/>
    <row r="2926" ht="30.75" customHeight="1" thickBot="1" x14ac:dyDescent="0.25"/>
    <row r="2927" ht="30.75" customHeight="1" thickBot="1" x14ac:dyDescent="0.25"/>
    <row r="2928" ht="30.75" customHeight="1" thickBot="1" x14ac:dyDescent="0.25"/>
    <row r="2929" ht="30.75" customHeight="1" thickBot="1" x14ac:dyDescent="0.25"/>
    <row r="2930" ht="30.75" customHeight="1" thickBot="1" x14ac:dyDescent="0.25"/>
    <row r="2931" ht="30.75" customHeight="1" thickBot="1" x14ac:dyDescent="0.25"/>
    <row r="2932" ht="30.75" customHeight="1" thickBot="1" x14ac:dyDescent="0.25"/>
    <row r="2933" ht="30.75" customHeight="1" thickBot="1" x14ac:dyDescent="0.25"/>
    <row r="2934" ht="30.75" customHeight="1" thickBot="1" x14ac:dyDescent="0.25"/>
    <row r="2935" ht="30.75" customHeight="1" thickBot="1" x14ac:dyDescent="0.25"/>
    <row r="2936" ht="30.75" customHeight="1" thickBot="1" x14ac:dyDescent="0.25"/>
    <row r="2937" ht="30.75" customHeight="1" thickBot="1" x14ac:dyDescent="0.25"/>
    <row r="2938" ht="30.75" customHeight="1" thickBot="1" x14ac:dyDescent="0.25"/>
    <row r="2939" ht="30.75" customHeight="1" thickBot="1" x14ac:dyDescent="0.25"/>
    <row r="2940" ht="30.75" customHeight="1" thickBot="1" x14ac:dyDescent="0.25"/>
    <row r="2941" ht="30.75" customHeight="1" thickBot="1" x14ac:dyDescent="0.25"/>
    <row r="2942" ht="30.75" customHeight="1" thickBot="1" x14ac:dyDescent="0.25"/>
    <row r="2943" ht="30.75" customHeight="1" thickBot="1" x14ac:dyDescent="0.25"/>
    <row r="2944" ht="30.75" customHeight="1" thickBot="1" x14ac:dyDescent="0.25"/>
    <row r="2945" ht="30.75" customHeight="1" thickBot="1" x14ac:dyDescent="0.25"/>
    <row r="2946" ht="30.75" customHeight="1" thickBot="1" x14ac:dyDescent="0.25"/>
    <row r="2947" ht="30.75" customHeight="1" thickBot="1" x14ac:dyDescent="0.25"/>
    <row r="2948" ht="30.75" customHeight="1" thickBot="1" x14ac:dyDescent="0.25"/>
    <row r="2949" ht="30.75" customHeight="1" thickBot="1" x14ac:dyDescent="0.25"/>
    <row r="2950" ht="30.75" customHeight="1" thickBot="1" x14ac:dyDescent="0.25"/>
    <row r="2951" ht="30.75" customHeight="1" thickBot="1" x14ac:dyDescent="0.25"/>
    <row r="2952" ht="30.75" customHeight="1" thickBot="1" x14ac:dyDescent="0.25"/>
    <row r="2953" ht="30.75" customHeight="1" thickBot="1" x14ac:dyDescent="0.25"/>
    <row r="2954" ht="30.75" customHeight="1" thickBot="1" x14ac:dyDescent="0.25"/>
    <row r="2955" ht="30.75" customHeight="1" thickBot="1" x14ac:dyDescent="0.25"/>
    <row r="2956" ht="30.75" customHeight="1" thickBot="1" x14ac:dyDescent="0.25"/>
    <row r="2957" ht="30.75" customHeight="1" thickBot="1" x14ac:dyDescent="0.25"/>
    <row r="2958" ht="30.75" customHeight="1" thickBot="1" x14ac:dyDescent="0.25"/>
    <row r="2959" ht="30.75" customHeight="1" thickBot="1" x14ac:dyDescent="0.25"/>
    <row r="2960" ht="30.75" customHeight="1" thickBot="1" x14ac:dyDescent="0.25"/>
    <row r="2961" ht="30.75" customHeight="1" thickBot="1" x14ac:dyDescent="0.25"/>
    <row r="2962" ht="30.75" customHeight="1" thickBot="1" x14ac:dyDescent="0.25"/>
    <row r="2963" ht="30.75" customHeight="1" thickBot="1" x14ac:dyDescent="0.25"/>
    <row r="2964" ht="30.75" customHeight="1" thickBot="1" x14ac:dyDescent="0.25"/>
    <row r="2965" ht="30.75" customHeight="1" thickBot="1" x14ac:dyDescent="0.25"/>
    <row r="2966" ht="30.75" customHeight="1" thickBot="1" x14ac:dyDescent="0.25"/>
    <row r="2967" ht="30.75" customHeight="1" thickBot="1" x14ac:dyDescent="0.25"/>
    <row r="2968" ht="30.75" customHeight="1" thickBot="1" x14ac:dyDescent="0.25"/>
    <row r="2969" ht="30.75" customHeight="1" thickBot="1" x14ac:dyDescent="0.25"/>
    <row r="2970" ht="30.75" customHeight="1" thickBot="1" x14ac:dyDescent="0.25"/>
    <row r="2971" ht="30.75" customHeight="1" thickBot="1" x14ac:dyDescent="0.25"/>
    <row r="2972" ht="30.75" customHeight="1" thickBot="1" x14ac:dyDescent="0.25"/>
    <row r="2973" ht="30.75" customHeight="1" thickBot="1" x14ac:dyDescent="0.25"/>
    <row r="2974" ht="30.75" customHeight="1" thickBot="1" x14ac:dyDescent="0.25"/>
    <row r="2975" ht="30.75" customHeight="1" thickBot="1" x14ac:dyDescent="0.25"/>
    <row r="2976" ht="30.75" customHeight="1" thickBot="1" x14ac:dyDescent="0.25"/>
    <row r="2977" ht="30.75" customHeight="1" thickBot="1" x14ac:dyDescent="0.25"/>
    <row r="2978" ht="30.75" customHeight="1" thickBot="1" x14ac:dyDescent="0.25"/>
    <row r="2979" ht="30.75" customHeight="1" thickBot="1" x14ac:dyDescent="0.25"/>
    <row r="2980" ht="30.75" customHeight="1" thickBot="1" x14ac:dyDescent="0.25"/>
    <row r="2981" ht="30.75" customHeight="1" thickBot="1" x14ac:dyDescent="0.25"/>
    <row r="2982" ht="30.75" customHeight="1" thickBot="1" x14ac:dyDescent="0.25"/>
    <row r="2983" ht="30.75" customHeight="1" thickBot="1" x14ac:dyDescent="0.25"/>
    <row r="2984" ht="30.75" customHeight="1" thickBot="1" x14ac:dyDescent="0.25"/>
    <row r="2985" ht="30.75" customHeight="1" thickBot="1" x14ac:dyDescent="0.25"/>
    <row r="2986" ht="30.75" customHeight="1" thickBot="1" x14ac:dyDescent="0.25"/>
    <row r="2987" ht="30.75" customHeight="1" thickBot="1" x14ac:dyDescent="0.25"/>
    <row r="2988" ht="30.75" customHeight="1" thickBot="1" x14ac:dyDescent="0.25"/>
    <row r="2989" ht="30.75" customHeight="1" thickBot="1" x14ac:dyDescent="0.25"/>
    <row r="2990" ht="30.75" customHeight="1" thickBot="1" x14ac:dyDescent="0.25"/>
    <row r="2991" ht="30.75" customHeight="1" thickBot="1" x14ac:dyDescent="0.25"/>
    <row r="2992" ht="30.75" customHeight="1" thickBot="1" x14ac:dyDescent="0.25"/>
    <row r="2993" ht="30.75" customHeight="1" thickBot="1" x14ac:dyDescent="0.25"/>
    <row r="2994" ht="30.75" customHeight="1" thickBot="1" x14ac:dyDescent="0.25"/>
    <row r="2995" ht="30.75" customHeight="1" thickBot="1" x14ac:dyDescent="0.25"/>
    <row r="2996" ht="30.75" customHeight="1" thickBot="1" x14ac:dyDescent="0.25"/>
    <row r="2997" ht="30.75" customHeight="1" thickBot="1" x14ac:dyDescent="0.25"/>
    <row r="2998" ht="30.75" customHeight="1" thickBot="1" x14ac:dyDescent="0.25"/>
    <row r="2999" ht="30.75" customHeight="1" thickBot="1" x14ac:dyDescent="0.25"/>
    <row r="3000" ht="30.75" customHeight="1" thickBot="1" x14ac:dyDescent="0.25"/>
    <row r="3001" ht="30.75" customHeight="1" thickBot="1" x14ac:dyDescent="0.25"/>
    <row r="3002" ht="30.75" customHeight="1" thickBot="1" x14ac:dyDescent="0.25"/>
    <row r="3003" ht="30.75" customHeight="1" thickBot="1" x14ac:dyDescent="0.25"/>
    <row r="3004" ht="30.75" customHeight="1" thickBot="1" x14ac:dyDescent="0.25"/>
    <row r="3005" ht="30.75" customHeight="1" thickBot="1" x14ac:dyDescent="0.25"/>
    <row r="3006" ht="30.75" customHeight="1" thickBot="1" x14ac:dyDescent="0.25"/>
    <row r="3007" ht="30.75" customHeight="1" thickBot="1" x14ac:dyDescent="0.25"/>
    <row r="3008" ht="30.75" customHeight="1" thickBot="1" x14ac:dyDescent="0.25"/>
    <row r="3009" ht="30.75" customHeight="1" thickBot="1" x14ac:dyDescent="0.25"/>
    <row r="3010" ht="30.75" customHeight="1" thickBot="1" x14ac:dyDescent="0.25"/>
    <row r="3011" ht="30.75" customHeight="1" thickBot="1" x14ac:dyDescent="0.25"/>
    <row r="3012" ht="30.75" customHeight="1" thickBot="1" x14ac:dyDescent="0.25"/>
    <row r="3013" ht="30.75" customHeight="1" thickBot="1" x14ac:dyDescent="0.25"/>
    <row r="3014" ht="30.75" customHeight="1" thickBot="1" x14ac:dyDescent="0.25"/>
    <row r="3015" ht="30.75" customHeight="1" thickBot="1" x14ac:dyDescent="0.25"/>
    <row r="3016" ht="30.75" customHeight="1" thickBot="1" x14ac:dyDescent="0.25"/>
    <row r="3017" ht="30.75" customHeight="1" thickBot="1" x14ac:dyDescent="0.25"/>
    <row r="3018" ht="30.75" customHeight="1" thickBot="1" x14ac:dyDescent="0.25"/>
    <row r="3019" ht="30.75" customHeight="1" thickBot="1" x14ac:dyDescent="0.25"/>
    <row r="3020" ht="30.75" customHeight="1" thickBot="1" x14ac:dyDescent="0.25"/>
    <row r="3021" ht="30.75" customHeight="1" thickBot="1" x14ac:dyDescent="0.25"/>
    <row r="3022" ht="30.75" customHeight="1" thickBot="1" x14ac:dyDescent="0.25"/>
    <row r="3023" ht="30.75" customHeight="1" thickBot="1" x14ac:dyDescent="0.25"/>
    <row r="3024" ht="30.75" customHeight="1" thickBot="1" x14ac:dyDescent="0.25"/>
    <row r="3025" ht="30.75" customHeight="1" thickBot="1" x14ac:dyDescent="0.25"/>
    <row r="3026" ht="30.75" customHeight="1" thickBot="1" x14ac:dyDescent="0.25"/>
    <row r="3027" ht="30.75" customHeight="1" thickBot="1" x14ac:dyDescent="0.25"/>
    <row r="3028" ht="30.75" customHeight="1" thickBot="1" x14ac:dyDescent="0.25"/>
    <row r="3029" ht="30.75" customHeight="1" thickBot="1" x14ac:dyDescent="0.25"/>
    <row r="3030" ht="30.75" customHeight="1" thickBot="1" x14ac:dyDescent="0.25"/>
    <row r="3031" ht="30.75" customHeight="1" thickBot="1" x14ac:dyDescent="0.25"/>
    <row r="3032" ht="30.75" customHeight="1" thickBot="1" x14ac:dyDescent="0.25"/>
    <row r="3033" ht="30.75" customHeight="1" thickBot="1" x14ac:dyDescent="0.25"/>
    <row r="3034" ht="30.75" customHeight="1" thickBot="1" x14ac:dyDescent="0.25"/>
    <row r="3035" ht="30.75" customHeight="1" thickBot="1" x14ac:dyDescent="0.25"/>
    <row r="3036" ht="30.75" customHeight="1" thickBot="1" x14ac:dyDescent="0.25"/>
    <row r="3037" ht="30.75" customHeight="1" thickBot="1" x14ac:dyDescent="0.25"/>
    <row r="3038" ht="30.75" customHeight="1" thickBot="1" x14ac:dyDescent="0.25"/>
    <row r="3039" ht="30.75" customHeight="1" thickBot="1" x14ac:dyDescent="0.25"/>
    <row r="3040" ht="30.75" customHeight="1" thickBot="1" x14ac:dyDescent="0.25"/>
    <row r="3041" ht="30.75" customHeight="1" thickBot="1" x14ac:dyDescent="0.25"/>
    <row r="3042" ht="30.75" customHeight="1" thickBot="1" x14ac:dyDescent="0.25"/>
    <row r="3043" ht="30.75" customHeight="1" thickBot="1" x14ac:dyDescent="0.25"/>
    <row r="3044" ht="30.75" customHeight="1" thickBot="1" x14ac:dyDescent="0.25"/>
    <row r="3045" ht="30.75" customHeight="1" thickBot="1" x14ac:dyDescent="0.25"/>
    <row r="3046" ht="30.75" customHeight="1" thickBot="1" x14ac:dyDescent="0.25"/>
    <row r="3047" ht="30.75" customHeight="1" thickBot="1" x14ac:dyDescent="0.25"/>
    <row r="3048" ht="30.75" customHeight="1" thickBot="1" x14ac:dyDescent="0.25"/>
    <row r="3049" ht="30.75" customHeight="1" thickBot="1" x14ac:dyDescent="0.25"/>
    <row r="3050" ht="30.75" customHeight="1" thickBot="1" x14ac:dyDescent="0.25"/>
    <row r="3051" ht="30.75" customHeight="1" thickBot="1" x14ac:dyDescent="0.25"/>
    <row r="3052" ht="30.75" customHeight="1" thickBot="1" x14ac:dyDescent="0.25"/>
    <row r="3053" ht="30.75" customHeight="1" thickBot="1" x14ac:dyDescent="0.25"/>
    <row r="3054" ht="30.75" customHeight="1" thickBot="1" x14ac:dyDescent="0.25"/>
    <row r="3055" ht="30.75" customHeight="1" thickBot="1" x14ac:dyDescent="0.25"/>
    <row r="3056" ht="30.75" customHeight="1" thickBot="1" x14ac:dyDescent="0.25"/>
    <row r="3057" ht="30.75" customHeight="1" thickBot="1" x14ac:dyDescent="0.25"/>
    <row r="3058" ht="30.75" customHeight="1" thickBot="1" x14ac:dyDescent="0.25"/>
    <row r="3059" ht="30.75" customHeight="1" thickBot="1" x14ac:dyDescent="0.25"/>
    <row r="3060" ht="30.75" customHeight="1" thickBot="1" x14ac:dyDescent="0.25"/>
    <row r="3061" ht="30.75" customHeight="1" thickBot="1" x14ac:dyDescent="0.25"/>
    <row r="3062" ht="30.75" customHeight="1" thickBot="1" x14ac:dyDescent="0.25"/>
    <row r="3063" ht="30.75" customHeight="1" thickBot="1" x14ac:dyDescent="0.25"/>
    <row r="3064" ht="30.75" customHeight="1" thickBot="1" x14ac:dyDescent="0.25"/>
    <row r="3065" ht="30.75" customHeight="1" thickBot="1" x14ac:dyDescent="0.25"/>
    <row r="3066" ht="30.75" customHeight="1" thickBot="1" x14ac:dyDescent="0.25"/>
    <row r="3067" ht="30.75" customHeight="1" thickBot="1" x14ac:dyDescent="0.25"/>
    <row r="3068" ht="30.75" customHeight="1" thickBot="1" x14ac:dyDescent="0.25"/>
    <row r="3069" ht="30.75" customHeight="1" thickBot="1" x14ac:dyDescent="0.25"/>
    <row r="3070" ht="30.75" customHeight="1" thickBot="1" x14ac:dyDescent="0.25"/>
    <row r="3071" ht="30.75" customHeight="1" thickBot="1" x14ac:dyDescent="0.25"/>
    <row r="3072" ht="30.75" customHeight="1" thickBot="1" x14ac:dyDescent="0.25"/>
    <row r="3073" ht="30.75" customHeight="1" thickBot="1" x14ac:dyDescent="0.25"/>
    <row r="3074" ht="30.75" customHeight="1" thickBot="1" x14ac:dyDescent="0.25"/>
    <row r="3075" ht="30.75" customHeight="1" thickBot="1" x14ac:dyDescent="0.25"/>
    <row r="3076" ht="30.75" customHeight="1" thickBot="1" x14ac:dyDescent="0.25"/>
    <row r="3077" ht="30.75" customHeight="1" thickBot="1" x14ac:dyDescent="0.25"/>
    <row r="3078" ht="30.75" customHeight="1" thickBot="1" x14ac:dyDescent="0.25"/>
    <row r="3079" ht="30.75" customHeight="1" thickBot="1" x14ac:dyDescent="0.25"/>
    <row r="3080" ht="30.75" customHeight="1" thickBot="1" x14ac:dyDescent="0.25"/>
    <row r="3081" ht="30.75" customHeight="1" thickBot="1" x14ac:dyDescent="0.25"/>
    <row r="3082" ht="30.75" customHeight="1" thickBot="1" x14ac:dyDescent="0.25"/>
    <row r="3083" ht="30.75" customHeight="1" thickBot="1" x14ac:dyDescent="0.25"/>
    <row r="3084" ht="30.75" customHeight="1" thickBot="1" x14ac:dyDescent="0.25"/>
    <row r="3085" ht="30.75" customHeight="1" thickBot="1" x14ac:dyDescent="0.25"/>
    <row r="3086" ht="30.75" customHeight="1" thickBot="1" x14ac:dyDescent="0.25"/>
    <row r="3087" ht="30.75" customHeight="1" thickBot="1" x14ac:dyDescent="0.25"/>
    <row r="3088" ht="30.75" customHeight="1" thickBot="1" x14ac:dyDescent="0.25"/>
    <row r="3089" ht="30.75" customHeight="1" thickBot="1" x14ac:dyDescent="0.25"/>
    <row r="3090" ht="30.75" customHeight="1" thickBot="1" x14ac:dyDescent="0.25"/>
    <row r="3091" ht="30.75" customHeight="1" thickBot="1" x14ac:dyDescent="0.25"/>
    <row r="3092" ht="30.75" customHeight="1" thickBot="1" x14ac:dyDescent="0.25"/>
    <row r="3093" ht="30.75" customHeight="1" thickBot="1" x14ac:dyDescent="0.25"/>
    <row r="3094" ht="30.75" customHeight="1" thickBot="1" x14ac:dyDescent="0.25"/>
    <row r="3095" ht="30.75" customHeight="1" thickBot="1" x14ac:dyDescent="0.25"/>
    <row r="3096" ht="30.75" customHeight="1" thickBot="1" x14ac:dyDescent="0.25"/>
    <row r="3097" ht="30.75" customHeight="1" thickBot="1" x14ac:dyDescent="0.25"/>
    <row r="3098" ht="30.75" customHeight="1" thickBot="1" x14ac:dyDescent="0.25"/>
    <row r="3099" ht="30.75" customHeight="1" thickBot="1" x14ac:dyDescent="0.25"/>
    <row r="3100" ht="30.75" customHeight="1" thickBot="1" x14ac:dyDescent="0.25"/>
    <row r="3101" ht="30.75" customHeight="1" thickBot="1" x14ac:dyDescent="0.25"/>
    <row r="3102" ht="30.75" customHeight="1" thickBot="1" x14ac:dyDescent="0.25"/>
    <row r="3103" ht="30.75" customHeight="1" thickBot="1" x14ac:dyDescent="0.25"/>
    <row r="3104" ht="30.75" customHeight="1" thickBot="1" x14ac:dyDescent="0.25"/>
    <row r="3105" ht="30.75" customHeight="1" thickBot="1" x14ac:dyDescent="0.25"/>
    <row r="3106" ht="30.75" customHeight="1" thickBot="1" x14ac:dyDescent="0.25"/>
    <row r="3107" ht="30.75" customHeight="1" thickBot="1" x14ac:dyDescent="0.25"/>
    <row r="3108" ht="30.75" customHeight="1" thickBot="1" x14ac:dyDescent="0.25"/>
    <row r="3109" ht="30.75" customHeight="1" thickBot="1" x14ac:dyDescent="0.25"/>
    <row r="3110" ht="30.75" customHeight="1" thickBot="1" x14ac:dyDescent="0.25"/>
    <row r="3111" ht="30.75" customHeight="1" thickBot="1" x14ac:dyDescent="0.25"/>
    <row r="3112" ht="30.75" customHeight="1" thickBot="1" x14ac:dyDescent="0.25"/>
    <row r="3113" ht="30.75" customHeight="1" thickBot="1" x14ac:dyDescent="0.25"/>
    <row r="3114" ht="30.75" customHeight="1" thickBot="1" x14ac:dyDescent="0.25"/>
    <row r="3115" ht="30.75" customHeight="1" thickBot="1" x14ac:dyDescent="0.25"/>
    <row r="3116" ht="30.75" customHeight="1" thickBot="1" x14ac:dyDescent="0.25"/>
    <row r="3117" ht="30.75" customHeight="1" thickBot="1" x14ac:dyDescent="0.25"/>
    <row r="3118" ht="30.75" customHeight="1" thickBot="1" x14ac:dyDescent="0.25"/>
    <row r="3119" ht="30.75" customHeight="1" thickBot="1" x14ac:dyDescent="0.25"/>
    <row r="3120" ht="30.75" customHeight="1" thickBot="1" x14ac:dyDescent="0.25"/>
    <row r="3121" ht="30.75" customHeight="1" thickBot="1" x14ac:dyDescent="0.25"/>
    <row r="3122" ht="30.75" customHeight="1" thickBot="1" x14ac:dyDescent="0.25"/>
    <row r="3123" ht="30.75" customHeight="1" thickBot="1" x14ac:dyDescent="0.25"/>
    <row r="3124" ht="30.75" customHeight="1" thickBot="1" x14ac:dyDescent="0.25"/>
    <row r="3125" ht="30.75" customHeight="1" thickBot="1" x14ac:dyDescent="0.25"/>
    <row r="3126" ht="30.75" customHeight="1" thickBot="1" x14ac:dyDescent="0.25"/>
    <row r="3127" ht="30.75" customHeight="1" thickBot="1" x14ac:dyDescent="0.25"/>
    <row r="3128" ht="30.75" customHeight="1" thickBot="1" x14ac:dyDescent="0.25"/>
    <row r="3129" ht="30.75" customHeight="1" thickBot="1" x14ac:dyDescent="0.25"/>
    <row r="3130" ht="30.75" customHeight="1" thickBot="1" x14ac:dyDescent="0.25"/>
    <row r="3131" ht="30.75" customHeight="1" thickBot="1" x14ac:dyDescent="0.25"/>
    <row r="3132" ht="30.75" customHeight="1" thickBot="1" x14ac:dyDescent="0.25"/>
    <row r="3133" ht="30.75" customHeight="1" thickBot="1" x14ac:dyDescent="0.25"/>
    <row r="3134" ht="30.75" customHeight="1" thickBot="1" x14ac:dyDescent="0.25"/>
    <row r="3135" ht="30.75" customHeight="1" thickBot="1" x14ac:dyDescent="0.25"/>
    <row r="3136" ht="30.75" customHeight="1" thickBot="1" x14ac:dyDescent="0.25"/>
    <row r="3137" ht="30.75" customHeight="1" thickBot="1" x14ac:dyDescent="0.25"/>
    <row r="3138" ht="30.75" customHeight="1" thickBot="1" x14ac:dyDescent="0.25"/>
    <row r="3139" ht="30.75" customHeight="1" thickBot="1" x14ac:dyDescent="0.25"/>
    <row r="3140" ht="30.75" customHeight="1" thickBot="1" x14ac:dyDescent="0.25"/>
    <row r="3141" ht="30.75" customHeight="1" thickBot="1" x14ac:dyDescent="0.25"/>
    <row r="3142" ht="30.75" customHeight="1" thickBot="1" x14ac:dyDescent="0.25"/>
    <row r="3143" ht="30.75" customHeight="1" thickBot="1" x14ac:dyDescent="0.25"/>
    <row r="3144" ht="30.75" customHeight="1" thickBot="1" x14ac:dyDescent="0.25"/>
    <row r="3145" ht="30.75" customHeight="1" thickBot="1" x14ac:dyDescent="0.25"/>
    <row r="3146" ht="30.75" customHeight="1" thickBot="1" x14ac:dyDescent="0.25"/>
    <row r="3147" ht="30.75" customHeight="1" thickBot="1" x14ac:dyDescent="0.25"/>
    <row r="3148" ht="30.75" customHeight="1" thickBot="1" x14ac:dyDescent="0.25"/>
    <row r="3149" ht="30.75" customHeight="1" thickBot="1" x14ac:dyDescent="0.25"/>
    <row r="3150" ht="30.75" customHeight="1" thickBot="1" x14ac:dyDescent="0.25"/>
    <row r="3151" ht="30.75" customHeight="1" thickBot="1" x14ac:dyDescent="0.25"/>
    <row r="3152" ht="30.75" customHeight="1" thickBot="1" x14ac:dyDescent="0.25"/>
    <row r="3153" ht="30.75" customHeight="1" thickBot="1" x14ac:dyDescent="0.25"/>
    <row r="3154" ht="30.75" customHeight="1" thickBot="1" x14ac:dyDescent="0.25"/>
    <row r="3155" ht="30.75" customHeight="1" thickBot="1" x14ac:dyDescent="0.25"/>
    <row r="3156" ht="30.75" customHeight="1" thickBot="1" x14ac:dyDescent="0.25"/>
    <row r="3157" ht="30.75" customHeight="1" thickBot="1" x14ac:dyDescent="0.25"/>
    <row r="3158" ht="30.75" customHeight="1" thickBot="1" x14ac:dyDescent="0.25"/>
    <row r="3159" ht="30.75" customHeight="1" thickBot="1" x14ac:dyDescent="0.25"/>
    <row r="3160" ht="30.75" customHeight="1" thickBot="1" x14ac:dyDescent="0.25"/>
    <row r="3161" ht="30.75" customHeight="1" thickBot="1" x14ac:dyDescent="0.25"/>
    <row r="3162" ht="30.75" customHeight="1" thickBot="1" x14ac:dyDescent="0.25"/>
    <row r="3163" ht="30.75" customHeight="1" thickBot="1" x14ac:dyDescent="0.25"/>
    <row r="3164" ht="30.75" customHeight="1" thickBot="1" x14ac:dyDescent="0.25"/>
    <row r="3165" ht="30.75" customHeight="1" thickBot="1" x14ac:dyDescent="0.25"/>
    <row r="3166" ht="30.75" customHeight="1" thickBot="1" x14ac:dyDescent="0.25"/>
    <row r="3167" ht="30.75" customHeight="1" thickBot="1" x14ac:dyDescent="0.25"/>
    <row r="3168" ht="30.75" customHeight="1" thickBot="1" x14ac:dyDescent="0.25"/>
    <row r="3169" ht="30.75" customHeight="1" thickBot="1" x14ac:dyDescent="0.25"/>
    <row r="3170" ht="30.75" customHeight="1" thickBot="1" x14ac:dyDescent="0.25"/>
    <row r="3171" ht="30.75" customHeight="1" thickBot="1" x14ac:dyDescent="0.25"/>
    <row r="3172" ht="30.75" customHeight="1" thickBot="1" x14ac:dyDescent="0.25"/>
    <row r="3173" ht="30.75" customHeight="1" thickBot="1" x14ac:dyDescent="0.25"/>
    <row r="3174" ht="30.75" customHeight="1" thickBot="1" x14ac:dyDescent="0.25"/>
    <row r="3175" ht="30.75" customHeight="1" thickBot="1" x14ac:dyDescent="0.25"/>
    <row r="3176" ht="30.75" customHeight="1" thickBot="1" x14ac:dyDescent="0.25"/>
    <row r="3177" ht="30.75" customHeight="1" thickBot="1" x14ac:dyDescent="0.25"/>
    <row r="3178" ht="30.75" customHeight="1" thickBot="1" x14ac:dyDescent="0.25"/>
    <row r="3179" ht="30.75" customHeight="1" thickBot="1" x14ac:dyDescent="0.25"/>
    <row r="3180" ht="30.75" customHeight="1" thickBot="1" x14ac:dyDescent="0.25"/>
    <row r="3181" ht="30.75" customHeight="1" thickBot="1" x14ac:dyDescent="0.25"/>
    <row r="3182" ht="30.75" customHeight="1" thickBot="1" x14ac:dyDescent="0.25"/>
    <row r="3183" ht="30.75" customHeight="1" thickBot="1" x14ac:dyDescent="0.25"/>
    <row r="3184" ht="30.75" customHeight="1" thickBot="1" x14ac:dyDescent="0.25"/>
    <row r="3185" ht="30.75" customHeight="1" thickBot="1" x14ac:dyDescent="0.25"/>
    <row r="3186" ht="30.75" customHeight="1" thickBot="1" x14ac:dyDescent="0.25"/>
    <row r="3187" ht="30.75" customHeight="1" thickBot="1" x14ac:dyDescent="0.25"/>
    <row r="3188" ht="30.75" customHeight="1" thickBot="1" x14ac:dyDescent="0.25"/>
    <row r="3189" ht="30.75" customHeight="1" thickBot="1" x14ac:dyDescent="0.25"/>
    <row r="3190" ht="30.75" customHeight="1" thickBot="1" x14ac:dyDescent="0.25"/>
    <row r="3191" ht="30.75" customHeight="1" thickBot="1" x14ac:dyDescent="0.25"/>
    <row r="3192" ht="30.75" customHeight="1" thickBot="1" x14ac:dyDescent="0.25"/>
    <row r="3193" ht="30.75" customHeight="1" thickBot="1" x14ac:dyDescent="0.25"/>
    <row r="3194" ht="30.75" customHeight="1" thickBot="1" x14ac:dyDescent="0.25"/>
    <row r="3195" ht="30.75" customHeight="1" thickBot="1" x14ac:dyDescent="0.25"/>
    <row r="3196" ht="30.75" customHeight="1" thickBot="1" x14ac:dyDescent="0.25"/>
    <row r="3197" ht="30.75" customHeight="1" thickBot="1" x14ac:dyDescent="0.25"/>
    <row r="3198" ht="30.75" customHeight="1" thickBot="1" x14ac:dyDescent="0.25"/>
    <row r="3199" ht="30.75" customHeight="1" thickBot="1" x14ac:dyDescent="0.25"/>
    <row r="3200" ht="30.75" customHeight="1" thickBot="1" x14ac:dyDescent="0.25"/>
    <row r="3201" ht="30.75" customHeight="1" thickBot="1" x14ac:dyDescent="0.25"/>
    <row r="3202" ht="30.75" customHeight="1" thickBot="1" x14ac:dyDescent="0.25"/>
    <row r="3203" ht="30.75" customHeight="1" thickBot="1" x14ac:dyDescent="0.25"/>
    <row r="3204" ht="30.75" customHeight="1" thickBot="1" x14ac:dyDescent="0.25"/>
    <row r="3205" ht="30.75" customHeight="1" thickBot="1" x14ac:dyDescent="0.25"/>
    <row r="3206" ht="30.75" customHeight="1" thickBot="1" x14ac:dyDescent="0.25"/>
    <row r="3207" ht="30.75" customHeight="1" thickBot="1" x14ac:dyDescent="0.25"/>
    <row r="3208" ht="30.75" customHeight="1" thickBot="1" x14ac:dyDescent="0.25"/>
    <row r="3209" ht="30.75" customHeight="1" thickBot="1" x14ac:dyDescent="0.25"/>
    <row r="3210" ht="30.75" customHeight="1" thickBot="1" x14ac:dyDescent="0.25"/>
    <row r="3211" ht="30.75" customHeight="1" thickBot="1" x14ac:dyDescent="0.25"/>
    <row r="3212" ht="30.75" customHeight="1" thickBot="1" x14ac:dyDescent="0.25"/>
    <row r="3213" ht="30.75" customHeight="1" thickBot="1" x14ac:dyDescent="0.25"/>
    <row r="3214" ht="30.75" customHeight="1" thickBot="1" x14ac:dyDescent="0.25"/>
    <row r="3215" ht="30.75" customHeight="1" thickBot="1" x14ac:dyDescent="0.25"/>
    <row r="3216" ht="30.75" customHeight="1" thickBot="1" x14ac:dyDescent="0.25"/>
    <row r="3217" ht="30.75" customHeight="1" thickBot="1" x14ac:dyDescent="0.25"/>
    <row r="3218" ht="30.75" customHeight="1" thickBot="1" x14ac:dyDescent="0.25"/>
    <row r="3219" ht="30.75" customHeight="1" thickBot="1" x14ac:dyDescent="0.25"/>
    <row r="3220" ht="30.75" customHeight="1" thickBot="1" x14ac:dyDescent="0.25"/>
    <row r="3221" ht="30.75" customHeight="1" thickBot="1" x14ac:dyDescent="0.25"/>
    <row r="3222" ht="30.75" customHeight="1" thickBot="1" x14ac:dyDescent="0.25"/>
    <row r="3223" ht="30.75" customHeight="1" thickBot="1" x14ac:dyDescent="0.25"/>
    <row r="3224" ht="30.75" customHeight="1" thickBot="1" x14ac:dyDescent="0.25"/>
    <row r="3225" ht="30.75" customHeight="1" thickBot="1" x14ac:dyDescent="0.25"/>
    <row r="3226" ht="30.75" customHeight="1" thickBot="1" x14ac:dyDescent="0.25"/>
    <row r="3227" ht="30.75" customHeight="1" thickBot="1" x14ac:dyDescent="0.25"/>
    <row r="3228" ht="30.75" customHeight="1" thickBot="1" x14ac:dyDescent="0.25"/>
    <row r="3229" ht="30.75" customHeight="1" thickBot="1" x14ac:dyDescent="0.25"/>
    <row r="3230" ht="30.75" customHeight="1" thickBot="1" x14ac:dyDescent="0.25"/>
    <row r="3231" ht="30.75" customHeight="1" thickBot="1" x14ac:dyDescent="0.25"/>
    <row r="3232" ht="30.75" customHeight="1" thickBot="1" x14ac:dyDescent="0.25"/>
    <row r="3233" ht="30.75" customHeight="1" thickBot="1" x14ac:dyDescent="0.25"/>
    <row r="3234" ht="30.75" customHeight="1" thickBot="1" x14ac:dyDescent="0.25"/>
    <row r="3235" ht="30.75" customHeight="1" thickBot="1" x14ac:dyDescent="0.25"/>
    <row r="3236" ht="30.75" customHeight="1" thickBot="1" x14ac:dyDescent="0.25"/>
    <row r="3237" ht="30.75" customHeight="1" thickBot="1" x14ac:dyDescent="0.25"/>
    <row r="3238" ht="30.75" customHeight="1" thickBot="1" x14ac:dyDescent="0.25"/>
    <row r="3239" ht="30.75" customHeight="1" thickBot="1" x14ac:dyDescent="0.25"/>
    <row r="3240" ht="30.75" customHeight="1" thickBot="1" x14ac:dyDescent="0.25"/>
    <row r="3241" ht="30.75" customHeight="1" thickBot="1" x14ac:dyDescent="0.25"/>
    <row r="3242" ht="30.75" customHeight="1" thickBot="1" x14ac:dyDescent="0.25"/>
    <row r="3243" ht="30.75" customHeight="1" thickBot="1" x14ac:dyDescent="0.25"/>
    <row r="3244" ht="30.75" customHeight="1" thickBot="1" x14ac:dyDescent="0.25"/>
    <row r="3245" ht="30.75" customHeight="1" thickBot="1" x14ac:dyDescent="0.25"/>
    <row r="3246" ht="30.75" customHeight="1" thickBot="1" x14ac:dyDescent="0.25"/>
    <row r="3247" ht="30.75" customHeight="1" thickBot="1" x14ac:dyDescent="0.25"/>
    <row r="3248" ht="30.75" customHeight="1" thickBot="1" x14ac:dyDescent="0.25"/>
    <row r="3249" ht="30.75" customHeight="1" thickBot="1" x14ac:dyDescent="0.25"/>
    <row r="3250" ht="30.75" customHeight="1" thickBot="1" x14ac:dyDescent="0.25"/>
    <row r="3251" ht="30.75" customHeight="1" thickBot="1" x14ac:dyDescent="0.25"/>
    <row r="3252" ht="30.75" customHeight="1" thickBot="1" x14ac:dyDescent="0.25"/>
    <row r="3253" ht="30.75" customHeight="1" thickBot="1" x14ac:dyDescent="0.25"/>
    <row r="3254" ht="30.75" customHeight="1" thickBot="1" x14ac:dyDescent="0.25"/>
    <row r="3255" ht="30.75" customHeight="1" thickBot="1" x14ac:dyDescent="0.25"/>
    <row r="3256" ht="30.75" customHeight="1" thickBot="1" x14ac:dyDescent="0.25"/>
    <row r="3257" ht="30.75" customHeight="1" thickBot="1" x14ac:dyDescent="0.25"/>
    <row r="3258" ht="30.75" customHeight="1" thickBot="1" x14ac:dyDescent="0.25"/>
    <row r="3259" ht="30.75" customHeight="1" thickBot="1" x14ac:dyDescent="0.25"/>
    <row r="3260" ht="30.75" customHeight="1" thickBot="1" x14ac:dyDescent="0.25"/>
    <row r="3261" ht="30.75" customHeight="1" thickBot="1" x14ac:dyDescent="0.25"/>
    <row r="3262" ht="30.75" customHeight="1" thickBot="1" x14ac:dyDescent="0.25"/>
    <row r="3263" ht="30.75" customHeight="1" thickBot="1" x14ac:dyDescent="0.25"/>
    <row r="3264" ht="30.75" customHeight="1" thickBot="1" x14ac:dyDescent="0.25"/>
    <row r="3265" ht="30.75" customHeight="1" thickBot="1" x14ac:dyDescent="0.25"/>
    <row r="3266" ht="30.75" customHeight="1" thickBot="1" x14ac:dyDescent="0.25"/>
    <row r="3267" ht="30.75" customHeight="1" thickBot="1" x14ac:dyDescent="0.25"/>
    <row r="3268" ht="30.75" customHeight="1" thickBot="1" x14ac:dyDescent="0.25"/>
    <row r="3269" ht="30.75" customHeight="1" thickBot="1" x14ac:dyDescent="0.25"/>
    <row r="3270" ht="30.75" customHeight="1" thickBot="1" x14ac:dyDescent="0.25"/>
    <row r="3271" ht="30.75" customHeight="1" thickBot="1" x14ac:dyDescent="0.25"/>
    <row r="3272" ht="30.75" customHeight="1" thickBot="1" x14ac:dyDescent="0.25"/>
    <row r="3273" ht="30.75" customHeight="1" thickBot="1" x14ac:dyDescent="0.25"/>
    <row r="3274" ht="30.75" customHeight="1" thickBot="1" x14ac:dyDescent="0.25"/>
    <row r="3275" ht="30.75" customHeight="1" thickBot="1" x14ac:dyDescent="0.25"/>
    <row r="3276" ht="30.75" customHeight="1" thickBot="1" x14ac:dyDescent="0.25"/>
    <row r="3277" ht="30.75" customHeight="1" thickBot="1" x14ac:dyDescent="0.25"/>
    <row r="3278" ht="30.75" customHeight="1" thickBot="1" x14ac:dyDescent="0.25"/>
    <row r="3279" ht="30.75" customHeight="1" thickBot="1" x14ac:dyDescent="0.25"/>
    <row r="3280" ht="30.75" customHeight="1" thickBot="1" x14ac:dyDescent="0.25"/>
    <row r="3281" ht="30.75" customHeight="1" thickBot="1" x14ac:dyDescent="0.25"/>
    <row r="3282" ht="30.75" customHeight="1" thickBot="1" x14ac:dyDescent="0.25"/>
    <row r="3283" ht="30.75" customHeight="1" thickBot="1" x14ac:dyDescent="0.25"/>
    <row r="3284" ht="30.75" customHeight="1" thickBot="1" x14ac:dyDescent="0.25"/>
    <row r="3285" ht="30.75" customHeight="1" thickBot="1" x14ac:dyDescent="0.25"/>
    <row r="3286" ht="30.75" customHeight="1" thickBot="1" x14ac:dyDescent="0.25"/>
    <row r="3287" ht="30.75" customHeight="1" thickBot="1" x14ac:dyDescent="0.25"/>
    <row r="3288" ht="30.75" customHeight="1" thickBot="1" x14ac:dyDescent="0.25"/>
    <row r="3289" ht="30.75" customHeight="1" thickBot="1" x14ac:dyDescent="0.25"/>
    <row r="3290" ht="30.75" customHeight="1" thickBot="1" x14ac:dyDescent="0.25"/>
    <row r="3291" ht="30.75" customHeight="1" thickBot="1" x14ac:dyDescent="0.25"/>
    <row r="3292" ht="30.75" customHeight="1" thickBot="1" x14ac:dyDescent="0.25"/>
    <row r="3293" ht="30.75" customHeight="1" thickBot="1" x14ac:dyDescent="0.25"/>
    <row r="3294" ht="30.75" customHeight="1" thickBot="1" x14ac:dyDescent="0.25"/>
    <row r="3295" ht="30.75" customHeight="1" thickBot="1" x14ac:dyDescent="0.25"/>
    <row r="3296" ht="30.75" customHeight="1" thickBot="1" x14ac:dyDescent="0.25"/>
    <row r="3297" ht="30.75" customHeight="1" thickBot="1" x14ac:dyDescent="0.25"/>
    <row r="3298" ht="30.75" customHeight="1" thickBot="1" x14ac:dyDescent="0.25"/>
    <row r="3299" ht="30.75" customHeight="1" thickBot="1" x14ac:dyDescent="0.25"/>
    <row r="3300" ht="30.75" customHeight="1" thickBot="1" x14ac:dyDescent="0.25"/>
    <row r="3301" ht="30.75" customHeight="1" thickBot="1" x14ac:dyDescent="0.25"/>
    <row r="3302" ht="30.75" customHeight="1" thickBot="1" x14ac:dyDescent="0.25"/>
    <row r="3303" ht="30.75" customHeight="1" thickBot="1" x14ac:dyDescent="0.25"/>
    <row r="3304" ht="30.75" customHeight="1" thickBot="1" x14ac:dyDescent="0.25"/>
    <row r="3305" ht="30.75" customHeight="1" thickBot="1" x14ac:dyDescent="0.25"/>
    <row r="3306" ht="30.75" customHeight="1" thickBot="1" x14ac:dyDescent="0.25"/>
    <row r="3307" ht="30.75" customHeight="1" thickBot="1" x14ac:dyDescent="0.25"/>
    <row r="3308" ht="30.75" customHeight="1" thickBot="1" x14ac:dyDescent="0.25"/>
    <row r="3309" ht="30.75" customHeight="1" thickBot="1" x14ac:dyDescent="0.25"/>
    <row r="3310" ht="30.75" customHeight="1" thickBot="1" x14ac:dyDescent="0.25"/>
    <row r="3311" ht="30.75" customHeight="1" thickBot="1" x14ac:dyDescent="0.25"/>
    <row r="3312" ht="30.75" customHeight="1" thickBot="1" x14ac:dyDescent="0.25"/>
    <row r="3313" ht="30.75" customHeight="1" thickBot="1" x14ac:dyDescent="0.25"/>
    <row r="3314" ht="30.75" customHeight="1" thickBot="1" x14ac:dyDescent="0.25"/>
    <row r="3315" ht="30.75" customHeight="1" thickBot="1" x14ac:dyDescent="0.25"/>
    <row r="3316" ht="30.75" customHeight="1" thickBot="1" x14ac:dyDescent="0.25"/>
    <row r="3317" ht="30.75" customHeight="1" thickBot="1" x14ac:dyDescent="0.25"/>
    <row r="3318" ht="30.75" customHeight="1" thickBot="1" x14ac:dyDescent="0.25"/>
    <row r="3319" ht="30.75" customHeight="1" thickBot="1" x14ac:dyDescent="0.25"/>
    <row r="3320" ht="30.75" customHeight="1" thickBot="1" x14ac:dyDescent="0.25"/>
    <row r="3321" ht="30.75" customHeight="1" thickBot="1" x14ac:dyDescent="0.25"/>
    <row r="3322" ht="30.75" customHeight="1" thickBot="1" x14ac:dyDescent="0.25"/>
    <row r="3323" ht="30.75" customHeight="1" thickBot="1" x14ac:dyDescent="0.25"/>
    <row r="3324" ht="30.75" customHeight="1" thickBot="1" x14ac:dyDescent="0.25"/>
    <row r="3325" ht="30.75" customHeight="1" thickBot="1" x14ac:dyDescent="0.25"/>
    <row r="3326" ht="30.75" customHeight="1" thickBot="1" x14ac:dyDescent="0.25"/>
    <row r="3327" ht="30.75" customHeight="1" thickBot="1" x14ac:dyDescent="0.25"/>
    <row r="3328" ht="30.75" customHeight="1" thickBot="1" x14ac:dyDescent="0.25"/>
    <row r="3329" ht="30.75" customHeight="1" thickBot="1" x14ac:dyDescent="0.25"/>
    <row r="3330" ht="30.75" customHeight="1" thickBot="1" x14ac:dyDescent="0.25"/>
    <row r="3331" ht="30.75" customHeight="1" thickBot="1" x14ac:dyDescent="0.25"/>
    <row r="3332" ht="30.75" customHeight="1" thickBot="1" x14ac:dyDescent="0.25"/>
    <row r="3333" ht="30.75" customHeight="1" thickBot="1" x14ac:dyDescent="0.25"/>
    <row r="3334" ht="30.75" customHeight="1" thickBot="1" x14ac:dyDescent="0.25"/>
    <row r="3335" ht="30.75" customHeight="1" thickBot="1" x14ac:dyDescent="0.25"/>
    <row r="3336" ht="30.75" customHeight="1" thickBot="1" x14ac:dyDescent="0.25"/>
    <row r="3337" ht="30.75" customHeight="1" thickBot="1" x14ac:dyDescent="0.25"/>
    <row r="3338" ht="30.75" customHeight="1" thickBot="1" x14ac:dyDescent="0.25"/>
    <row r="3339" ht="30.75" customHeight="1" thickBot="1" x14ac:dyDescent="0.25"/>
    <row r="3340" ht="30.75" customHeight="1" thickBot="1" x14ac:dyDescent="0.25"/>
    <row r="3341" ht="30.75" customHeight="1" thickBot="1" x14ac:dyDescent="0.25"/>
    <row r="3342" ht="30.75" customHeight="1" thickBot="1" x14ac:dyDescent="0.25"/>
    <row r="3343" ht="30.75" customHeight="1" thickBot="1" x14ac:dyDescent="0.25"/>
    <row r="3344" ht="30.75" customHeight="1" thickBot="1" x14ac:dyDescent="0.25"/>
    <row r="3345" ht="30.75" customHeight="1" thickBot="1" x14ac:dyDescent="0.25"/>
    <row r="3346" ht="30.75" customHeight="1" thickBot="1" x14ac:dyDescent="0.25"/>
    <row r="3347" ht="30.75" customHeight="1" thickBot="1" x14ac:dyDescent="0.25"/>
    <row r="3348" ht="30.75" customHeight="1" thickBot="1" x14ac:dyDescent="0.25"/>
    <row r="3349" ht="30.75" customHeight="1" thickBot="1" x14ac:dyDescent="0.25"/>
    <row r="3350" ht="30.75" customHeight="1" thickBot="1" x14ac:dyDescent="0.25"/>
    <row r="3351" ht="30.75" customHeight="1" thickBot="1" x14ac:dyDescent="0.25"/>
    <row r="3352" ht="30.75" customHeight="1" thickBot="1" x14ac:dyDescent="0.25"/>
    <row r="3353" ht="30.75" customHeight="1" thickBot="1" x14ac:dyDescent="0.25"/>
    <row r="3354" ht="30.75" customHeight="1" thickBot="1" x14ac:dyDescent="0.25"/>
    <row r="3355" ht="30.75" customHeight="1" thickBot="1" x14ac:dyDescent="0.25"/>
    <row r="3356" ht="30.75" customHeight="1" thickBot="1" x14ac:dyDescent="0.25"/>
    <row r="3357" ht="30.75" customHeight="1" thickBot="1" x14ac:dyDescent="0.25"/>
    <row r="3358" ht="30.75" customHeight="1" thickBot="1" x14ac:dyDescent="0.25"/>
    <row r="3359" ht="30.75" customHeight="1" thickBot="1" x14ac:dyDescent="0.25"/>
    <row r="3360" ht="30.75" customHeight="1" thickBot="1" x14ac:dyDescent="0.25"/>
    <row r="3361" ht="30.75" customHeight="1" thickBot="1" x14ac:dyDescent="0.25"/>
    <row r="3362" ht="30.75" customHeight="1" thickBot="1" x14ac:dyDescent="0.25"/>
    <row r="3363" ht="30.75" customHeight="1" thickBot="1" x14ac:dyDescent="0.25"/>
    <row r="3364" ht="30.75" customHeight="1" thickBot="1" x14ac:dyDescent="0.25"/>
    <row r="3365" ht="30.75" customHeight="1" thickBot="1" x14ac:dyDescent="0.25"/>
    <row r="3366" ht="30.75" customHeight="1" thickBot="1" x14ac:dyDescent="0.25"/>
    <row r="3367" ht="30.75" customHeight="1" thickBot="1" x14ac:dyDescent="0.25"/>
    <row r="3368" ht="30.75" customHeight="1" thickBot="1" x14ac:dyDescent="0.25"/>
    <row r="3369" ht="30.75" customHeight="1" thickBot="1" x14ac:dyDescent="0.25"/>
    <row r="3370" ht="30.75" customHeight="1" thickBot="1" x14ac:dyDescent="0.25"/>
    <row r="3371" ht="30.75" customHeight="1" thickBot="1" x14ac:dyDescent="0.25"/>
    <row r="3372" ht="30.75" customHeight="1" thickBot="1" x14ac:dyDescent="0.25"/>
    <row r="3373" ht="30.75" customHeight="1" thickBot="1" x14ac:dyDescent="0.25"/>
    <row r="3374" ht="30.75" customHeight="1" thickBot="1" x14ac:dyDescent="0.25"/>
    <row r="3375" ht="30.75" customHeight="1" thickBot="1" x14ac:dyDescent="0.25"/>
    <row r="3376" ht="30.75" customHeight="1" thickBot="1" x14ac:dyDescent="0.25"/>
    <row r="3377" ht="30.75" customHeight="1" thickBot="1" x14ac:dyDescent="0.25"/>
    <row r="3378" ht="30.75" customHeight="1" thickBot="1" x14ac:dyDescent="0.25"/>
    <row r="3379" ht="30.75" customHeight="1" thickBot="1" x14ac:dyDescent="0.25"/>
    <row r="3380" ht="30.75" customHeight="1" thickBot="1" x14ac:dyDescent="0.25"/>
    <row r="3381" ht="30.75" customHeight="1" thickBot="1" x14ac:dyDescent="0.25"/>
    <row r="3382" ht="30.75" customHeight="1" thickBot="1" x14ac:dyDescent="0.25"/>
    <row r="3383" ht="30.75" customHeight="1" thickBot="1" x14ac:dyDescent="0.25"/>
    <row r="3384" ht="30.75" customHeight="1" thickBot="1" x14ac:dyDescent="0.25"/>
    <row r="3385" ht="30.75" customHeight="1" thickBot="1" x14ac:dyDescent="0.25"/>
    <row r="3386" ht="30.75" customHeight="1" thickBot="1" x14ac:dyDescent="0.25"/>
    <row r="3387" ht="30.75" customHeight="1" thickBot="1" x14ac:dyDescent="0.25"/>
    <row r="3388" ht="30.75" customHeight="1" thickBot="1" x14ac:dyDescent="0.25"/>
    <row r="3389" ht="30.75" customHeight="1" thickBot="1" x14ac:dyDescent="0.25"/>
    <row r="3390" ht="30.75" customHeight="1" thickBot="1" x14ac:dyDescent="0.25"/>
    <row r="3391" ht="30.75" customHeight="1" thickBot="1" x14ac:dyDescent="0.25"/>
    <row r="3392" ht="30.75" customHeight="1" thickBot="1" x14ac:dyDescent="0.25"/>
    <row r="3393" ht="30.75" customHeight="1" thickBot="1" x14ac:dyDescent="0.25"/>
    <row r="3394" ht="30.75" customHeight="1" thickBot="1" x14ac:dyDescent="0.25"/>
    <row r="3395" ht="30.75" customHeight="1" thickBot="1" x14ac:dyDescent="0.25"/>
    <row r="3396" ht="30.75" customHeight="1" thickBot="1" x14ac:dyDescent="0.25"/>
    <row r="3397" ht="30.75" customHeight="1" thickBot="1" x14ac:dyDescent="0.25"/>
    <row r="3398" ht="30.75" customHeight="1" thickBot="1" x14ac:dyDescent="0.25"/>
    <row r="3399" ht="30.75" customHeight="1" thickBot="1" x14ac:dyDescent="0.25"/>
    <row r="3400" ht="30.75" customHeight="1" thickBot="1" x14ac:dyDescent="0.25"/>
    <row r="3401" ht="30.75" customHeight="1" thickBot="1" x14ac:dyDescent="0.25"/>
    <row r="3402" ht="30.75" customHeight="1" thickBot="1" x14ac:dyDescent="0.25"/>
    <row r="3403" ht="30.75" customHeight="1" thickBot="1" x14ac:dyDescent="0.25"/>
    <row r="3404" ht="30.75" customHeight="1" thickBot="1" x14ac:dyDescent="0.25"/>
    <row r="3405" ht="30.75" customHeight="1" thickBot="1" x14ac:dyDescent="0.25"/>
    <row r="3406" ht="30.75" customHeight="1" thickBot="1" x14ac:dyDescent="0.25"/>
    <row r="3407" ht="30.75" customHeight="1" thickBot="1" x14ac:dyDescent="0.25"/>
    <row r="3408" ht="30.75" customHeight="1" thickBot="1" x14ac:dyDescent="0.25"/>
    <row r="3409" ht="30.75" customHeight="1" thickBot="1" x14ac:dyDescent="0.25"/>
    <row r="3410" ht="30.75" customHeight="1" thickBot="1" x14ac:dyDescent="0.25"/>
    <row r="3411" ht="30.75" customHeight="1" thickBot="1" x14ac:dyDescent="0.25"/>
    <row r="3412" ht="30.75" customHeight="1" thickBot="1" x14ac:dyDescent="0.25"/>
    <row r="3413" ht="30.75" customHeight="1" thickBot="1" x14ac:dyDescent="0.25"/>
    <row r="3414" ht="30.75" customHeight="1" thickBot="1" x14ac:dyDescent="0.25"/>
    <row r="3415" ht="30.75" customHeight="1" thickBot="1" x14ac:dyDescent="0.25"/>
    <row r="3416" ht="30.75" customHeight="1" thickBot="1" x14ac:dyDescent="0.25"/>
    <row r="3417" ht="30.75" customHeight="1" thickBot="1" x14ac:dyDescent="0.25"/>
    <row r="3418" ht="30.75" customHeight="1" thickBot="1" x14ac:dyDescent="0.25"/>
    <row r="3419" ht="30.75" customHeight="1" thickBot="1" x14ac:dyDescent="0.25"/>
    <row r="3420" ht="30.75" customHeight="1" thickBot="1" x14ac:dyDescent="0.25"/>
    <row r="3421" ht="30.75" customHeight="1" thickBot="1" x14ac:dyDescent="0.25"/>
    <row r="3422" ht="30.75" customHeight="1" thickBot="1" x14ac:dyDescent="0.25"/>
    <row r="3423" ht="30.75" customHeight="1" thickBot="1" x14ac:dyDescent="0.25"/>
    <row r="3424" ht="30.75" customHeight="1" thickBot="1" x14ac:dyDescent="0.25"/>
    <row r="3425" ht="30.75" customHeight="1" thickBot="1" x14ac:dyDescent="0.25"/>
    <row r="3426" ht="30.75" customHeight="1" thickBot="1" x14ac:dyDescent="0.25"/>
    <row r="3427" ht="30.75" customHeight="1" thickBot="1" x14ac:dyDescent="0.25"/>
    <row r="3428" ht="30.75" customHeight="1" thickBot="1" x14ac:dyDescent="0.25"/>
    <row r="3429" ht="30.75" customHeight="1" thickBot="1" x14ac:dyDescent="0.25"/>
    <row r="3430" ht="30.75" customHeight="1" thickBot="1" x14ac:dyDescent="0.25"/>
    <row r="3431" ht="30.75" customHeight="1" thickBot="1" x14ac:dyDescent="0.25"/>
    <row r="3432" ht="30.75" customHeight="1" thickBot="1" x14ac:dyDescent="0.25"/>
    <row r="3433" ht="30.75" customHeight="1" thickBot="1" x14ac:dyDescent="0.25"/>
    <row r="3434" ht="30.75" customHeight="1" thickBot="1" x14ac:dyDescent="0.25"/>
    <row r="3435" ht="30.75" customHeight="1" thickBot="1" x14ac:dyDescent="0.25"/>
    <row r="3436" ht="30.75" customHeight="1" thickBot="1" x14ac:dyDescent="0.25"/>
    <row r="3437" ht="30.75" customHeight="1" thickBot="1" x14ac:dyDescent="0.25"/>
    <row r="3438" ht="30.75" customHeight="1" thickBot="1" x14ac:dyDescent="0.25"/>
    <row r="3439" ht="30.75" customHeight="1" thickBot="1" x14ac:dyDescent="0.25"/>
    <row r="3440" ht="30.75" customHeight="1" thickBot="1" x14ac:dyDescent="0.25"/>
    <row r="3441" ht="30.75" customHeight="1" thickBot="1" x14ac:dyDescent="0.25"/>
    <row r="3442" ht="30.75" customHeight="1" thickBot="1" x14ac:dyDescent="0.25"/>
    <row r="3443" ht="30.75" customHeight="1" thickBot="1" x14ac:dyDescent="0.25"/>
    <row r="3444" ht="30.75" customHeight="1" thickBot="1" x14ac:dyDescent="0.25"/>
    <row r="3445" ht="30.75" customHeight="1" thickBot="1" x14ac:dyDescent="0.25"/>
    <row r="3446" ht="30.75" customHeight="1" thickBot="1" x14ac:dyDescent="0.25"/>
    <row r="3447" ht="30.75" customHeight="1" thickBot="1" x14ac:dyDescent="0.25"/>
    <row r="3448" ht="30.75" customHeight="1" thickBot="1" x14ac:dyDescent="0.25"/>
    <row r="3449" ht="30.75" customHeight="1" thickBot="1" x14ac:dyDescent="0.25"/>
    <row r="3450" ht="30.75" customHeight="1" thickBot="1" x14ac:dyDescent="0.25"/>
    <row r="3451" ht="30.75" customHeight="1" thickBot="1" x14ac:dyDescent="0.25"/>
    <row r="3452" ht="30.75" customHeight="1" thickBot="1" x14ac:dyDescent="0.25"/>
    <row r="3453" ht="30.75" customHeight="1" thickBot="1" x14ac:dyDescent="0.25"/>
    <row r="3454" ht="30.75" customHeight="1" thickBot="1" x14ac:dyDescent="0.25"/>
    <row r="3455" ht="30.75" customHeight="1" thickBot="1" x14ac:dyDescent="0.25"/>
    <row r="3456" ht="30.75" customHeight="1" thickBot="1" x14ac:dyDescent="0.25"/>
    <row r="3457" ht="30.75" customHeight="1" thickBot="1" x14ac:dyDescent="0.25"/>
    <row r="3458" ht="30.75" customHeight="1" thickBot="1" x14ac:dyDescent="0.25"/>
    <row r="3459" ht="30.75" customHeight="1" thickBot="1" x14ac:dyDescent="0.25"/>
    <row r="3460" ht="30.75" customHeight="1" thickBot="1" x14ac:dyDescent="0.25"/>
    <row r="3461" ht="30.75" customHeight="1" thickBot="1" x14ac:dyDescent="0.25"/>
    <row r="3462" ht="30.75" customHeight="1" thickBot="1" x14ac:dyDescent="0.25"/>
    <row r="3463" ht="30.75" customHeight="1" thickBot="1" x14ac:dyDescent="0.25"/>
    <row r="3464" ht="30.75" customHeight="1" thickBot="1" x14ac:dyDescent="0.25"/>
    <row r="3465" ht="30.75" customHeight="1" thickBot="1" x14ac:dyDescent="0.25"/>
    <row r="3466" ht="30.75" customHeight="1" thickBot="1" x14ac:dyDescent="0.25"/>
    <row r="3467" ht="30.75" customHeight="1" thickBot="1" x14ac:dyDescent="0.25"/>
    <row r="3468" ht="30.75" customHeight="1" thickBot="1" x14ac:dyDescent="0.25"/>
    <row r="3469" ht="30.75" customHeight="1" thickBot="1" x14ac:dyDescent="0.25"/>
    <row r="3470" ht="30.75" customHeight="1" thickBot="1" x14ac:dyDescent="0.25"/>
    <row r="3471" ht="30.75" customHeight="1" thickBot="1" x14ac:dyDescent="0.25"/>
    <row r="3472" ht="30.75" customHeight="1" thickBot="1" x14ac:dyDescent="0.25"/>
    <row r="3473" ht="30.75" customHeight="1" thickBot="1" x14ac:dyDescent="0.25"/>
    <row r="3474" ht="30.75" customHeight="1" thickBot="1" x14ac:dyDescent="0.25"/>
    <row r="3475" ht="30.75" customHeight="1" thickBot="1" x14ac:dyDescent="0.25"/>
    <row r="3476" ht="30.75" customHeight="1" thickBot="1" x14ac:dyDescent="0.25"/>
    <row r="3477" ht="30.75" customHeight="1" thickBot="1" x14ac:dyDescent="0.25"/>
    <row r="3478" ht="30.75" customHeight="1" thickBot="1" x14ac:dyDescent="0.25"/>
    <row r="3479" ht="30.75" customHeight="1" thickBot="1" x14ac:dyDescent="0.25"/>
    <row r="3480" ht="30.75" customHeight="1" thickBot="1" x14ac:dyDescent="0.25"/>
    <row r="3481" ht="30.75" customHeight="1" thickBot="1" x14ac:dyDescent="0.25"/>
    <row r="3482" ht="30.75" customHeight="1" thickBot="1" x14ac:dyDescent="0.25"/>
    <row r="3483" ht="30.75" customHeight="1" thickBot="1" x14ac:dyDescent="0.25"/>
    <row r="3484" ht="30.75" customHeight="1" thickBot="1" x14ac:dyDescent="0.25"/>
    <row r="3485" ht="30.75" customHeight="1" thickBot="1" x14ac:dyDescent="0.25"/>
    <row r="3486" ht="30.75" customHeight="1" thickBot="1" x14ac:dyDescent="0.25"/>
    <row r="3487" ht="30.75" customHeight="1" thickBot="1" x14ac:dyDescent="0.25"/>
    <row r="3488" ht="30.75" customHeight="1" thickBot="1" x14ac:dyDescent="0.25"/>
    <row r="3489" ht="30.75" customHeight="1" thickBot="1" x14ac:dyDescent="0.25"/>
    <row r="3490" ht="30.75" customHeight="1" thickBot="1" x14ac:dyDescent="0.25"/>
    <row r="3491" ht="30.75" customHeight="1" thickBot="1" x14ac:dyDescent="0.25"/>
    <row r="3492" ht="30.75" customHeight="1" thickBot="1" x14ac:dyDescent="0.25"/>
    <row r="3493" ht="30.75" customHeight="1" thickBot="1" x14ac:dyDescent="0.25"/>
    <row r="3494" ht="30.75" customHeight="1" thickBot="1" x14ac:dyDescent="0.25"/>
    <row r="3495" ht="30.75" customHeight="1" thickBot="1" x14ac:dyDescent="0.25"/>
    <row r="3496" ht="30.75" customHeight="1" thickBot="1" x14ac:dyDescent="0.25"/>
    <row r="3497" ht="30.75" customHeight="1" thickBot="1" x14ac:dyDescent="0.25"/>
    <row r="3498" ht="30.75" customHeight="1" thickBot="1" x14ac:dyDescent="0.25"/>
    <row r="3499" ht="30.75" customHeight="1" thickBot="1" x14ac:dyDescent="0.25"/>
    <row r="3500" ht="30.75" customHeight="1" thickBot="1" x14ac:dyDescent="0.25"/>
    <row r="3501" ht="30.75" customHeight="1" thickBot="1" x14ac:dyDescent="0.25"/>
    <row r="3502" ht="30.75" customHeight="1" thickBot="1" x14ac:dyDescent="0.25"/>
    <row r="3503" ht="30.75" customHeight="1" thickBot="1" x14ac:dyDescent="0.25"/>
    <row r="3504" ht="30.75" customHeight="1" thickBot="1" x14ac:dyDescent="0.25"/>
    <row r="3505" ht="30.75" customHeight="1" thickBot="1" x14ac:dyDescent="0.25"/>
    <row r="3506" ht="30.75" customHeight="1" thickBot="1" x14ac:dyDescent="0.25"/>
    <row r="3507" ht="30.75" customHeight="1" thickBot="1" x14ac:dyDescent="0.25"/>
    <row r="3508" ht="30.75" customHeight="1" thickBot="1" x14ac:dyDescent="0.25"/>
    <row r="3509" ht="30.75" customHeight="1" thickBot="1" x14ac:dyDescent="0.25"/>
    <row r="3510" ht="30.75" customHeight="1" thickBot="1" x14ac:dyDescent="0.25"/>
    <row r="3511" ht="30.75" customHeight="1" thickBot="1" x14ac:dyDescent="0.25"/>
    <row r="3512" ht="30.75" customHeight="1" thickBot="1" x14ac:dyDescent="0.25"/>
    <row r="3513" ht="30.75" customHeight="1" thickBot="1" x14ac:dyDescent="0.25"/>
    <row r="3514" ht="30.75" customHeight="1" thickBot="1" x14ac:dyDescent="0.25"/>
    <row r="3515" ht="30.75" customHeight="1" thickBot="1" x14ac:dyDescent="0.25"/>
    <row r="3516" ht="30.75" customHeight="1" thickBot="1" x14ac:dyDescent="0.25"/>
    <row r="3517" ht="30.75" customHeight="1" thickBot="1" x14ac:dyDescent="0.25"/>
    <row r="3518" ht="30.75" customHeight="1" thickBot="1" x14ac:dyDescent="0.25"/>
    <row r="3519" ht="30.75" customHeight="1" thickBot="1" x14ac:dyDescent="0.25"/>
    <row r="3520" ht="30.75" customHeight="1" thickBot="1" x14ac:dyDescent="0.25"/>
    <row r="3521" ht="30.75" customHeight="1" thickBot="1" x14ac:dyDescent="0.25"/>
    <row r="3522" ht="30.75" customHeight="1" thickBot="1" x14ac:dyDescent="0.25"/>
    <row r="3523" ht="30.75" customHeight="1" thickBot="1" x14ac:dyDescent="0.25"/>
    <row r="3524" ht="30.75" customHeight="1" thickBot="1" x14ac:dyDescent="0.25"/>
    <row r="3525" ht="30.75" customHeight="1" thickBot="1" x14ac:dyDescent="0.25"/>
    <row r="3526" ht="30.75" customHeight="1" thickBot="1" x14ac:dyDescent="0.25"/>
    <row r="3527" ht="30.75" customHeight="1" thickBot="1" x14ac:dyDescent="0.25"/>
    <row r="3528" ht="30.75" customHeight="1" thickBot="1" x14ac:dyDescent="0.25"/>
    <row r="3529" ht="30.75" customHeight="1" thickBot="1" x14ac:dyDescent="0.25"/>
    <row r="3530" ht="30.75" customHeight="1" thickBot="1" x14ac:dyDescent="0.25"/>
    <row r="3531" ht="30.75" customHeight="1" thickBot="1" x14ac:dyDescent="0.25"/>
    <row r="3532" ht="30.75" customHeight="1" thickBot="1" x14ac:dyDescent="0.25"/>
    <row r="3533" ht="30.75" customHeight="1" thickBot="1" x14ac:dyDescent="0.25"/>
    <row r="3534" ht="30.75" customHeight="1" thickBot="1" x14ac:dyDescent="0.25"/>
    <row r="3535" ht="30.75" customHeight="1" thickBot="1" x14ac:dyDescent="0.25"/>
    <row r="3536" ht="30.75" customHeight="1" thickBot="1" x14ac:dyDescent="0.25"/>
    <row r="3537" ht="30.75" customHeight="1" thickBot="1" x14ac:dyDescent="0.25"/>
    <row r="3538" ht="30.75" customHeight="1" thickBot="1" x14ac:dyDescent="0.25"/>
    <row r="3539" ht="30.75" customHeight="1" thickBot="1" x14ac:dyDescent="0.25"/>
    <row r="3540" ht="30.75" customHeight="1" thickBot="1" x14ac:dyDescent="0.25"/>
    <row r="3541" ht="30.75" customHeight="1" thickBot="1" x14ac:dyDescent="0.25"/>
    <row r="3542" ht="30.75" customHeight="1" thickBot="1" x14ac:dyDescent="0.25"/>
    <row r="3543" ht="30.75" customHeight="1" thickBot="1" x14ac:dyDescent="0.25"/>
    <row r="3544" ht="30.75" customHeight="1" thickBot="1" x14ac:dyDescent="0.25"/>
    <row r="3545" ht="30.75" customHeight="1" thickBot="1" x14ac:dyDescent="0.25"/>
    <row r="3546" ht="30.75" customHeight="1" thickBot="1" x14ac:dyDescent="0.25"/>
    <row r="3547" ht="30.75" customHeight="1" thickBot="1" x14ac:dyDescent="0.25"/>
    <row r="3548" ht="30.75" customHeight="1" thickBot="1" x14ac:dyDescent="0.25"/>
    <row r="3549" ht="30.75" customHeight="1" thickBot="1" x14ac:dyDescent="0.25"/>
    <row r="3550" ht="30.75" customHeight="1" thickBot="1" x14ac:dyDescent="0.25"/>
    <row r="3551" ht="30.75" customHeight="1" thickBot="1" x14ac:dyDescent="0.25"/>
    <row r="3552" ht="30.75" customHeight="1" thickBot="1" x14ac:dyDescent="0.25"/>
    <row r="3553" ht="30.75" customHeight="1" thickBot="1" x14ac:dyDescent="0.25"/>
    <row r="3554" ht="30.75" customHeight="1" thickBot="1" x14ac:dyDescent="0.25"/>
    <row r="3555" ht="30.75" customHeight="1" thickBot="1" x14ac:dyDescent="0.25"/>
    <row r="3556" ht="30.75" customHeight="1" thickBot="1" x14ac:dyDescent="0.25"/>
    <row r="3557" ht="30.75" customHeight="1" thickBot="1" x14ac:dyDescent="0.25"/>
    <row r="3558" ht="30.75" customHeight="1" thickBot="1" x14ac:dyDescent="0.25"/>
    <row r="3559" ht="30.75" customHeight="1" thickBot="1" x14ac:dyDescent="0.25"/>
    <row r="3560" ht="30.75" customHeight="1" thickBot="1" x14ac:dyDescent="0.25"/>
    <row r="3561" ht="30.75" customHeight="1" thickBot="1" x14ac:dyDescent="0.25"/>
    <row r="3562" ht="30.75" customHeight="1" thickBot="1" x14ac:dyDescent="0.25"/>
    <row r="3563" ht="30.75" customHeight="1" thickBot="1" x14ac:dyDescent="0.25"/>
    <row r="3564" ht="30.75" customHeight="1" thickBot="1" x14ac:dyDescent="0.25"/>
    <row r="3565" ht="30.75" customHeight="1" thickBot="1" x14ac:dyDescent="0.25"/>
    <row r="3566" ht="30.75" customHeight="1" thickBot="1" x14ac:dyDescent="0.25"/>
    <row r="3567" ht="30.75" customHeight="1" thickBot="1" x14ac:dyDescent="0.25"/>
    <row r="3568" ht="30.75" customHeight="1" thickBot="1" x14ac:dyDescent="0.25"/>
    <row r="3569" ht="30.75" customHeight="1" thickBot="1" x14ac:dyDescent="0.25"/>
    <row r="3570" ht="30.75" customHeight="1" thickBot="1" x14ac:dyDescent="0.25"/>
    <row r="3571" ht="30.75" customHeight="1" thickBot="1" x14ac:dyDescent="0.25"/>
    <row r="3572" ht="30.75" customHeight="1" thickBot="1" x14ac:dyDescent="0.25"/>
    <row r="3573" ht="30.75" customHeight="1" thickBot="1" x14ac:dyDescent="0.25"/>
    <row r="3574" ht="30.75" customHeight="1" thickBot="1" x14ac:dyDescent="0.25"/>
    <row r="3575" ht="30.75" customHeight="1" thickBot="1" x14ac:dyDescent="0.25"/>
    <row r="3576" ht="30.75" customHeight="1" thickBot="1" x14ac:dyDescent="0.25"/>
    <row r="3577" ht="30.75" customHeight="1" thickBot="1" x14ac:dyDescent="0.25"/>
    <row r="3578" ht="30.75" customHeight="1" thickBot="1" x14ac:dyDescent="0.25"/>
    <row r="3579" ht="30.75" customHeight="1" thickBot="1" x14ac:dyDescent="0.25"/>
    <row r="3580" ht="30.75" customHeight="1" thickBot="1" x14ac:dyDescent="0.25"/>
    <row r="3581" ht="30.75" customHeight="1" thickBot="1" x14ac:dyDescent="0.25"/>
    <row r="3582" ht="30.75" customHeight="1" thickBot="1" x14ac:dyDescent="0.25"/>
    <row r="3583" ht="30.75" customHeight="1" thickBot="1" x14ac:dyDescent="0.25"/>
    <row r="3584" ht="30.75" customHeight="1" thickBot="1" x14ac:dyDescent="0.25"/>
    <row r="3585" ht="30.75" customHeight="1" thickBot="1" x14ac:dyDescent="0.25"/>
    <row r="3586" ht="30.75" customHeight="1" thickBot="1" x14ac:dyDescent="0.25"/>
    <row r="3587" ht="30.75" customHeight="1" thickBot="1" x14ac:dyDescent="0.25"/>
    <row r="3588" ht="30.75" customHeight="1" thickBot="1" x14ac:dyDescent="0.25"/>
    <row r="3589" ht="30.75" customHeight="1" thickBot="1" x14ac:dyDescent="0.25"/>
    <row r="3590" ht="30.75" customHeight="1" thickBot="1" x14ac:dyDescent="0.25"/>
    <row r="3591" ht="30.75" customHeight="1" thickBot="1" x14ac:dyDescent="0.25"/>
    <row r="3592" ht="30.75" customHeight="1" thickBot="1" x14ac:dyDescent="0.25"/>
    <row r="3593" ht="30.75" customHeight="1" thickBot="1" x14ac:dyDescent="0.25"/>
    <row r="3594" ht="30.75" customHeight="1" thickBot="1" x14ac:dyDescent="0.25"/>
    <row r="3595" ht="30.75" customHeight="1" thickBot="1" x14ac:dyDescent="0.25"/>
    <row r="3596" ht="30.75" customHeight="1" thickBot="1" x14ac:dyDescent="0.25"/>
    <row r="3597" ht="30.75" customHeight="1" thickBot="1" x14ac:dyDescent="0.25"/>
    <row r="3598" ht="30.75" customHeight="1" thickBot="1" x14ac:dyDescent="0.25"/>
    <row r="3599" ht="30.75" customHeight="1" thickBot="1" x14ac:dyDescent="0.25"/>
    <row r="3600" ht="30.75" customHeight="1" thickBot="1" x14ac:dyDescent="0.25"/>
    <row r="3601" ht="30.75" customHeight="1" thickBot="1" x14ac:dyDescent="0.25"/>
    <row r="3602" ht="30.75" customHeight="1" thickBot="1" x14ac:dyDescent="0.25"/>
    <row r="3603" ht="30.75" customHeight="1" thickBot="1" x14ac:dyDescent="0.25"/>
    <row r="3604" ht="30.75" customHeight="1" thickBot="1" x14ac:dyDescent="0.25"/>
    <row r="3605" ht="30.75" customHeight="1" thickBot="1" x14ac:dyDescent="0.25"/>
    <row r="3606" ht="30.75" customHeight="1" thickBot="1" x14ac:dyDescent="0.25"/>
    <row r="3607" ht="30.75" customHeight="1" thickBot="1" x14ac:dyDescent="0.25"/>
    <row r="3608" ht="30.75" customHeight="1" thickBot="1" x14ac:dyDescent="0.25"/>
    <row r="3609" ht="30.75" customHeight="1" thickBot="1" x14ac:dyDescent="0.25"/>
    <row r="3610" ht="30.75" customHeight="1" thickBot="1" x14ac:dyDescent="0.25"/>
    <row r="3611" ht="30.75" customHeight="1" thickBot="1" x14ac:dyDescent="0.25"/>
    <row r="3612" ht="30.75" customHeight="1" thickBot="1" x14ac:dyDescent="0.25"/>
    <row r="3613" ht="30.75" customHeight="1" thickBot="1" x14ac:dyDescent="0.25"/>
    <row r="3614" ht="30.75" customHeight="1" thickBot="1" x14ac:dyDescent="0.25"/>
    <row r="3615" ht="30.75" customHeight="1" thickBot="1" x14ac:dyDescent="0.25"/>
    <row r="3616" ht="30.75" customHeight="1" thickBot="1" x14ac:dyDescent="0.25"/>
    <row r="3617" ht="30.75" customHeight="1" thickBot="1" x14ac:dyDescent="0.25"/>
    <row r="3618" ht="30.75" customHeight="1" thickBot="1" x14ac:dyDescent="0.25"/>
    <row r="3619" ht="30.75" customHeight="1" thickBot="1" x14ac:dyDescent="0.25"/>
    <row r="3620" ht="30.75" customHeight="1" thickBot="1" x14ac:dyDescent="0.25"/>
    <row r="3621" ht="30.75" customHeight="1" thickBot="1" x14ac:dyDescent="0.25"/>
    <row r="3622" ht="30.75" customHeight="1" thickBot="1" x14ac:dyDescent="0.25"/>
    <row r="3623" ht="30.75" customHeight="1" thickBot="1" x14ac:dyDescent="0.25"/>
    <row r="3624" ht="30.75" customHeight="1" thickBot="1" x14ac:dyDescent="0.25"/>
    <row r="3625" ht="30.75" customHeight="1" thickBot="1" x14ac:dyDescent="0.25"/>
    <row r="3626" ht="30.75" customHeight="1" thickBot="1" x14ac:dyDescent="0.25"/>
    <row r="3627" ht="30.75" customHeight="1" thickBot="1" x14ac:dyDescent="0.25"/>
    <row r="3628" ht="30.75" customHeight="1" thickBot="1" x14ac:dyDescent="0.25"/>
    <row r="3629" ht="30.75" customHeight="1" thickBot="1" x14ac:dyDescent="0.25"/>
    <row r="3630" ht="30.75" customHeight="1" thickBot="1" x14ac:dyDescent="0.25"/>
    <row r="3631" ht="30.75" customHeight="1" thickBot="1" x14ac:dyDescent="0.25"/>
    <row r="3632" ht="30.75" customHeight="1" thickBot="1" x14ac:dyDescent="0.25"/>
    <row r="3633" ht="30.75" customHeight="1" thickBot="1" x14ac:dyDescent="0.25"/>
    <row r="3634" ht="30.75" customHeight="1" thickBot="1" x14ac:dyDescent="0.25"/>
    <row r="3635" ht="30.75" customHeight="1" thickBot="1" x14ac:dyDescent="0.25"/>
    <row r="3636" ht="30.75" customHeight="1" thickBot="1" x14ac:dyDescent="0.25"/>
    <row r="3637" ht="30.75" customHeight="1" thickBot="1" x14ac:dyDescent="0.25"/>
    <row r="3638" ht="30.75" customHeight="1" thickBot="1" x14ac:dyDescent="0.25"/>
    <row r="3639" ht="30.75" customHeight="1" thickBot="1" x14ac:dyDescent="0.25"/>
    <row r="3640" ht="30.75" customHeight="1" thickBot="1" x14ac:dyDescent="0.25"/>
    <row r="3641" ht="30.75" customHeight="1" thickBot="1" x14ac:dyDescent="0.25"/>
    <row r="3642" ht="30.75" customHeight="1" thickBot="1" x14ac:dyDescent="0.25"/>
    <row r="3643" ht="30.75" customHeight="1" thickBot="1" x14ac:dyDescent="0.25"/>
    <row r="3644" ht="30.75" customHeight="1" thickBot="1" x14ac:dyDescent="0.25"/>
    <row r="3645" ht="30.75" customHeight="1" thickBot="1" x14ac:dyDescent="0.25"/>
    <row r="3646" ht="30.75" customHeight="1" thickBot="1" x14ac:dyDescent="0.25"/>
    <row r="3647" ht="30.75" customHeight="1" thickBot="1" x14ac:dyDescent="0.25"/>
    <row r="3648" ht="30.75" customHeight="1" thickBot="1" x14ac:dyDescent="0.25"/>
    <row r="3649" ht="30.75" customHeight="1" thickBot="1" x14ac:dyDescent="0.25"/>
    <row r="3650" ht="30.75" customHeight="1" thickBot="1" x14ac:dyDescent="0.25"/>
    <row r="3651" ht="30.75" customHeight="1" thickBot="1" x14ac:dyDescent="0.25"/>
    <row r="3652" ht="30.75" customHeight="1" thickBot="1" x14ac:dyDescent="0.25"/>
    <row r="3653" ht="30.75" customHeight="1" thickBot="1" x14ac:dyDescent="0.25"/>
    <row r="3654" ht="30.75" customHeight="1" thickBot="1" x14ac:dyDescent="0.25"/>
    <row r="3655" ht="30.75" customHeight="1" thickBot="1" x14ac:dyDescent="0.25"/>
    <row r="3656" ht="30.75" customHeight="1" thickBot="1" x14ac:dyDescent="0.25"/>
    <row r="3657" ht="30.75" customHeight="1" thickBot="1" x14ac:dyDescent="0.25"/>
    <row r="3658" ht="30.75" customHeight="1" thickBot="1" x14ac:dyDescent="0.25"/>
    <row r="3659" ht="30.75" customHeight="1" thickBot="1" x14ac:dyDescent="0.25"/>
    <row r="3660" ht="30.75" customHeight="1" thickBot="1" x14ac:dyDescent="0.25"/>
    <row r="3661" ht="30.75" customHeight="1" thickBot="1" x14ac:dyDescent="0.25"/>
    <row r="3662" ht="30.75" customHeight="1" thickBot="1" x14ac:dyDescent="0.25"/>
    <row r="3663" ht="30.75" customHeight="1" thickBot="1" x14ac:dyDescent="0.25"/>
    <row r="3664" ht="30.75" customHeight="1" thickBot="1" x14ac:dyDescent="0.25"/>
    <row r="3665" ht="30.75" customHeight="1" thickBot="1" x14ac:dyDescent="0.25"/>
    <row r="3666" ht="30.75" customHeight="1" thickBot="1" x14ac:dyDescent="0.25"/>
    <row r="3667" ht="30.75" customHeight="1" thickBot="1" x14ac:dyDescent="0.25"/>
    <row r="3668" ht="30.75" customHeight="1" thickBot="1" x14ac:dyDescent="0.25"/>
    <row r="3669" ht="30.75" customHeight="1" thickBot="1" x14ac:dyDescent="0.25"/>
    <row r="3670" ht="30.75" customHeight="1" thickBot="1" x14ac:dyDescent="0.25"/>
    <row r="3671" ht="30.75" customHeight="1" thickBot="1" x14ac:dyDescent="0.25"/>
    <row r="3672" ht="30.75" customHeight="1" thickBot="1" x14ac:dyDescent="0.25"/>
    <row r="3673" ht="30.75" customHeight="1" thickBot="1" x14ac:dyDescent="0.25"/>
    <row r="3674" ht="30.75" customHeight="1" thickBot="1" x14ac:dyDescent="0.25"/>
    <row r="3675" ht="30.75" customHeight="1" thickBot="1" x14ac:dyDescent="0.25"/>
    <row r="3676" ht="30.75" customHeight="1" thickBot="1" x14ac:dyDescent="0.25"/>
    <row r="3677" ht="30.75" customHeight="1" thickBot="1" x14ac:dyDescent="0.25"/>
    <row r="3678" ht="30.75" customHeight="1" thickBot="1" x14ac:dyDescent="0.25"/>
    <row r="3679" ht="30.75" customHeight="1" thickBot="1" x14ac:dyDescent="0.25"/>
    <row r="3680" ht="30.75" customHeight="1" thickBot="1" x14ac:dyDescent="0.25"/>
    <row r="3681" ht="30.75" customHeight="1" thickBot="1" x14ac:dyDescent="0.25"/>
    <row r="3682" ht="30.75" customHeight="1" thickBot="1" x14ac:dyDescent="0.25"/>
    <row r="3683" ht="30.75" customHeight="1" thickBot="1" x14ac:dyDescent="0.25"/>
    <row r="3684" ht="30.75" customHeight="1" thickBot="1" x14ac:dyDescent="0.25"/>
    <row r="3685" ht="30.75" customHeight="1" thickBot="1" x14ac:dyDescent="0.25"/>
    <row r="3686" ht="30.75" customHeight="1" thickBot="1" x14ac:dyDescent="0.25"/>
    <row r="3687" ht="30.75" customHeight="1" thickBot="1" x14ac:dyDescent="0.25"/>
    <row r="3688" ht="30.75" customHeight="1" thickBot="1" x14ac:dyDescent="0.25"/>
    <row r="3689" ht="30.75" customHeight="1" thickBot="1" x14ac:dyDescent="0.25"/>
    <row r="3690" ht="30.75" customHeight="1" thickBot="1" x14ac:dyDescent="0.25"/>
    <row r="3691" ht="30.75" customHeight="1" thickBot="1" x14ac:dyDescent="0.25"/>
    <row r="3692" ht="30.75" customHeight="1" thickBot="1" x14ac:dyDescent="0.25"/>
    <row r="3693" ht="30.75" customHeight="1" thickBot="1" x14ac:dyDescent="0.25"/>
    <row r="3694" ht="30.75" customHeight="1" thickBot="1" x14ac:dyDescent="0.25"/>
    <row r="3695" ht="30.75" customHeight="1" thickBot="1" x14ac:dyDescent="0.25"/>
    <row r="3696" ht="30.75" customHeight="1" thickBot="1" x14ac:dyDescent="0.25"/>
    <row r="3697" ht="30.75" customHeight="1" thickBot="1" x14ac:dyDescent="0.25"/>
    <row r="3698" ht="30.75" customHeight="1" thickBot="1" x14ac:dyDescent="0.25"/>
    <row r="3699" ht="30.75" customHeight="1" thickBot="1" x14ac:dyDescent="0.25"/>
    <row r="3700" ht="30.75" customHeight="1" thickBot="1" x14ac:dyDescent="0.25"/>
    <row r="3701" ht="30.75" customHeight="1" thickBot="1" x14ac:dyDescent="0.25"/>
    <row r="3702" ht="30.75" customHeight="1" thickBot="1" x14ac:dyDescent="0.25"/>
    <row r="3703" ht="30.75" customHeight="1" thickBot="1" x14ac:dyDescent="0.25"/>
    <row r="3704" ht="30.75" customHeight="1" thickBot="1" x14ac:dyDescent="0.25"/>
    <row r="3705" ht="30.75" customHeight="1" thickBot="1" x14ac:dyDescent="0.25"/>
    <row r="3706" ht="30.75" customHeight="1" thickBot="1" x14ac:dyDescent="0.25"/>
    <row r="3707" ht="30.75" customHeight="1" thickBot="1" x14ac:dyDescent="0.25"/>
    <row r="3708" ht="30.75" customHeight="1" thickBot="1" x14ac:dyDescent="0.25"/>
    <row r="3709" ht="30.75" customHeight="1" thickBot="1" x14ac:dyDescent="0.25"/>
    <row r="3710" ht="30.75" customHeight="1" thickBot="1" x14ac:dyDescent="0.25"/>
    <row r="3711" ht="30.75" customHeight="1" thickBot="1" x14ac:dyDescent="0.25"/>
    <row r="3712" ht="30.75" customHeight="1" thickBot="1" x14ac:dyDescent="0.25"/>
    <row r="3713" ht="30.75" customHeight="1" thickBot="1" x14ac:dyDescent="0.25"/>
    <row r="3714" ht="30.75" customHeight="1" thickBot="1" x14ac:dyDescent="0.25"/>
    <row r="3715" ht="30.75" customHeight="1" thickBot="1" x14ac:dyDescent="0.25"/>
    <row r="3716" ht="30.75" customHeight="1" thickBot="1" x14ac:dyDescent="0.25"/>
    <row r="3717" ht="30.75" customHeight="1" thickBot="1" x14ac:dyDescent="0.25"/>
    <row r="3718" ht="30.75" customHeight="1" thickBot="1" x14ac:dyDescent="0.25"/>
    <row r="3719" ht="30.75" customHeight="1" thickBot="1" x14ac:dyDescent="0.25"/>
    <row r="3720" ht="30.75" customHeight="1" thickBot="1" x14ac:dyDescent="0.25"/>
    <row r="3721" ht="30.75" customHeight="1" thickBot="1" x14ac:dyDescent="0.25"/>
    <row r="3722" ht="30.75" customHeight="1" thickBot="1" x14ac:dyDescent="0.25"/>
    <row r="3723" ht="30.75" customHeight="1" thickBot="1" x14ac:dyDescent="0.25"/>
    <row r="3724" ht="30.75" customHeight="1" thickBot="1" x14ac:dyDescent="0.25"/>
    <row r="3725" ht="30.75" customHeight="1" thickBot="1" x14ac:dyDescent="0.25"/>
    <row r="3726" ht="30.75" customHeight="1" thickBot="1" x14ac:dyDescent="0.25"/>
    <row r="3727" ht="30.75" customHeight="1" thickBot="1" x14ac:dyDescent="0.25"/>
    <row r="3728" ht="30.75" customHeight="1" thickBot="1" x14ac:dyDescent="0.25"/>
    <row r="3729" ht="30.75" customHeight="1" thickBot="1" x14ac:dyDescent="0.25"/>
    <row r="3730" ht="30.75" customHeight="1" thickBot="1" x14ac:dyDescent="0.25"/>
    <row r="3731" ht="30.75" customHeight="1" thickBot="1" x14ac:dyDescent="0.25"/>
    <row r="3732" ht="30.75" customHeight="1" thickBot="1" x14ac:dyDescent="0.25"/>
    <row r="3733" ht="30.75" customHeight="1" thickBot="1" x14ac:dyDescent="0.25"/>
    <row r="3734" ht="30.75" customHeight="1" thickBot="1" x14ac:dyDescent="0.25"/>
    <row r="3735" ht="30.75" customHeight="1" thickBot="1" x14ac:dyDescent="0.25"/>
    <row r="3736" ht="30.75" customHeight="1" thickBot="1" x14ac:dyDescent="0.25"/>
    <row r="3737" ht="30.75" customHeight="1" thickBot="1" x14ac:dyDescent="0.25"/>
    <row r="3738" ht="30.75" customHeight="1" thickBot="1" x14ac:dyDescent="0.25"/>
    <row r="3739" ht="30.75" customHeight="1" thickBot="1" x14ac:dyDescent="0.25"/>
    <row r="3740" ht="30.75" customHeight="1" thickBot="1" x14ac:dyDescent="0.25"/>
    <row r="3741" ht="30.75" customHeight="1" thickBot="1" x14ac:dyDescent="0.25"/>
    <row r="3742" ht="30.75" customHeight="1" thickBot="1" x14ac:dyDescent="0.25"/>
    <row r="3743" ht="30.75" customHeight="1" thickBot="1" x14ac:dyDescent="0.25"/>
    <row r="3744" ht="30.75" customHeight="1" thickBot="1" x14ac:dyDescent="0.25"/>
    <row r="3745" ht="30.75" customHeight="1" thickBot="1" x14ac:dyDescent="0.25"/>
    <row r="3746" ht="30.75" customHeight="1" thickBot="1" x14ac:dyDescent="0.25"/>
    <row r="3747" ht="30.75" customHeight="1" thickBot="1" x14ac:dyDescent="0.25"/>
    <row r="3748" ht="30.75" customHeight="1" thickBot="1" x14ac:dyDescent="0.25"/>
    <row r="3749" ht="30.75" customHeight="1" thickBot="1" x14ac:dyDescent="0.25"/>
    <row r="3750" ht="30.75" customHeight="1" thickBot="1" x14ac:dyDescent="0.25"/>
    <row r="3751" ht="30.75" customHeight="1" thickBot="1" x14ac:dyDescent="0.25"/>
    <row r="3752" ht="30.75" customHeight="1" thickBot="1" x14ac:dyDescent="0.25"/>
    <row r="3753" ht="30.75" customHeight="1" thickBot="1" x14ac:dyDescent="0.25"/>
    <row r="3754" ht="30.75" customHeight="1" thickBot="1" x14ac:dyDescent="0.25"/>
    <row r="3755" ht="30.75" customHeight="1" thickBot="1" x14ac:dyDescent="0.25"/>
    <row r="3756" ht="30.75" customHeight="1" thickBot="1" x14ac:dyDescent="0.25"/>
    <row r="3757" ht="30.75" customHeight="1" thickBot="1" x14ac:dyDescent="0.25"/>
    <row r="3758" ht="30.75" customHeight="1" thickBot="1" x14ac:dyDescent="0.25"/>
    <row r="3759" ht="30.75" customHeight="1" thickBot="1" x14ac:dyDescent="0.25"/>
    <row r="3760" ht="30.75" customHeight="1" thickBot="1" x14ac:dyDescent="0.25"/>
    <row r="3761" ht="30.75" customHeight="1" thickBot="1" x14ac:dyDescent="0.25"/>
    <row r="3762" ht="30.75" customHeight="1" thickBot="1" x14ac:dyDescent="0.25"/>
    <row r="3763" ht="30.75" customHeight="1" thickBot="1" x14ac:dyDescent="0.25"/>
    <row r="3764" ht="30.75" customHeight="1" thickBot="1" x14ac:dyDescent="0.25"/>
    <row r="3765" ht="30.75" customHeight="1" thickBot="1" x14ac:dyDescent="0.25"/>
    <row r="3766" ht="30.75" customHeight="1" thickBot="1" x14ac:dyDescent="0.25"/>
    <row r="3767" ht="30.75" customHeight="1" thickBot="1" x14ac:dyDescent="0.25"/>
    <row r="3768" ht="30.75" customHeight="1" thickBot="1" x14ac:dyDescent="0.25"/>
    <row r="3769" ht="30.75" customHeight="1" thickBot="1" x14ac:dyDescent="0.25"/>
    <row r="3770" ht="30.75" customHeight="1" thickBot="1" x14ac:dyDescent="0.25"/>
    <row r="3771" ht="30.75" customHeight="1" thickBot="1" x14ac:dyDescent="0.25"/>
    <row r="3772" ht="30.75" customHeight="1" thickBot="1" x14ac:dyDescent="0.25"/>
    <row r="3773" ht="30.75" customHeight="1" thickBot="1" x14ac:dyDescent="0.25"/>
    <row r="3774" ht="30.75" customHeight="1" thickBot="1" x14ac:dyDescent="0.25"/>
    <row r="3775" ht="30.75" customHeight="1" thickBot="1" x14ac:dyDescent="0.25"/>
    <row r="3776" ht="30.75" customHeight="1" thickBot="1" x14ac:dyDescent="0.25"/>
    <row r="3777" ht="30.75" customHeight="1" thickBot="1" x14ac:dyDescent="0.25"/>
    <row r="3778" ht="30.75" customHeight="1" thickBot="1" x14ac:dyDescent="0.25"/>
    <row r="3779" ht="30.75" customHeight="1" thickBot="1" x14ac:dyDescent="0.25"/>
    <row r="3780" ht="30.75" customHeight="1" thickBot="1" x14ac:dyDescent="0.25"/>
    <row r="3781" ht="30.75" customHeight="1" thickBot="1" x14ac:dyDescent="0.25"/>
    <row r="3782" ht="30.75" customHeight="1" thickBot="1" x14ac:dyDescent="0.25"/>
    <row r="3783" ht="30.75" customHeight="1" thickBot="1" x14ac:dyDescent="0.25"/>
    <row r="3784" ht="30.75" customHeight="1" thickBot="1" x14ac:dyDescent="0.25"/>
    <row r="3785" ht="30.75" customHeight="1" thickBot="1" x14ac:dyDescent="0.25"/>
    <row r="3786" ht="30.75" customHeight="1" thickBot="1" x14ac:dyDescent="0.25"/>
    <row r="3787" ht="30.75" customHeight="1" thickBot="1" x14ac:dyDescent="0.25"/>
    <row r="3788" ht="30.75" customHeight="1" thickBot="1" x14ac:dyDescent="0.25"/>
    <row r="3789" ht="30.75" customHeight="1" thickBot="1" x14ac:dyDescent="0.25"/>
    <row r="3790" ht="30.75" customHeight="1" thickBot="1" x14ac:dyDescent="0.25"/>
    <row r="3791" ht="30.75" customHeight="1" thickBot="1" x14ac:dyDescent="0.25"/>
    <row r="3792" ht="30.75" customHeight="1" thickBot="1" x14ac:dyDescent="0.25"/>
    <row r="3793" ht="30.75" customHeight="1" thickBot="1" x14ac:dyDescent="0.25"/>
    <row r="3794" ht="30.75" customHeight="1" thickBot="1" x14ac:dyDescent="0.25"/>
    <row r="3795" ht="30.75" customHeight="1" thickBot="1" x14ac:dyDescent="0.25"/>
    <row r="3796" ht="30.75" customHeight="1" thickBot="1" x14ac:dyDescent="0.25"/>
    <row r="3797" ht="30.75" customHeight="1" thickBot="1" x14ac:dyDescent="0.25"/>
    <row r="3798" ht="30.75" customHeight="1" thickBot="1" x14ac:dyDescent="0.25"/>
    <row r="3799" ht="30.75" customHeight="1" thickBot="1" x14ac:dyDescent="0.25"/>
    <row r="3800" ht="30.75" customHeight="1" thickBot="1" x14ac:dyDescent="0.25"/>
    <row r="3801" ht="30.75" customHeight="1" thickBot="1" x14ac:dyDescent="0.25"/>
    <row r="3802" ht="30.75" customHeight="1" thickBot="1" x14ac:dyDescent="0.25"/>
    <row r="3803" ht="30.75" customHeight="1" thickBot="1" x14ac:dyDescent="0.25"/>
    <row r="3804" ht="30.75" customHeight="1" thickBot="1" x14ac:dyDescent="0.25"/>
    <row r="3805" ht="30.75" customHeight="1" thickBot="1" x14ac:dyDescent="0.25"/>
    <row r="3806" ht="30.75" customHeight="1" thickBot="1" x14ac:dyDescent="0.25"/>
    <row r="3807" ht="30.75" customHeight="1" thickBot="1" x14ac:dyDescent="0.25"/>
    <row r="3808" ht="30.75" customHeight="1" thickBot="1" x14ac:dyDescent="0.25"/>
    <row r="3809" ht="30.75" customHeight="1" thickBot="1" x14ac:dyDescent="0.25"/>
    <row r="3810" ht="30.75" customHeight="1" thickBot="1" x14ac:dyDescent="0.25"/>
    <row r="3811" ht="30.75" customHeight="1" thickBot="1" x14ac:dyDescent="0.25"/>
    <row r="3812" ht="30.75" customHeight="1" thickBot="1" x14ac:dyDescent="0.25"/>
    <row r="3813" ht="30.75" customHeight="1" thickBot="1" x14ac:dyDescent="0.25"/>
    <row r="3814" ht="30.75" customHeight="1" thickBot="1" x14ac:dyDescent="0.25"/>
    <row r="3815" ht="30.75" customHeight="1" thickBot="1" x14ac:dyDescent="0.25"/>
    <row r="3816" ht="30.75" customHeight="1" thickBot="1" x14ac:dyDescent="0.25"/>
    <row r="3817" ht="30.75" customHeight="1" thickBot="1" x14ac:dyDescent="0.25"/>
    <row r="3818" ht="30.75" customHeight="1" thickBot="1" x14ac:dyDescent="0.25"/>
    <row r="3819" ht="30.75" customHeight="1" thickBot="1" x14ac:dyDescent="0.25"/>
    <row r="3820" ht="30.75" customHeight="1" thickBot="1" x14ac:dyDescent="0.25"/>
    <row r="3821" ht="30.75" customHeight="1" thickBot="1" x14ac:dyDescent="0.25"/>
    <row r="3822" ht="30.75" customHeight="1" thickBot="1" x14ac:dyDescent="0.25"/>
    <row r="3823" ht="30.75" customHeight="1" thickBot="1" x14ac:dyDescent="0.25"/>
    <row r="3824" ht="30.75" customHeight="1" thickBot="1" x14ac:dyDescent="0.25"/>
    <row r="3825" ht="30.75" customHeight="1" thickBot="1" x14ac:dyDescent="0.25"/>
    <row r="3826" ht="30.75" customHeight="1" thickBot="1" x14ac:dyDescent="0.25"/>
    <row r="3827" ht="30.75" customHeight="1" thickBot="1" x14ac:dyDescent="0.25"/>
    <row r="3828" ht="30.75" customHeight="1" thickBot="1" x14ac:dyDescent="0.25"/>
    <row r="3829" ht="30.75" customHeight="1" thickBot="1" x14ac:dyDescent="0.25"/>
    <row r="3830" ht="30.75" customHeight="1" thickBot="1" x14ac:dyDescent="0.25"/>
    <row r="3831" ht="30.75" customHeight="1" thickBot="1" x14ac:dyDescent="0.25"/>
    <row r="3832" ht="30.75" customHeight="1" thickBot="1" x14ac:dyDescent="0.25"/>
    <row r="3833" ht="30.75" customHeight="1" thickBot="1" x14ac:dyDescent="0.25"/>
    <row r="3834" ht="30.75" customHeight="1" thickBot="1" x14ac:dyDescent="0.25"/>
    <row r="3835" ht="30.75" customHeight="1" thickBot="1" x14ac:dyDescent="0.25"/>
    <row r="3836" ht="30.75" customHeight="1" thickBot="1" x14ac:dyDescent="0.25"/>
    <row r="3837" ht="30.75" customHeight="1" thickBot="1" x14ac:dyDescent="0.25"/>
    <row r="3838" ht="30.75" customHeight="1" thickBot="1" x14ac:dyDescent="0.25"/>
    <row r="3839" ht="30.75" customHeight="1" thickBot="1" x14ac:dyDescent="0.25"/>
    <row r="3840" ht="30.75" customHeight="1" thickBot="1" x14ac:dyDescent="0.25"/>
    <row r="3841" ht="30.75" customHeight="1" thickBot="1" x14ac:dyDescent="0.25"/>
    <row r="3842" ht="30.75" customHeight="1" thickBot="1" x14ac:dyDescent="0.25"/>
    <row r="3843" ht="30.75" customHeight="1" thickBot="1" x14ac:dyDescent="0.25"/>
    <row r="3844" ht="30.75" customHeight="1" thickBot="1" x14ac:dyDescent="0.25"/>
    <row r="3845" ht="30.75" customHeight="1" thickBot="1" x14ac:dyDescent="0.25"/>
    <row r="3846" ht="30.75" customHeight="1" thickBot="1" x14ac:dyDescent="0.25"/>
    <row r="3847" ht="30.75" customHeight="1" thickBot="1" x14ac:dyDescent="0.25"/>
    <row r="3848" ht="30.75" customHeight="1" thickBot="1" x14ac:dyDescent="0.25"/>
    <row r="3849" ht="30.75" customHeight="1" thickBot="1" x14ac:dyDescent="0.25"/>
    <row r="3850" ht="30.75" customHeight="1" thickBot="1" x14ac:dyDescent="0.25"/>
    <row r="3851" ht="30.75" customHeight="1" thickBot="1" x14ac:dyDescent="0.25"/>
    <row r="3852" ht="30.75" customHeight="1" thickBot="1" x14ac:dyDescent="0.25"/>
    <row r="3853" ht="30.75" customHeight="1" thickBot="1" x14ac:dyDescent="0.25"/>
    <row r="3854" ht="30.75" customHeight="1" thickBot="1" x14ac:dyDescent="0.25"/>
    <row r="3855" ht="30.75" customHeight="1" thickBot="1" x14ac:dyDescent="0.25"/>
    <row r="3856" ht="30.75" customHeight="1" thickBot="1" x14ac:dyDescent="0.25"/>
    <row r="3857" ht="30.75" customHeight="1" thickBot="1" x14ac:dyDescent="0.25"/>
    <row r="3858" ht="30.75" customHeight="1" thickBot="1" x14ac:dyDescent="0.25"/>
    <row r="3859" ht="30.75" customHeight="1" thickBot="1" x14ac:dyDescent="0.25"/>
    <row r="3860" ht="30.75" customHeight="1" thickBot="1" x14ac:dyDescent="0.25"/>
    <row r="3861" ht="30.75" customHeight="1" thickBot="1" x14ac:dyDescent="0.25"/>
    <row r="3862" ht="30.75" customHeight="1" thickBot="1" x14ac:dyDescent="0.25"/>
    <row r="3863" ht="30.75" customHeight="1" thickBot="1" x14ac:dyDescent="0.25"/>
    <row r="3864" ht="30.75" customHeight="1" thickBot="1" x14ac:dyDescent="0.25"/>
    <row r="3865" ht="30.75" customHeight="1" thickBot="1" x14ac:dyDescent="0.25"/>
    <row r="3866" ht="30.75" customHeight="1" thickBot="1" x14ac:dyDescent="0.25"/>
    <row r="3867" ht="30.75" customHeight="1" thickBot="1" x14ac:dyDescent="0.25"/>
    <row r="3868" ht="30.75" customHeight="1" thickBot="1" x14ac:dyDescent="0.25"/>
    <row r="3869" ht="30.75" customHeight="1" thickBot="1" x14ac:dyDescent="0.25"/>
    <row r="3870" ht="30.75" customHeight="1" thickBot="1" x14ac:dyDescent="0.25"/>
    <row r="3871" ht="30.75" customHeight="1" thickBot="1" x14ac:dyDescent="0.25"/>
    <row r="3872" ht="30.75" customHeight="1" thickBot="1" x14ac:dyDescent="0.25"/>
    <row r="3873" ht="30.75" customHeight="1" thickBot="1" x14ac:dyDescent="0.25"/>
    <row r="3874" ht="30.75" customHeight="1" thickBot="1" x14ac:dyDescent="0.25"/>
    <row r="3875" ht="30.75" customHeight="1" thickBot="1" x14ac:dyDescent="0.25"/>
    <row r="3876" ht="30.75" customHeight="1" thickBot="1" x14ac:dyDescent="0.25"/>
    <row r="3877" ht="30.75" customHeight="1" thickBot="1" x14ac:dyDescent="0.25"/>
    <row r="3878" ht="30.75" customHeight="1" thickBot="1" x14ac:dyDescent="0.25"/>
    <row r="3879" ht="30.75" customHeight="1" thickBot="1" x14ac:dyDescent="0.25"/>
    <row r="3880" ht="30.75" customHeight="1" thickBot="1" x14ac:dyDescent="0.25"/>
    <row r="3881" ht="30.75" customHeight="1" thickBot="1" x14ac:dyDescent="0.25"/>
    <row r="3882" ht="30.75" customHeight="1" thickBot="1" x14ac:dyDescent="0.25"/>
    <row r="3883" ht="30.75" customHeight="1" thickBot="1" x14ac:dyDescent="0.25"/>
    <row r="3884" ht="30.75" customHeight="1" thickBot="1" x14ac:dyDescent="0.25"/>
    <row r="3885" ht="30.75" customHeight="1" thickBot="1" x14ac:dyDescent="0.25"/>
    <row r="3886" ht="30.75" customHeight="1" thickBot="1" x14ac:dyDescent="0.25"/>
    <row r="3887" ht="30.75" customHeight="1" thickBot="1" x14ac:dyDescent="0.25"/>
    <row r="3888" ht="30.75" customHeight="1" thickBot="1" x14ac:dyDescent="0.25"/>
    <row r="3889" ht="30.75" customHeight="1" thickBot="1" x14ac:dyDescent="0.25"/>
    <row r="3890" ht="30.75" customHeight="1" thickBot="1" x14ac:dyDescent="0.25"/>
    <row r="3891" ht="30.75" customHeight="1" thickBot="1" x14ac:dyDescent="0.25"/>
    <row r="3892" ht="30.75" customHeight="1" thickBot="1" x14ac:dyDescent="0.25"/>
    <row r="3893" ht="30.75" customHeight="1" thickBot="1" x14ac:dyDescent="0.25"/>
    <row r="3894" ht="30.75" customHeight="1" thickBot="1" x14ac:dyDescent="0.25"/>
    <row r="3895" ht="30.75" customHeight="1" thickBot="1" x14ac:dyDescent="0.25"/>
    <row r="3896" ht="30.75" customHeight="1" thickBot="1" x14ac:dyDescent="0.25"/>
    <row r="3897" ht="30.75" customHeight="1" thickBot="1" x14ac:dyDescent="0.25"/>
    <row r="3898" ht="30.75" customHeight="1" thickBot="1" x14ac:dyDescent="0.25"/>
    <row r="3899" ht="30.75" customHeight="1" thickBot="1" x14ac:dyDescent="0.25"/>
    <row r="3900" ht="30.75" customHeight="1" thickBot="1" x14ac:dyDescent="0.25"/>
    <row r="3901" ht="30.75" customHeight="1" thickBot="1" x14ac:dyDescent="0.25"/>
    <row r="3902" ht="30.75" customHeight="1" thickBot="1" x14ac:dyDescent="0.25"/>
    <row r="3903" ht="30.75" customHeight="1" thickBot="1" x14ac:dyDescent="0.25"/>
    <row r="3904" ht="30.75" customHeight="1" thickBot="1" x14ac:dyDescent="0.25"/>
    <row r="3905" ht="30.75" customHeight="1" thickBot="1" x14ac:dyDescent="0.25"/>
    <row r="3906" ht="30.75" customHeight="1" thickBot="1" x14ac:dyDescent="0.25"/>
    <row r="3907" ht="30.75" customHeight="1" thickBot="1" x14ac:dyDescent="0.25"/>
    <row r="3908" ht="30.75" customHeight="1" thickBot="1" x14ac:dyDescent="0.25"/>
    <row r="3909" ht="30.75" customHeight="1" thickBot="1" x14ac:dyDescent="0.25"/>
    <row r="3910" ht="30.75" customHeight="1" thickBot="1" x14ac:dyDescent="0.25"/>
    <row r="3911" ht="30.75" customHeight="1" thickBot="1" x14ac:dyDescent="0.25"/>
    <row r="3912" ht="30.75" customHeight="1" thickBot="1" x14ac:dyDescent="0.25"/>
    <row r="3913" ht="30.75" customHeight="1" thickBot="1" x14ac:dyDescent="0.25"/>
    <row r="3914" ht="30.75" customHeight="1" thickBot="1" x14ac:dyDescent="0.25"/>
    <row r="3915" ht="30.75" customHeight="1" thickBot="1" x14ac:dyDescent="0.25"/>
    <row r="3916" ht="30.75" customHeight="1" thickBot="1" x14ac:dyDescent="0.25"/>
    <row r="3917" ht="30.75" customHeight="1" thickBot="1" x14ac:dyDescent="0.25"/>
    <row r="3918" ht="30.75" customHeight="1" thickBot="1" x14ac:dyDescent="0.25"/>
    <row r="3919" ht="30.75" customHeight="1" thickBot="1" x14ac:dyDescent="0.25"/>
    <row r="3920" ht="30.75" customHeight="1" thickBot="1" x14ac:dyDescent="0.25"/>
    <row r="3921" ht="30.75" customHeight="1" thickBot="1" x14ac:dyDescent="0.25"/>
    <row r="3922" ht="30.75" customHeight="1" thickBot="1" x14ac:dyDescent="0.25"/>
    <row r="3923" ht="30.75" customHeight="1" thickBot="1" x14ac:dyDescent="0.25"/>
    <row r="3924" ht="30.75" customHeight="1" thickBot="1" x14ac:dyDescent="0.25"/>
    <row r="3925" ht="30.75" customHeight="1" thickBot="1" x14ac:dyDescent="0.25"/>
    <row r="3926" ht="30.75" customHeight="1" thickBot="1" x14ac:dyDescent="0.25"/>
    <row r="3927" ht="30.75" customHeight="1" thickBot="1" x14ac:dyDescent="0.25"/>
    <row r="3928" ht="30.75" customHeight="1" thickBot="1" x14ac:dyDescent="0.25"/>
    <row r="3929" ht="30.75" customHeight="1" thickBot="1" x14ac:dyDescent="0.25"/>
    <row r="3930" ht="30.75" customHeight="1" thickBot="1" x14ac:dyDescent="0.25"/>
    <row r="3931" ht="30.75" customHeight="1" thickBot="1" x14ac:dyDescent="0.25"/>
    <row r="3932" ht="30.75" customHeight="1" thickBot="1" x14ac:dyDescent="0.25"/>
    <row r="3933" ht="30.75" customHeight="1" thickBot="1" x14ac:dyDescent="0.25"/>
    <row r="3934" ht="30.75" customHeight="1" thickBot="1" x14ac:dyDescent="0.25"/>
    <row r="3935" ht="30.75" customHeight="1" thickBot="1" x14ac:dyDescent="0.25"/>
    <row r="3936" ht="30.75" customHeight="1" thickBot="1" x14ac:dyDescent="0.25"/>
    <row r="3937" ht="30.75" customHeight="1" thickBot="1" x14ac:dyDescent="0.25"/>
    <row r="3938" ht="30.75" customHeight="1" thickBot="1" x14ac:dyDescent="0.25"/>
    <row r="3939" ht="30.75" customHeight="1" thickBot="1" x14ac:dyDescent="0.25"/>
    <row r="3940" ht="30.75" customHeight="1" thickBot="1" x14ac:dyDescent="0.25"/>
    <row r="3941" ht="30.75" customHeight="1" thickBot="1" x14ac:dyDescent="0.25"/>
    <row r="3942" ht="30.75" customHeight="1" thickBot="1" x14ac:dyDescent="0.25"/>
    <row r="3943" ht="30.75" customHeight="1" thickBot="1" x14ac:dyDescent="0.25"/>
    <row r="3944" ht="30.75" customHeight="1" thickBot="1" x14ac:dyDescent="0.25"/>
    <row r="3945" ht="30.75" customHeight="1" thickBot="1" x14ac:dyDescent="0.25"/>
    <row r="3946" ht="30.75" customHeight="1" thickBot="1" x14ac:dyDescent="0.25"/>
    <row r="3947" ht="30.75" customHeight="1" thickBot="1" x14ac:dyDescent="0.25"/>
    <row r="3948" ht="30.75" customHeight="1" thickBot="1" x14ac:dyDescent="0.25"/>
    <row r="3949" ht="30.75" customHeight="1" thickBot="1" x14ac:dyDescent="0.25"/>
    <row r="3950" ht="30.75" customHeight="1" thickBot="1" x14ac:dyDescent="0.25"/>
    <row r="3951" ht="30.75" customHeight="1" thickBot="1" x14ac:dyDescent="0.25"/>
    <row r="3952" ht="30.75" customHeight="1" thickBot="1" x14ac:dyDescent="0.25"/>
    <row r="3953" ht="30.75" customHeight="1" thickBot="1" x14ac:dyDescent="0.25"/>
    <row r="3954" ht="30.75" customHeight="1" thickBot="1" x14ac:dyDescent="0.25"/>
    <row r="3955" ht="30.75" customHeight="1" thickBot="1" x14ac:dyDescent="0.25"/>
    <row r="3956" ht="30.75" customHeight="1" thickBot="1" x14ac:dyDescent="0.25"/>
    <row r="3957" ht="30.75" customHeight="1" thickBot="1" x14ac:dyDescent="0.25"/>
    <row r="3958" ht="30.75" customHeight="1" thickBot="1" x14ac:dyDescent="0.25"/>
    <row r="3959" ht="30.75" customHeight="1" thickBot="1" x14ac:dyDescent="0.25"/>
    <row r="3960" ht="30.75" customHeight="1" thickBot="1" x14ac:dyDescent="0.25"/>
    <row r="3961" ht="30.75" customHeight="1" thickBot="1" x14ac:dyDescent="0.25"/>
    <row r="3962" ht="30.75" customHeight="1" thickBot="1" x14ac:dyDescent="0.25"/>
    <row r="3963" ht="30.75" customHeight="1" thickBot="1" x14ac:dyDescent="0.25"/>
    <row r="3964" ht="30.75" customHeight="1" thickBot="1" x14ac:dyDescent="0.25"/>
    <row r="3965" ht="30.75" customHeight="1" thickBot="1" x14ac:dyDescent="0.25"/>
    <row r="3966" ht="30.75" customHeight="1" thickBot="1" x14ac:dyDescent="0.25"/>
    <row r="3967" ht="30.75" customHeight="1" thickBot="1" x14ac:dyDescent="0.25"/>
    <row r="3968" ht="30.75" customHeight="1" thickBot="1" x14ac:dyDescent="0.25"/>
    <row r="3969" ht="30.75" customHeight="1" thickBot="1" x14ac:dyDescent="0.25"/>
    <row r="3970" ht="30.75" customHeight="1" thickBot="1" x14ac:dyDescent="0.25"/>
    <row r="3971" ht="30.75" customHeight="1" thickBot="1" x14ac:dyDescent="0.25"/>
    <row r="3972" ht="30.75" customHeight="1" thickBot="1" x14ac:dyDescent="0.25"/>
    <row r="3973" ht="30.75" customHeight="1" thickBot="1" x14ac:dyDescent="0.25"/>
    <row r="3974" ht="30.75" customHeight="1" thickBot="1" x14ac:dyDescent="0.25"/>
    <row r="3975" ht="30.75" customHeight="1" thickBot="1" x14ac:dyDescent="0.25"/>
    <row r="3976" ht="30.75" customHeight="1" thickBot="1" x14ac:dyDescent="0.25"/>
    <row r="3977" ht="30.75" customHeight="1" thickBot="1" x14ac:dyDescent="0.25"/>
    <row r="3978" ht="30.75" customHeight="1" thickBot="1" x14ac:dyDescent="0.25"/>
    <row r="3979" ht="30.75" customHeight="1" thickBot="1" x14ac:dyDescent="0.25"/>
    <row r="3980" ht="30.75" customHeight="1" thickBot="1" x14ac:dyDescent="0.25"/>
    <row r="3981" ht="30.75" customHeight="1" thickBot="1" x14ac:dyDescent="0.25"/>
    <row r="3982" ht="30.75" customHeight="1" thickBot="1" x14ac:dyDescent="0.25"/>
    <row r="3983" ht="30.75" customHeight="1" thickBot="1" x14ac:dyDescent="0.25"/>
    <row r="3984" ht="30.75" customHeight="1" thickBot="1" x14ac:dyDescent="0.25"/>
    <row r="3985" ht="30.75" customHeight="1" thickBot="1" x14ac:dyDescent="0.25"/>
    <row r="3986" ht="30.75" customHeight="1" thickBot="1" x14ac:dyDescent="0.25"/>
    <row r="3987" ht="30.75" customHeight="1" thickBot="1" x14ac:dyDescent="0.25"/>
    <row r="3988" ht="30.75" customHeight="1" thickBot="1" x14ac:dyDescent="0.25"/>
    <row r="3989" ht="30.75" customHeight="1" thickBot="1" x14ac:dyDescent="0.25"/>
    <row r="3990" ht="30.75" customHeight="1" thickBot="1" x14ac:dyDescent="0.25"/>
    <row r="3991" ht="30.75" customHeight="1" thickBot="1" x14ac:dyDescent="0.25"/>
    <row r="3992" ht="30.75" customHeight="1" thickBot="1" x14ac:dyDescent="0.25"/>
    <row r="3993" ht="30.75" customHeight="1" thickBot="1" x14ac:dyDescent="0.25"/>
    <row r="3994" ht="30.75" customHeight="1" thickBot="1" x14ac:dyDescent="0.25"/>
    <row r="3995" ht="30.75" customHeight="1" thickBot="1" x14ac:dyDescent="0.25"/>
    <row r="3996" ht="30.75" customHeight="1" thickBot="1" x14ac:dyDescent="0.25"/>
    <row r="3997" ht="30.75" customHeight="1" thickBot="1" x14ac:dyDescent="0.25"/>
    <row r="3998" ht="30.75" customHeight="1" thickBot="1" x14ac:dyDescent="0.25"/>
    <row r="3999" ht="30.75" customHeight="1" thickBot="1" x14ac:dyDescent="0.25"/>
    <row r="4000" ht="30.75" customHeight="1" thickBot="1" x14ac:dyDescent="0.25"/>
    <row r="4001" ht="30.75" customHeight="1" thickBot="1" x14ac:dyDescent="0.25"/>
    <row r="4002" ht="30.75" customHeight="1" thickBot="1" x14ac:dyDescent="0.25"/>
    <row r="4003" ht="30.75" customHeight="1" thickBot="1" x14ac:dyDescent="0.25"/>
    <row r="4004" ht="30.75" customHeight="1" thickBot="1" x14ac:dyDescent="0.25"/>
    <row r="4005" ht="30.75" customHeight="1" thickBot="1" x14ac:dyDescent="0.25"/>
    <row r="4006" ht="30.75" customHeight="1" thickBot="1" x14ac:dyDescent="0.25"/>
    <row r="4007" ht="30.75" customHeight="1" thickBot="1" x14ac:dyDescent="0.25"/>
    <row r="4008" ht="30.75" customHeight="1" thickBot="1" x14ac:dyDescent="0.25"/>
    <row r="4009" ht="30.75" customHeight="1" thickBot="1" x14ac:dyDescent="0.25"/>
    <row r="4010" ht="30.75" customHeight="1" thickBot="1" x14ac:dyDescent="0.25"/>
    <row r="4011" ht="30.75" customHeight="1" thickBot="1" x14ac:dyDescent="0.25"/>
    <row r="4012" ht="30.75" customHeight="1" thickBot="1" x14ac:dyDescent="0.25"/>
    <row r="4013" ht="30.75" customHeight="1" thickBot="1" x14ac:dyDescent="0.25"/>
    <row r="4014" ht="30.75" customHeight="1" thickBot="1" x14ac:dyDescent="0.25"/>
    <row r="4015" ht="30.75" customHeight="1" thickBot="1" x14ac:dyDescent="0.25"/>
    <row r="4016" ht="30.75" customHeight="1" thickBot="1" x14ac:dyDescent="0.25"/>
    <row r="4017" ht="30.75" customHeight="1" thickBot="1" x14ac:dyDescent="0.25"/>
    <row r="4018" ht="30.75" customHeight="1" thickBot="1" x14ac:dyDescent="0.25"/>
    <row r="4019" ht="30.75" customHeight="1" thickBot="1" x14ac:dyDescent="0.25"/>
    <row r="4020" ht="30.75" customHeight="1" thickBot="1" x14ac:dyDescent="0.25"/>
    <row r="4021" ht="30.75" customHeight="1" thickBot="1" x14ac:dyDescent="0.25"/>
    <row r="4022" ht="30.75" customHeight="1" thickBot="1" x14ac:dyDescent="0.25"/>
    <row r="4023" ht="30.75" customHeight="1" thickBot="1" x14ac:dyDescent="0.25"/>
    <row r="4024" ht="30.75" customHeight="1" thickBot="1" x14ac:dyDescent="0.25"/>
    <row r="4025" ht="30.75" customHeight="1" thickBot="1" x14ac:dyDescent="0.25"/>
    <row r="4026" ht="30.75" customHeight="1" thickBot="1" x14ac:dyDescent="0.25"/>
    <row r="4027" ht="30.75" customHeight="1" thickBot="1" x14ac:dyDescent="0.25"/>
    <row r="4028" ht="30.75" customHeight="1" thickBot="1" x14ac:dyDescent="0.25"/>
    <row r="4029" ht="30.75" customHeight="1" thickBot="1" x14ac:dyDescent="0.25"/>
    <row r="4030" ht="30.75" customHeight="1" thickBot="1" x14ac:dyDescent="0.25"/>
    <row r="4031" ht="30.75" customHeight="1" thickBot="1" x14ac:dyDescent="0.25"/>
    <row r="4032" ht="30.75" customHeight="1" thickBot="1" x14ac:dyDescent="0.25"/>
    <row r="4033" ht="30.75" customHeight="1" thickBot="1" x14ac:dyDescent="0.25"/>
    <row r="4034" ht="30.75" customHeight="1" thickBot="1" x14ac:dyDescent="0.25"/>
    <row r="4035" ht="30.75" customHeight="1" thickBot="1" x14ac:dyDescent="0.25"/>
    <row r="4036" ht="30.75" customHeight="1" thickBot="1" x14ac:dyDescent="0.25"/>
    <row r="4037" ht="30.75" customHeight="1" thickBot="1" x14ac:dyDescent="0.25"/>
    <row r="4038" ht="30.75" customHeight="1" thickBot="1" x14ac:dyDescent="0.25"/>
    <row r="4039" ht="30.75" customHeight="1" thickBot="1" x14ac:dyDescent="0.25"/>
    <row r="4040" ht="30.75" customHeight="1" thickBot="1" x14ac:dyDescent="0.25"/>
    <row r="4041" ht="30.75" customHeight="1" thickBot="1" x14ac:dyDescent="0.25"/>
    <row r="4042" ht="30.75" customHeight="1" thickBot="1" x14ac:dyDescent="0.25"/>
    <row r="4043" ht="30.75" customHeight="1" thickBot="1" x14ac:dyDescent="0.25"/>
    <row r="4044" ht="30.75" customHeight="1" thickBot="1" x14ac:dyDescent="0.25"/>
    <row r="4045" ht="30.75" customHeight="1" thickBot="1" x14ac:dyDescent="0.25"/>
    <row r="4046" ht="30.75" customHeight="1" thickBot="1" x14ac:dyDescent="0.25"/>
    <row r="4047" ht="30.75" customHeight="1" thickBot="1" x14ac:dyDescent="0.25"/>
    <row r="4048" ht="30.75" customHeight="1" thickBot="1" x14ac:dyDescent="0.25"/>
    <row r="4049" ht="30.75" customHeight="1" thickBot="1" x14ac:dyDescent="0.25"/>
    <row r="4050" ht="30.75" customHeight="1" thickBot="1" x14ac:dyDescent="0.25"/>
    <row r="4051" ht="30.75" customHeight="1" thickBot="1" x14ac:dyDescent="0.25"/>
    <row r="4052" ht="30.75" customHeight="1" thickBot="1" x14ac:dyDescent="0.25"/>
    <row r="4053" ht="30.75" customHeight="1" thickBot="1" x14ac:dyDescent="0.25"/>
    <row r="4054" ht="30.75" customHeight="1" thickBot="1" x14ac:dyDescent="0.25"/>
    <row r="4055" ht="30.75" customHeight="1" thickBot="1" x14ac:dyDescent="0.25"/>
    <row r="4056" ht="30.75" customHeight="1" thickBot="1" x14ac:dyDescent="0.25"/>
    <row r="4057" ht="30.75" customHeight="1" thickBot="1" x14ac:dyDescent="0.25"/>
    <row r="4058" ht="30.75" customHeight="1" thickBot="1" x14ac:dyDescent="0.25"/>
    <row r="4059" ht="30.75" customHeight="1" thickBot="1" x14ac:dyDescent="0.25"/>
    <row r="4060" ht="30.75" customHeight="1" thickBot="1" x14ac:dyDescent="0.25"/>
    <row r="4061" ht="30.75" customHeight="1" thickBot="1" x14ac:dyDescent="0.25"/>
    <row r="4062" ht="30.75" customHeight="1" thickBot="1" x14ac:dyDescent="0.25"/>
    <row r="4063" ht="30.75" customHeight="1" thickBot="1" x14ac:dyDescent="0.25"/>
    <row r="4064" ht="30.75" customHeight="1" thickBot="1" x14ac:dyDescent="0.25"/>
    <row r="4065" ht="30.75" customHeight="1" thickBot="1" x14ac:dyDescent="0.25"/>
    <row r="4066" ht="30.75" customHeight="1" thickBot="1" x14ac:dyDescent="0.25"/>
    <row r="4067" ht="30.75" customHeight="1" thickBot="1" x14ac:dyDescent="0.25"/>
    <row r="4068" ht="30.75" customHeight="1" thickBot="1" x14ac:dyDescent="0.25"/>
    <row r="4069" ht="30.75" customHeight="1" thickBot="1" x14ac:dyDescent="0.25"/>
    <row r="4070" ht="30.75" customHeight="1" thickBot="1" x14ac:dyDescent="0.25"/>
    <row r="4071" ht="30.75" customHeight="1" thickBot="1" x14ac:dyDescent="0.25"/>
    <row r="4072" ht="30.75" customHeight="1" thickBot="1" x14ac:dyDescent="0.25"/>
    <row r="4073" ht="30.75" customHeight="1" thickBot="1" x14ac:dyDescent="0.25"/>
    <row r="4074" ht="30.75" customHeight="1" thickBot="1" x14ac:dyDescent="0.25"/>
    <row r="4075" ht="30.75" customHeight="1" thickBot="1" x14ac:dyDescent="0.25"/>
    <row r="4076" ht="30.75" customHeight="1" thickBot="1" x14ac:dyDescent="0.25"/>
    <row r="4077" ht="30.75" customHeight="1" thickBot="1" x14ac:dyDescent="0.25"/>
    <row r="4078" ht="30.75" customHeight="1" thickBot="1" x14ac:dyDescent="0.25"/>
    <row r="4079" ht="30.75" customHeight="1" thickBot="1" x14ac:dyDescent="0.25"/>
    <row r="4080" ht="30.75" customHeight="1" thickBot="1" x14ac:dyDescent="0.25"/>
    <row r="4081" ht="30.75" customHeight="1" thickBot="1" x14ac:dyDescent="0.25"/>
    <row r="4082" ht="30.75" customHeight="1" thickBot="1" x14ac:dyDescent="0.25"/>
    <row r="4083" ht="30.75" customHeight="1" thickBot="1" x14ac:dyDescent="0.25"/>
    <row r="4084" ht="30.75" customHeight="1" thickBot="1" x14ac:dyDescent="0.25"/>
    <row r="4085" ht="30.75" customHeight="1" thickBot="1" x14ac:dyDescent="0.25"/>
    <row r="4086" ht="30.75" customHeight="1" thickBot="1" x14ac:dyDescent="0.25"/>
    <row r="4087" ht="30.75" customHeight="1" thickBot="1" x14ac:dyDescent="0.25"/>
    <row r="4088" ht="30.75" customHeight="1" thickBot="1" x14ac:dyDescent="0.25"/>
    <row r="4089" ht="30.75" customHeight="1" thickBot="1" x14ac:dyDescent="0.25"/>
    <row r="4090" ht="30.75" customHeight="1" thickBot="1" x14ac:dyDescent="0.25"/>
    <row r="4091" ht="30.75" customHeight="1" thickBot="1" x14ac:dyDescent="0.25"/>
    <row r="4092" ht="30.75" customHeight="1" thickBot="1" x14ac:dyDescent="0.25"/>
    <row r="4093" ht="30.75" customHeight="1" thickBot="1" x14ac:dyDescent="0.25"/>
    <row r="4094" ht="30.75" customHeight="1" thickBot="1" x14ac:dyDescent="0.25"/>
    <row r="4095" ht="30.75" customHeight="1" thickBot="1" x14ac:dyDescent="0.25"/>
    <row r="4096" ht="30.75" customHeight="1" thickBot="1" x14ac:dyDescent="0.25"/>
    <row r="4097" ht="30.75" customHeight="1" thickBot="1" x14ac:dyDescent="0.25"/>
    <row r="4098" ht="30.75" customHeight="1" thickBot="1" x14ac:dyDescent="0.25"/>
    <row r="4099" ht="30.75" customHeight="1" thickBot="1" x14ac:dyDescent="0.25"/>
    <row r="4100" ht="30.75" customHeight="1" thickBot="1" x14ac:dyDescent="0.25"/>
    <row r="4101" ht="30.75" customHeight="1" thickBot="1" x14ac:dyDescent="0.25"/>
    <row r="4102" ht="30.75" customHeight="1" thickBot="1" x14ac:dyDescent="0.25"/>
    <row r="4103" ht="30.75" customHeight="1" thickBot="1" x14ac:dyDescent="0.25"/>
    <row r="4104" ht="30.75" customHeight="1" thickBot="1" x14ac:dyDescent="0.25"/>
    <row r="4105" ht="30.75" customHeight="1" thickBot="1" x14ac:dyDescent="0.25"/>
    <row r="4106" ht="30.75" customHeight="1" thickBot="1" x14ac:dyDescent="0.25"/>
    <row r="4107" ht="30.75" customHeight="1" thickBot="1" x14ac:dyDescent="0.25"/>
    <row r="4108" ht="30.75" customHeight="1" thickBot="1" x14ac:dyDescent="0.25"/>
    <row r="4109" ht="30.75" customHeight="1" thickBot="1" x14ac:dyDescent="0.25"/>
    <row r="4110" ht="30.75" customHeight="1" thickBot="1" x14ac:dyDescent="0.25"/>
    <row r="4111" ht="30.75" customHeight="1" thickBot="1" x14ac:dyDescent="0.25"/>
    <row r="4112" ht="30.75" customHeight="1" thickBot="1" x14ac:dyDescent="0.25"/>
    <row r="4113" ht="30.75" customHeight="1" thickBot="1" x14ac:dyDescent="0.25"/>
    <row r="4114" ht="30.75" customHeight="1" thickBot="1" x14ac:dyDescent="0.25"/>
    <row r="4115" ht="30.75" customHeight="1" thickBot="1" x14ac:dyDescent="0.25"/>
    <row r="4116" ht="30.75" customHeight="1" thickBot="1" x14ac:dyDescent="0.25"/>
    <row r="4117" ht="30.75" customHeight="1" thickBot="1" x14ac:dyDescent="0.25"/>
    <row r="4118" ht="30.75" customHeight="1" thickBot="1" x14ac:dyDescent="0.25"/>
    <row r="4119" ht="30.75" customHeight="1" thickBot="1" x14ac:dyDescent="0.25"/>
    <row r="4120" ht="30.75" customHeight="1" thickBot="1" x14ac:dyDescent="0.25"/>
    <row r="4121" ht="30.75" customHeight="1" thickBot="1" x14ac:dyDescent="0.25"/>
    <row r="4122" ht="30.75" customHeight="1" thickBot="1" x14ac:dyDescent="0.25"/>
    <row r="4123" ht="30.75" customHeight="1" thickBot="1" x14ac:dyDescent="0.25"/>
    <row r="4124" ht="30.75" customHeight="1" thickBot="1" x14ac:dyDescent="0.25"/>
    <row r="4125" ht="30.75" customHeight="1" thickBot="1" x14ac:dyDescent="0.25"/>
    <row r="4126" ht="30.75" customHeight="1" thickBot="1" x14ac:dyDescent="0.25"/>
    <row r="4127" ht="30.75" customHeight="1" thickBot="1" x14ac:dyDescent="0.25"/>
    <row r="4128" ht="30.75" customHeight="1" thickBot="1" x14ac:dyDescent="0.25"/>
    <row r="4129" ht="30.75" customHeight="1" thickBot="1" x14ac:dyDescent="0.25"/>
    <row r="4130" ht="30.75" customHeight="1" thickBot="1" x14ac:dyDescent="0.25"/>
    <row r="4131" ht="30.75" customHeight="1" thickBot="1" x14ac:dyDescent="0.25"/>
    <row r="4132" ht="30.75" customHeight="1" thickBot="1" x14ac:dyDescent="0.25"/>
    <row r="4133" ht="30.75" customHeight="1" thickBot="1" x14ac:dyDescent="0.25"/>
    <row r="4134" ht="30.75" customHeight="1" thickBot="1" x14ac:dyDescent="0.25"/>
    <row r="4135" ht="30.75" customHeight="1" thickBot="1" x14ac:dyDescent="0.25"/>
    <row r="4136" ht="30.75" customHeight="1" thickBot="1" x14ac:dyDescent="0.25"/>
    <row r="4137" ht="30.75" customHeight="1" thickBot="1" x14ac:dyDescent="0.25"/>
    <row r="4138" ht="30.75" customHeight="1" thickBot="1" x14ac:dyDescent="0.25"/>
    <row r="4139" ht="30.75" customHeight="1" thickBot="1" x14ac:dyDescent="0.25"/>
    <row r="4140" ht="30.75" customHeight="1" thickBot="1" x14ac:dyDescent="0.25"/>
    <row r="4141" ht="30.75" customHeight="1" thickBot="1" x14ac:dyDescent="0.25"/>
    <row r="4142" ht="30.75" customHeight="1" thickBot="1" x14ac:dyDescent="0.25"/>
    <row r="4143" ht="30.75" customHeight="1" thickBot="1" x14ac:dyDescent="0.25"/>
    <row r="4144" ht="30.75" customHeight="1" thickBot="1" x14ac:dyDescent="0.25"/>
    <row r="4145" ht="30.75" customHeight="1" thickBot="1" x14ac:dyDescent="0.25"/>
    <row r="4146" ht="30.75" customHeight="1" thickBot="1" x14ac:dyDescent="0.25"/>
    <row r="4147" ht="30.75" customHeight="1" thickBot="1" x14ac:dyDescent="0.25"/>
    <row r="4148" ht="30.75" customHeight="1" thickBot="1" x14ac:dyDescent="0.25"/>
    <row r="4149" ht="30.75" customHeight="1" thickBot="1" x14ac:dyDescent="0.25"/>
    <row r="4150" ht="30.75" customHeight="1" thickBot="1" x14ac:dyDescent="0.25"/>
    <row r="4151" ht="30.75" customHeight="1" thickBot="1" x14ac:dyDescent="0.25"/>
    <row r="4152" ht="30.75" customHeight="1" thickBot="1" x14ac:dyDescent="0.25"/>
    <row r="4153" ht="30.75" customHeight="1" thickBot="1" x14ac:dyDescent="0.25"/>
    <row r="4154" ht="30.75" customHeight="1" thickBot="1" x14ac:dyDescent="0.25"/>
    <row r="4155" ht="30.75" customHeight="1" thickBot="1" x14ac:dyDescent="0.25"/>
    <row r="4156" ht="30.75" customHeight="1" thickBot="1" x14ac:dyDescent="0.25"/>
    <row r="4157" ht="30.75" customHeight="1" thickBot="1" x14ac:dyDescent="0.25"/>
    <row r="4158" ht="30.75" customHeight="1" thickBot="1" x14ac:dyDescent="0.25"/>
    <row r="4159" ht="30.75" customHeight="1" thickBot="1" x14ac:dyDescent="0.25"/>
    <row r="4160" ht="30.75" customHeight="1" thickBot="1" x14ac:dyDescent="0.25"/>
    <row r="4161" ht="30.75" customHeight="1" thickBot="1" x14ac:dyDescent="0.25"/>
    <row r="4162" ht="30.75" customHeight="1" thickBot="1" x14ac:dyDescent="0.25"/>
    <row r="4163" ht="30.75" customHeight="1" thickBot="1" x14ac:dyDescent="0.25"/>
    <row r="4164" ht="30.75" customHeight="1" thickBot="1" x14ac:dyDescent="0.25"/>
    <row r="4165" ht="30.75" customHeight="1" thickBot="1" x14ac:dyDescent="0.25"/>
    <row r="4166" ht="30.75" customHeight="1" thickBot="1" x14ac:dyDescent="0.25"/>
    <row r="4167" ht="30.75" customHeight="1" thickBot="1" x14ac:dyDescent="0.25"/>
    <row r="4168" ht="30.75" customHeight="1" thickBot="1" x14ac:dyDescent="0.25"/>
    <row r="4169" ht="30.75" customHeight="1" thickBot="1" x14ac:dyDescent="0.25"/>
    <row r="4170" ht="30.75" customHeight="1" thickBot="1" x14ac:dyDescent="0.25"/>
    <row r="4171" ht="30.75" customHeight="1" thickBot="1" x14ac:dyDescent="0.25"/>
    <row r="4172" ht="30.75" customHeight="1" thickBot="1" x14ac:dyDescent="0.25"/>
    <row r="4173" ht="30.75" customHeight="1" thickBot="1" x14ac:dyDescent="0.25"/>
    <row r="4174" ht="30.75" customHeight="1" thickBot="1" x14ac:dyDescent="0.25"/>
    <row r="4175" ht="30.75" customHeight="1" thickBot="1" x14ac:dyDescent="0.25"/>
    <row r="4176" ht="30.75" customHeight="1" thickBot="1" x14ac:dyDescent="0.25"/>
    <row r="4177" ht="30.75" customHeight="1" thickBot="1" x14ac:dyDescent="0.25"/>
    <row r="4178" ht="30.75" customHeight="1" thickBot="1" x14ac:dyDescent="0.25"/>
    <row r="4179" ht="30.75" customHeight="1" thickBot="1" x14ac:dyDescent="0.25"/>
    <row r="4180" ht="30.75" customHeight="1" thickBot="1" x14ac:dyDescent="0.25"/>
    <row r="4181" ht="30.75" customHeight="1" thickBot="1" x14ac:dyDescent="0.25"/>
    <row r="4182" ht="30.75" customHeight="1" thickBot="1" x14ac:dyDescent="0.25"/>
    <row r="4183" ht="30.75" customHeight="1" thickBot="1" x14ac:dyDescent="0.25"/>
    <row r="4184" ht="30.75" customHeight="1" thickBot="1" x14ac:dyDescent="0.25"/>
    <row r="4185" ht="30.75" customHeight="1" thickBot="1" x14ac:dyDescent="0.25"/>
    <row r="4186" ht="30.75" customHeight="1" thickBot="1" x14ac:dyDescent="0.25"/>
    <row r="4187" ht="30.75" customHeight="1" thickBot="1" x14ac:dyDescent="0.25"/>
    <row r="4188" ht="30.75" customHeight="1" thickBot="1" x14ac:dyDescent="0.25"/>
    <row r="4189" ht="30.75" customHeight="1" thickBot="1" x14ac:dyDescent="0.25"/>
    <row r="4190" ht="30.75" customHeight="1" thickBot="1" x14ac:dyDescent="0.25"/>
    <row r="4191" ht="30.75" customHeight="1" thickBot="1" x14ac:dyDescent="0.25"/>
    <row r="4192" ht="30.75" customHeight="1" thickBot="1" x14ac:dyDescent="0.25"/>
    <row r="4193" ht="30.75" customHeight="1" thickBot="1" x14ac:dyDescent="0.25"/>
    <row r="4194" ht="30.75" customHeight="1" thickBot="1" x14ac:dyDescent="0.25"/>
    <row r="4195" ht="30.75" customHeight="1" thickBot="1" x14ac:dyDescent="0.25"/>
    <row r="4196" ht="30.75" customHeight="1" thickBot="1" x14ac:dyDescent="0.25"/>
    <row r="4197" ht="30.75" customHeight="1" thickBot="1" x14ac:dyDescent="0.25"/>
    <row r="4198" ht="30.75" customHeight="1" thickBot="1" x14ac:dyDescent="0.25"/>
    <row r="4199" ht="30.75" customHeight="1" thickBot="1" x14ac:dyDescent="0.25"/>
    <row r="4200" ht="30.75" customHeight="1" thickBot="1" x14ac:dyDescent="0.25"/>
    <row r="4201" ht="30.75" customHeight="1" thickBot="1" x14ac:dyDescent="0.25"/>
    <row r="4202" ht="30.75" customHeight="1" thickBot="1" x14ac:dyDescent="0.25"/>
    <row r="4203" ht="30.75" customHeight="1" thickBot="1" x14ac:dyDescent="0.25"/>
    <row r="4204" ht="30.75" customHeight="1" thickBot="1" x14ac:dyDescent="0.25"/>
    <row r="4205" ht="30.75" customHeight="1" thickBot="1" x14ac:dyDescent="0.25"/>
    <row r="4206" ht="30.75" customHeight="1" thickBot="1" x14ac:dyDescent="0.25"/>
    <row r="4207" ht="30.75" customHeight="1" thickBot="1" x14ac:dyDescent="0.25"/>
    <row r="4208" ht="30.75" customHeight="1" thickBot="1" x14ac:dyDescent="0.25"/>
    <row r="4209" ht="30.75" customHeight="1" thickBot="1" x14ac:dyDescent="0.25"/>
    <row r="4210" ht="30.75" customHeight="1" thickBot="1" x14ac:dyDescent="0.25"/>
    <row r="4211" ht="30.75" customHeight="1" thickBot="1" x14ac:dyDescent="0.25"/>
    <row r="4212" ht="30.75" customHeight="1" thickBot="1" x14ac:dyDescent="0.25"/>
    <row r="4213" ht="30.75" customHeight="1" thickBot="1" x14ac:dyDescent="0.25"/>
    <row r="4214" ht="30.75" customHeight="1" thickBot="1" x14ac:dyDescent="0.25"/>
    <row r="4215" ht="30.75" customHeight="1" thickBot="1" x14ac:dyDescent="0.25"/>
    <row r="4216" ht="30.75" customHeight="1" thickBot="1" x14ac:dyDescent="0.25"/>
    <row r="4217" ht="30.75" customHeight="1" thickBot="1" x14ac:dyDescent="0.25"/>
    <row r="4218" ht="30.75" customHeight="1" thickBot="1" x14ac:dyDescent="0.25"/>
    <row r="4219" ht="30.75" customHeight="1" thickBot="1" x14ac:dyDescent="0.25"/>
    <row r="4220" ht="30.75" customHeight="1" thickBot="1" x14ac:dyDescent="0.25"/>
    <row r="4221" ht="30.75" customHeight="1" thickBot="1" x14ac:dyDescent="0.25"/>
    <row r="4222" ht="30.75" customHeight="1" thickBot="1" x14ac:dyDescent="0.25"/>
    <row r="4223" ht="30.75" customHeight="1" thickBot="1" x14ac:dyDescent="0.25"/>
    <row r="4224" ht="30.75" customHeight="1" thickBot="1" x14ac:dyDescent="0.25"/>
    <row r="4225" ht="30.75" customHeight="1" thickBot="1" x14ac:dyDescent="0.25"/>
    <row r="4226" ht="30.75" customHeight="1" thickBot="1" x14ac:dyDescent="0.25"/>
    <row r="4227" ht="30.75" customHeight="1" thickBot="1" x14ac:dyDescent="0.25"/>
    <row r="4228" ht="30.75" customHeight="1" thickBot="1" x14ac:dyDescent="0.25"/>
    <row r="4229" ht="30.75" customHeight="1" thickBot="1" x14ac:dyDescent="0.25"/>
    <row r="4230" ht="30.75" customHeight="1" thickBot="1" x14ac:dyDescent="0.25"/>
    <row r="4231" ht="30.75" customHeight="1" thickBot="1" x14ac:dyDescent="0.25"/>
    <row r="4232" ht="30.75" customHeight="1" thickBot="1" x14ac:dyDescent="0.25"/>
    <row r="4233" ht="30.75" customHeight="1" thickBot="1" x14ac:dyDescent="0.25"/>
    <row r="4234" ht="30.75" customHeight="1" thickBot="1" x14ac:dyDescent="0.25"/>
    <row r="4235" ht="30.75" customHeight="1" thickBot="1" x14ac:dyDescent="0.25"/>
    <row r="4236" ht="30.75" customHeight="1" thickBot="1" x14ac:dyDescent="0.25"/>
    <row r="4237" ht="30.75" customHeight="1" thickBot="1" x14ac:dyDescent="0.25"/>
    <row r="4238" ht="30.75" customHeight="1" thickBot="1" x14ac:dyDescent="0.25"/>
    <row r="4239" ht="30.75" customHeight="1" thickBot="1" x14ac:dyDescent="0.25"/>
    <row r="4240" ht="30.75" customHeight="1" thickBot="1" x14ac:dyDescent="0.25"/>
    <row r="4241" ht="30.75" customHeight="1" thickBot="1" x14ac:dyDescent="0.25"/>
    <row r="4242" ht="30.75" customHeight="1" thickBot="1" x14ac:dyDescent="0.25"/>
    <row r="4243" ht="30.75" customHeight="1" thickBot="1" x14ac:dyDescent="0.25"/>
    <row r="4244" ht="30.75" customHeight="1" thickBot="1" x14ac:dyDescent="0.25"/>
    <row r="4245" ht="30.75" customHeight="1" thickBot="1" x14ac:dyDescent="0.25"/>
    <row r="4246" ht="30.75" customHeight="1" thickBot="1" x14ac:dyDescent="0.25"/>
    <row r="4247" ht="30.75" customHeight="1" thickBot="1" x14ac:dyDescent="0.25"/>
    <row r="4248" ht="30.75" customHeight="1" thickBot="1" x14ac:dyDescent="0.25"/>
    <row r="4249" ht="30.75" customHeight="1" thickBot="1" x14ac:dyDescent="0.25"/>
    <row r="4250" ht="30.75" customHeight="1" thickBot="1" x14ac:dyDescent="0.25"/>
    <row r="4251" ht="30.75" customHeight="1" thickBot="1" x14ac:dyDescent="0.25"/>
    <row r="4252" ht="30.75" customHeight="1" thickBot="1" x14ac:dyDescent="0.25"/>
    <row r="4253" ht="30.75" customHeight="1" thickBot="1" x14ac:dyDescent="0.25"/>
    <row r="4254" ht="30.75" customHeight="1" thickBot="1" x14ac:dyDescent="0.25"/>
    <row r="4255" ht="30.75" customHeight="1" thickBot="1" x14ac:dyDescent="0.25"/>
    <row r="4256" ht="30.75" customHeight="1" thickBot="1" x14ac:dyDescent="0.25"/>
    <row r="4257" ht="30.75" customHeight="1" thickBot="1" x14ac:dyDescent="0.25"/>
    <row r="4258" ht="30.75" customHeight="1" thickBot="1" x14ac:dyDescent="0.25"/>
    <row r="4259" ht="30.75" customHeight="1" thickBot="1" x14ac:dyDescent="0.25"/>
    <row r="4260" ht="30.75" customHeight="1" thickBot="1" x14ac:dyDescent="0.25"/>
    <row r="4261" ht="30.75" customHeight="1" thickBot="1" x14ac:dyDescent="0.25"/>
    <row r="4262" ht="30.75" customHeight="1" thickBot="1" x14ac:dyDescent="0.25"/>
    <row r="4263" ht="30.75" customHeight="1" thickBot="1" x14ac:dyDescent="0.25"/>
    <row r="4264" ht="30.75" customHeight="1" thickBot="1" x14ac:dyDescent="0.25"/>
    <row r="4265" ht="30.75" customHeight="1" thickBot="1" x14ac:dyDescent="0.25"/>
    <row r="4266" ht="30.75" customHeight="1" thickBot="1" x14ac:dyDescent="0.25"/>
    <row r="4267" ht="30.75" customHeight="1" thickBot="1" x14ac:dyDescent="0.25"/>
    <row r="4268" ht="30.75" customHeight="1" thickBot="1" x14ac:dyDescent="0.25"/>
    <row r="4269" ht="30.75" customHeight="1" thickBot="1" x14ac:dyDescent="0.25"/>
    <row r="4270" ht="30.75" customHeight="1" thickBot="1" x14ac:dyDescent="0.25"/>
    <row r="4271" ht="30.75" customHeight="1" thickBot="1" x14ac:dyDescent="0.25"/>
    <row r="4272" ht="30.75" customHeight="1" thickBot="1" x14ac:dyDescent="0.25"/>
    <row r="4273" ht="30.75" customHeight="1" thickBot="1" x14ac:dyDescent="0.25"/>
    <row r="4274" ht="30.75" customHeight="1" thickBot="1" x14ac:dyDescent="0.25"/>
    <row r="4275" ht="30.75" customHeight="1" thickBot="1" x14ac:dyDescent="0.25"/>
    <row r="4276" ht="30.75" customHeight="1" thickBot="1" x14ac:dyDescent="0.25"/>
    <row r="4277" ht="30.75" customHeight="1" thickBot="1" x14ac:dyDescent="0.25"/>
    <row r="4278" ht="30.75" customHeight="1" thickBot="1" x14ac:dyDescent="0.25"/>
    <row r="4279" ht="30.75" customHeight="1" thickBot="1" x14ac:dyDescent="0.25"/>
    <row r="4280" ht="30.75" customHeight="1" thickBot="1" x14ac:dyDescent="0.25"/>
    <row r="4281" ht="30.75" customHeight="1" thickBot="1" x14ac:dyDescent="0.25"/>
    <row r="4282" ht="30.75" customHeight="1" thickBot="1" x14ac:dyDescent="0.25"/>
    <row r="4283" ht="30.75" customHeight="1" thickBot="1" x14ac:dyDescent="0.25"/>
    <row r="4284" ht="30.75" customHeight="1" thickBot="1" x14ac:dyDescent="0.25"/>
    <row r="4285" ht="30.75" customHeight="1" thickBot="1" x14ac:dyDescent="0.25"/>
    <row r="4286" ht="30.75" customHeight="1" thickBot="1" x14ac:dyDescent="0.25"/>
    <row r="4287" ht="30.75" customHeight="1" thickBot="1" x14ac:dyDescent="0.25"/>
    <row r="4288" ht="30.75" customHeight="1" thickBot="1" x14ac:dyDescent="0.25"/>
    <row r="4289" ht="30.75" customHeight="1" thickBot="1" x14ac:dyDescent="0.25"/>
    <row r="4290" ht="30.75" customHeight="1" thickBot="1" x14ac:dyDescent="0.25"/>
    <row r="4291" ht="30.75" customHeight="1" thickBot="1" x14ac:dyDescent="0.25"/>
    <row r="4292" ht="30.75" customHeight="1" thickBot="1" x14ac:dyDescent="0.25"/>
    <row r="4293" ht="30.75" customHeight="1" thickBot="1" x14ac:dyDescent="0.25"/>
    <row r="4294" ht="30.75" customHeight="1" thickBot="1" x14ac:dyDescent="0.25"/>
    <row r="4295" ht="30.75" customHeight="1" thickBot="1" x14ac:dyDescent="0.25"/>
    <row r="4296" ht="30.75" customHeight="1" thickBot="1" x14ac:dyDescent="0.25"/>
    <row r="4297" ht="30.75" customHeight="1" thickBot="1" x14ac:dyDescent="0.25"/>
    <row r="4298" ht="30.75" customHeight="1" thickBot="1" x14ac:dyDescent="0.25"/>
    <row r="4299" ht="30.75" customHeight="1" thickBot="1" x14ac:dyDescent="0.25"/>
    <row r="4300" ht="30.75" customHeight="1" thickBot="1" x14ac:dyDescent="0.25"/>
    <row r="4301" ht="30.75" customHeight="1" thickBot="1" x14ac:dyDescent="0.25"/>
    <row r="4302" ht="30.75" customHeight="1" thickBot="1" x14ac:dyDescent="0.25"/>
    <row r="4303" ht="30.75" customHeight="1" thickBot="1" x14ac:dyDescent="0.25"/>
    <row r="4304" ht="30.75" customHeight="1" thickBot="1" x14ac:dyDescent="0.25"/>
    <row r="4305" ht="30.75" customHeight="1" thickBot="1" x14ac:dyDescent="0.25"/>
    <row r="4306" ht="30.75" customHeight="1" thickBot="1" x14ac:dyDescent="0.25"/>
    <row r="4307" ht="30.75" customHeight="1" thickBot="1" x14ac:dyDescent="0.25"/>
    <row r="4308" ht="30.75" customHeight="1" thickBot="1" x14ac:dyDescent="0.25"/>
    <row r="4309" ht="30.75" customHeight="1" thickBot="1" x14ac:dyDescent="0.25"/>
    <row r="4310" ht="30.75" customHeight="1" thickBot="1" x14ac:dyDescent="0.25"/>
    <row r="4311" ht="30.75" customHeight="1" thickBot="1" x14ac:dyDescent="0.25"/>
    <row r="4312" ht="30.75" customHeight="1" thickBot="1" x14ac:dyDescent="0.25"/>
    <row r="4313" ht="30.75" customHeight="1" thickBot="1" x14ac:dyDescent="0.25"/>
    <row r="4314" ht="30.75" customHeight="1" thickBot="1" x14ac:dyDescent="0.25"/>
    <row r="4315" ht="30.75" customHeight="1" thickBot="1" x14ac:dyDescent="0.25"/>
    <row r="4316" ht="30.75" customHeight="1" thickBot="1" x14ac:dyDescent="0.25"/>
    <row r="4317" ht="30.75" customHeight="1" thickBot="1" x14ac:dyDescent="0.25"/>
    <row r="4318" ht="30.75" customHeight="1" thickBot="1" x14ac:dyDescent="0.25"/>
    <row r="4319" ht="30.75" customHeight="1" thickBot="1" x14ac:dyDescent="0.25"/>
    <row r="4320" ht="30.75" customHeight="1" thickBot="1" x14ac:dyDescent="0.25"/>
    <row r="4321" ht="30.75" customHeight="1" thickBot="1" x14ac:dyDescent="0.25"/>
    <row r="4322" ht="30.75" customHeight="1" thickBot="1" x14ac:dyDescent="0.25"/>
    <row r="4323" ht="30.75" customHeight="1" thickBot="1" x14ac:dyDescent="0.25"/>
    <row r="4324" ht="30.75" customHeight="1" thickBot="1" x14ac:dyDescent="0.25"/>
    <row r="4325" ht="30.75" customHeight="1" thickBot="1" x14ac:dyDescent="0.25"/>
    <row r="4326" ht="30.75" customHeight="1" thickBot="1" x14ac:dyDescent="0.25"/>
    <row r="4327" ht="30.75" customHeight="1" thickBot="1" x14ac:dyDescent="0.25"/>
    <row r="4328" ht="30.75" customHeight="1" thickBot="1" x14ac:dyDescent="0.25"/>
    <row r="4329" ht="30.75" customHeight="1" thickBot="1" x14ac:dyDescent="0.25"/>
    <row r="4330" ht="30.75" customHeight="1" thickBot="1" x14ac:dyDescent="0.25"/>
    <row r="4331" ht="30.75" customHeight="1" thickBot="1" x14ac:dyDescent="0.25"/>
    <row r="4332" ht="30.75" customHeight="1" thickBot="1" x14ac:dyDescent="0.25"/>
    <row r="4333" ht="30.75" customHeight="1" thickBot="1" x14ac:dyDescent="0.25"/>
    <row r="4334" ht="30.75" customHeight="1" thickBot="1" x14ac:dyDescent="0.25"/>
    <row r="4335" ht="30.75" customHeight="1" thickBot="1" x14ac:dyDescent="0.25"/>
    <row r="4336" ht="30.75" customHeight="1" thickBot="1" x14ac:dyDescent="0.25"/>
    <row r="4337" ht="30.75" customHeight="1" thickBot="1" x14ac:dyDescent="0.25"/>
    <row r="4338" ht="30.75" customHeight="1" thickBot="1" x14ac:dyDescent="0.25"/>
    <row r="4339" ht="30.75" customHeight="1" thickBot="1" x14ac:dyDescent="0.25"/>
    <row r="4340" ht="30.75" customHeight="1" thickBot="1" x14ac:dyDescent="0.25"/>
    <row r="4341" ht="30.75" customHeight="1" thickBot="1" x14ac:dyDescent="0.25"/>
    <row r="4342" ht="30.75" customHeight="1" thickBot="1" x14ac:dyDescent="0.25"/>
    <row r="4343" ht="30.75" customHeight="1" thickBot="1" x14ac:dyDescent="0.25"/>
    <row r="4344" ht="30.75" customHeight="1" thickBot="1" x14ac:dyDescent="0.25"/>
    <row r="4345" ht="30.75" customHeight="1" thickBot="1" x14ac:dyDescent="0.25"/>
    <row r="4346" ht="30.75" customHeight="1" thickBot="1" x14ac:dyDescent="0.25"/>
    <row r="4347" ht="30.75" customHeight="1" thickBot="1" x14ac:dyDescent="0.25"/>
    <row r="4348" ht="30.75" customHeight="1" thickBot="1" x14ac:dyDescent="0.25"/>
    <row r="4349" ht="30.75" customHeight="1" thickBot="1" x14ac:dyDescent="0.25"/>
    <row r="4350" ht="30.75" customHeight="1" thickBot="1" x14ac:dyDescent="0.25"/>
    <row r="4351" ht="30.75" customHeight="1" thickBot="1" x14ac:dyDescent="0.25"/>
    <row r="4352" ht="30.75" customHeight="1" thickBot="1" x14ac:dyDescent="0.25"/>
    <row r="4353" ht="30.75" customHeight="1" thickBot="1" x14ac:dyDescent="0.25"/>
    <row r="4354" ht="30.75" customHeight="1" thickBot="1" x14ac:dyDescent="0.25"/>
    <row r="4355" ht="30.75" customHeight="1" thickBot="1" x14ac:dyDescent="0.25"/>
    <row r="4356" ht="30.75" customHeight="1" thickBot="1" x14ac:dyDescent="0.25"/>
    <row r="4357" ht="30.75" customHeight="1" thickBot="1" x14ac:dyDescent="0.25"/>
    <row r="4358" ht="30.75" customHeight="1" thickBot="1" x14ac:dyDescent="0.25"/>
    <row r="4359" ht="30.75" customHeight="1" thickBot="1" x14ac:dyDescent="0.25"/>
    <row r="4360" ht="30.75" customHeight="1" thickBot="1" x14ac:dyDescent="0.25"/>
    <row r="4361" ht="30.75" customHeight="1" thickBot="1" x14ac:dyDescent="0.25"/>
    <row r="4362" ht="30.75" customHeight="1" thickBot="1" x14ac:dyDescent="0.25"/>
    <row r="4363" ht="30.75" customHeight="1" thickBot="1" x14ac:dyDescent="0.25"/>
    <row r="4364" ht="30.75" customHeight="1" thickBot="1" x14ac:dyDescent="0.25"/>
    <row r="4365" ht="30.75" customHeight="1" thickBot="1" x14ac:dyDescent="0.25"/>
    <row r="4366" ht="30.75" customHeight="1" thickBot="1" x14ac:dyDescent="0.25"/>
    <row r="4367" ht="30.75" customHeight="1" thickBot="1" x14ac:dyDescent="0.25"/>
    <row r="4368" ht="30.75" customHeight="1" thickBot="1" x14ac:dyDescent="0.25"/>
    <row r="4369" ht="30.75" customHeight="1" thickBot="1" x14ac:dyDescent="0.25"/>
    <row r="4370" ht="30.75" customHeight="1" thickBot="1" x14ac:dyDescent="0.25"/>
    <row r="4371" ht="30.75" customHeight="1" thickBot="1" x14ac:dyDescent="0.25"/>
    <row r="4372" ht="30.75" customHeight="1" thickBot="1" x14ac:dyDescent="0.25"/>
    <row r="4373" ht="30.75" customHeight="1" thickBot="1" x14ac:dyDescent="0.25"/>
    <row r="4374" ht="30.75" customHeight="1" thickBot="1" x14ac:dyDescent="0.25"/>
    <row r="4375" ht="30.75" customHeight="1" thickBot="1" x14ac:dyDescent="0.25"/>
    <row r="4376" ht="30.75" customHeight="1" thickBot="1" x14ac:dyDescent="0.25"/>
    <row r="4377" ht="30.75" customHeight="1" thickBot="1" x14ac:dyDescent="0.25"/>
    <row r="4378" ht="30.75" customHeight="1" thickBot="1" x14ac:dyDescent="0.25"/>
    <row r="4379" ht="30.75" customHeight="1" thickBot="1" x14ac:dyDescent="0.25"/>
    <row r="4380" ht="30.75" customHeight="1" thickBot="1" x14ac:dyDescent="0.25"/>
    <row r="4381" ht="30.75" customHeight="1" thickBot="1" x14ac:dyDescent="0.25"/>
    <row r="4382" ht="30.75" customHeight="1" thickBot="1" x14ac:dyDescent="0.25"/>
    <row r="4383" ht="30.75" customHeight="1" thickBot="1" x14ac:dyDescent="0.25"/>
    <row r="4384" ht="30.75" customHeight="1" thickBot="1" x14ac:dyDescent="0.25"/>
    <row r="4385" ht="30.75" customHeight="1" thickBot="1" x14ac:dyDescent="0.25"/>
    <row r="4386" ht="30.75" customHeight="1" thickBot="1" x14ac:dyDescent="0.25"/>
    <row r="4387" ht="30.75" customHeight="1" thickBot="1" x14ac:dyDescent="0.25"/>
    <row r="4388" ht="30.75" customHeight="1" thickBot="1" x14ac:dyDescent="0.25"/>
    <row r="4389" ht="30.75" customHeight="1" thickBot="1" x14ac:dyDescent="0.25"/>
    <row r="4390" ht="30.75" customHeight="1" thickBot="1" x14ac:dyDescent="0.25"/>
    <row r="4391" ht="30.75" customHeight="1" thickBot="1" x14ac:dyDescent="0.25"/>
    <row r="4392" ht="30.75" customHeight="1" thickBot="1" x14ac:dyDescent="0.25"/>
    <row r="4393" ht="30.75" customHeight="1" thickBot="1" x14ac:dyDescent="0.25"/>
    <row r="4394" ht="30.75" customHeight="1" thickBot="1" x14ac:dyDescent="0.25"/>
    <row r="4395" ht="30.75" customHeight="1" thickBot="1" x14ac:dyDescent="0.25"/>
    <row r="4396" ht="30.75" customHeight="1" thickBot="1" x14ac:dyDescent="0.25"/>
    <row r="4397" ht="30.75" customHeight="1" thickBot="1" x14ac:dyDescent="0.25"/>
    <row r="4398" ht="30.75" customHeight="1" thickBot="1" x14ac:dyDescent="0.25"/>
    <row r="4399" ht="30.75" customHeight="1" thickBot="1" x14ac:dyDescent="0.25"/>
    <row r="4400" ht="30.75" customHeight="1" thickBot="1" x14ac:dyDescent="0.25"/>
    <row r="4401" ht="30.75" customHeight="1" thickBot="1" x14ac:dyDescent="0.25"/>
    <row r="4402" ht="30.75" customHeight="1" thickBot="1" x14ac:dyDescent="0.25"/>
    <row r="4403" ht="30.75" customHeight="1" thickBot="1" x14ac:dyDescent="0.25"/>
    <row r="4404" ht="30.75" customHeight="1" thickBot="1" x14ac:dyDescent="0.25"/>
    <row r="4405" ht="30.75" customHeight="1" thickBot="1" x14ac:dyDescent="0.25"/>
    <row r="4406" ht="30.75" customHeight="1" thickBot="1" x14ac:dyDescent="0.25"/>
    <row r="4407" ht="30.75" customHeight="1" thickBot="1" x14ac:dyDescent="0.25"/>
    <row r="4408" ht="30.75" customHeight="1" thickBot="1" x14ac:dyDescent="0.25"/>
    <row r="4409" ht="30.75" customHeight="1" thickBot="1" x14ac:dyDescent="0.25"/>
    <row r="4410" ht="30.75" customHeight="1" thickBot="1" x14ac:dyDescent="0.25"/>
    <row r="4411" ht="30.75" customHeight="1" thickBot="1" x14ac:dyDescent="0.25"/>
    <row r="4412" ht="30.75" customHeight="1" thickBot="1" x14ac:dyDescent="0.25"/>
    <row r="4413" ht="30.75" customHeight="1" thickBot="1" x14ac:dyDescent="0.25"/>
    <row r="4414" ht="30.75" customHeight="1" thickBot="1" x14ac:dyDescent="0.25"/>
    <row r="4415" ht="30.75" customHeight="1" thickBot="1" x14ac:dyDescent="0.25"/>
    <row r="4416" ht="30.75" customHeight="1" thickBot="1" x14ac:dyDescent="0.25"/>
    <row r="4417" ht="30.75" customHeight="1" thickBot="1" x14ac:dyDescent="0.25"/>
    <row r="4418" ht="30.75" customHeight="1" thickBot="1" x14ac:dyDescent="0.25"/>
    <row r="4419" ht="30.75" customHeight="1" thickBot="1" x14ac:dyDescent="0.25"/>
    <row r="4420" ht="30.75" customHeight="1" thickBot="1" x14ac:dyDescent="0.25"/>
    <row r="4421" ht="30.75" customHeight="1" thickBot="1" x14ac:dyDescent="0.25"/>
    <row r="4422" ht="30.75" customHeight="1" thickBot="1" x14ac:dyDescent="0.25"/>
    <row r="4423" ht="30.75" customHeight="1" thickBot="1" x14ac:dyDescent="0.25"/>
    <row r="4424" ht="30.75" customHeight="1" thickBot="1" x14ac:dyDescent="0.25"/>
    <row r="4425" ht="30.75" customHeight="1" thickBot="1" x14ac:dyDescent="0.25"/>
    <row r="4426" ht="30.75" customHeight="1" thickBot="1" x14ac:dyDescent="0.25"/>
    <row r="4427" ht="30.75" customHeight="1" thickBot="1" x14ac:dyDescent="0.25"/>
    <row r="4428" ht="30.75" customHeight="1" thickBot="1" x14ac:dyDescent="0.25"/>
    <row r="4429" ht="30.75" customHeight="1" thickBot="1" x14ac:dyDescent="0.25"/>
    <row r="4430" ht="30.75" customHeight="1" thickBot="1" x14ac:dyDescent="0.25"/>
    <row r="4431" ht="30.75" customHeight="1" thickBot="1" x14ac:dyDescent="0.25"/>
    <row r="4432" ht="30.75" customHeight="1" thickBot="1" x14ac:dyDescent="0.25"/>
    <row r="4433" ht="30.75" customHeight="1" thickBot="1" x14ac:dyDescent="0.25"/>
    <row r="4434" ht="30.75" customHeight="1" thickBot="1" x14ac:dyDescent="0.25"/>
    <row r="4435" ht="30.75" customHeight="1" thickBot="1" x14ac:dyDescent="0.25"/>
    <row r="4436" ht="30.75" customHeight="1" thickBot="1" x14ac:dyDescent="0.25"/>
    <row r="4437" ht="30.75" customHeight="1" thickBot="1" x14ac:dyDescent="0.25"/>
    <row r="4438" ht="30.75" customHeight="1" thickBot="1" x14ac:dyDescent="0.25"/>
    <row r="4439" ht="30.75" customHeight="1" thickBot="1" x14ac:dyDescent="0.25"/>
    <row r="4440" ht="30.75" customHeight="1" thickBot="1" x14ac:dyDescent="0.25"/>
    <row r="4441" ht="30.75" customHeight="1" thickBot="1" x14ac:dyDescent="0.25"/>
    <row r="4442" ht="30.75" customHeight="1" thickBot="1" x14ac:dyDescent="0.25"/>
    <row r="4443" ht="30.75" customHeight="1" thickBot="1" x14ac:dyDescent="0.25"/>
    <row r="4444" ht="30.75" customHeight="1" thickBot="1" x14ac:dyDescent="0.25"/>
    <row r="4445" ht="30.75" customHeight="1" thickBot="1" x14ac:dyDescent="0.25"/>
    <row r="4446" ht="30.75" customHeight="1" thickBot="1" x14ac:dyDescent="0.25"/>
    <row r="4447" ht="30.75" customHeight="1" thickBot="1" x14ac:dyDescent="0.25"/>
    <row r="4448" ht="30.75" customHeight="1" thickBot="1" x14ac:dyDescent="0.25"/>
    <row r="4449" ht="30.75" customHeight="1" thickBot="1" x14ac:dyDescent="0.25"/>
    <row r="4450" ht="30.75" customHeight="1" thickBot="1" x14ac:dyDescent="0.25"/>
    <row r="4451" ht="30.75" customHeight="1" thickBot="1" x14ac:dyDescent="0.25"/>
    <row r="4452" ht="30.75" customHeight="1" thickBot="1" x14ac:dyDescent="0.25"/>
    <row r="4453" ht="30.75" customHeight="1" thickBot="1" x14ac:dyDescent="0.25"/>
    <row r="4454" ht="30.75" customHeight="1" thickBot="1" x14ac:dyDescent="0.25"/>
    <row r="4455" ht="30.75" customHeight="1" thickBot="1" x14ac:dyDescent="0.25"/>
    <row r="4456" ht="30.75" customHeight="1" thickBot="1" x14ac:dyDescent="0.25"/>
    <row r="4457" ht="30.75" customHeight="1" thickBot="1" x14ac:dyDescent="0.25"/>
    <row r="4458" ht="30.75" customHeight="1" thickBot="1" x14ac:dyDescent="0.25"/>
    <row r="4459" ht="30.75" customHeight="1" thickBot="1" x14ac:dyDescent="0.25"/>
    <row r="4460" ht="30.75" customHeight="1" thickBot="1" x14ac:dyDescent="0.25"/>
    <row r="4461" ht="30.75" customHeight="1" thickBot="1" x14ac:dyDescent="0.25"/>
    <row r="4462" ht="30.75" customHeight="1" thickBot="1" x14ac:dyDescent="0.25"/>
    <row r="4463" ht="30.75" customHeight="1" thickBot="1" x14ac:dyDescent="0.25"/>
    <row r="4464" ht="30.75" customHeight="1" thickBot="1" x14ac:dyDescent="0.25"/>
    <row r="4465" ht="30.75" customHeight="1" thickBot="1" x14ac:dyDescent="0.25"/>
    <row r="4466" ht="30.75" customHeight="1" thickBot="1" x14ac:dyDescent="0.25"/>
    <row r="4467" ht="30.75" customHeight="1" thickBot="1" x14ac:dyDescent="0.25"/>
    <row r="4468" ht="30.75" customHeight="1" thickBot="1" x14ac:dyDescent="0.25"/>
    <row r="4469" ht="30.75" customHeight="1" thickBot="1" x14ac:dyDescent="0.25"/>
    <row r="4470" ht="30.75" customHeight="1" thickBot="1" x14ac:dyDescent="0.25"/>
    <row r="4471" ht="30.75" customHeight="1" thickBot="1" x14ac:dyDescent="0.25"/>
    <row r="4472" ht="30.75" customHeight="1" thickBot="1" x14ac:dyDescent="0.25"/>
    <row r="4473" ht="30.75" customHeight="1" thickBot="1" x14ac:dyDescent="0.25"/>
    <row r="4474" ht="30.75" customHeight="1" thickBot="1" x14ac:dyDescent="0.25"/>
    <row r="4475" ht="30.75" customHeight="1" thickBot="1" x14ac:dyDescent="0.25"/>
    <row r="4476" ht="30.75" customHeight="1" thickBot="1" x14ac:dyDescent="0.25"/>
    <row r="4477" ht="30.75" customHeight="1" thickBot="1" x14ac:dyDescent="0.25"/>
    <row r="4478" ht="30.75" customHeight="1" thickBot="1" x14ac:dyDescent="0.25"/>
    <row r="4479" ht="30.75" customHeight="1" thickBot="1" x14ac:dyDescent="0.25"/>
    <row r="4480" ht="30.75" customHeight="1" thickBot="1" x14ac:dyDescent="0.25"/>
    <row r="4481" ht="30.75" customHeight="1" thickBot="1" x14ac:dyDescent="0.25"/>
    <row r="4482" ht="30.75" customHeight="1" thickBot="1" x14ac:dyDescent="0.25"/>
    <row r="4483" ht="30.75" customHeight="1" thickBot="1" x14ac:dyDescent="0.25"/>
    <row r="4484" ht="30.75" customHeight="1" thickBot="1" x14ac:dyDescent="0.25"/>
    <row r="4485" ht="30.75" customHeight="1" thickBot="1" x14ac:dyDescent="0.25"/>
    <row r="4486" ht="30.75" customHeight="1" thickBot="1" x14ac:dyDescent="0.25"/>
    <row r="4487" ht="30.75" customHeight="1" thickBot="1" x14ac:dyDescent="0.25"/>
    <row r="4488" ht="30.75" customHeight="1" thickBot="1" x14ac:dyDescent="0.25"/>
    <row r="4489" ht="30.75" customHeight="1" thickBot="1" x14ac:dyDescent="0.25"/>
    <row r="4490" ht="30.75" customHeight="1" thickBot="1" x14ac:dyDescent="0.25"/>
    <row r="4491" ht="30.75" customHeight="1" thickBot="1" x14ac:dyDescent="0.25"/>
    <row r="4492" ht="30.75" customHeight="1" thickBot="1" x14ac:dyDescent="0.25"/>
    <row r="4493" ht="30.75" customHeight="1" thickBot="1" x14ac:dyDescent="0.25"/>
    <row r="4494" ht="30.75" customHeight="1" thickBot="1" x14ac:dyDescent="0.25"/>
    <row r="4495" ht="30.75" customHeight="1" thickBot="1" x14ac:dyDescent="0.25"/>
    <row r="4496" ht="30.75" customHeight="1" thickBot="1" x14ac:dyDescent="0.25"/>
    <row r="4497" ht="30.75" customHeight="1" thickBot="1" x14ac:dyDescent="0.25"/>
    <row r="4498" ht="30.75" customHeight="1" thickBot="1" x14ac:dyDescent="0.25"/>
    <row r="4499" ht="30.75" customHeight="1" thickBot="1" x14ac:dyDescent="0.25"/>
    <row r="4500" ht="30.75" customHeight="1" thickBot="1" x14ac:dyDescent="0.25"/>
    <row r="4501" ht="30.75" customHeight="1" thickBot="1" x14ac:dyDescent="0.25"/>
    <row r="4502" ht="30.75" customHeight="1" thickBot="1" x14ac:dyDescent="0.25"/>
    <row r="4503" ht="30.75" customHeight="1" thickBot="1" x14ac:dyDescent="0.25"/>
    <row r="4504" ht="30.75" customHeight="1" thickBot="1" x14ac:dyDescent="0.25"/>
    <row r="4505" ht="30.75" customHeight="1" thickBot="1" x14ac:dyDescent="0.25"/>
    <row r="4506" ht="30.75" customHeight="1" thickBot="1" x14ac:dyDescent="0.25"/>
    <row r="4507" ht="30.75" customHeight="1" thickBot="1" x14ac:dyDescent="0.25"/>
    <row r="4508" ht="30.75" customHeight="1" thickBot="1" x14ac:dyDescent="0.25"/>
    <row r="4509" ht="30.75" customHeight="1" thickBot="1" x14ac:dyDescent="0.25"/>
    <row r="4510" ht="30.75" customHeight="1" thickBot="1" x14ac:dyDescent="0.25"/>
    <row r="4511" ht="30.75" customHeight="1" thickBot="1" x14ac:dyDescent="0.25"/>
    <row r="4512" ht="30.75" customHeight="1" thickBot="1" x14ac:dyDescent="0.25"/>
    <row r="4513" ht="30.75" customHeight="1" thickBot="1" x14ac:dyDescent="0.25"/>
    <row r="4514" ht="30.75" customHeight="1" thickBot="1" x14ac:dyDescent="0.25"/>
    <row r="4515" ht="30.75" customHeight="1" thickBot="1" x14ac:dyDescent="0.25"/>
    <row r="4516" ht="30.75" customHeight="1" thickBot="1" x14ac:dyDescent="0.25"/>
    <row r="4517" ht="30.75" customHeight="1" thickBot="1" x14ac:dyDescent="0.25"/>
    <row r="4518" ht="30.75" customHeight="1" thickBot="1" x14ac:dyDescent="0.25"/>
    <row r="4519" ht="30.75" customHeight="1" thickBot="1" x14ac:dyDescent="0.25"/>
    <row r="4520" ht="30.75" customHeight="1" thickBot="1" x14ac:dyDescent="0.25"/>
    <row r="4521" ht="30.75" customHeight="1" thickBot="1" x14ac:dyDescent="0.25"/>
    <row r="4522" ht="30.75" customHeight="1" thickBot="1" x14ac:dyDescent="0.25"/>
    <row r="4523" ht="30.75" customHeight="1" thickBot="1" x14ac:dyDescent="0.25"/>
    <row r="4524" ht="30.75" customHeight="1" thickBot="1" x14ac:dyDescent="0.25"/>
    <row r="4525" ht="30.75" customHeight="1" thickBot="1" x14ac:dyDescent="0.25"/>
    <row r="4526" ht="30.75" customHeight="1" thickBot="1" x14ac:dyDescent="0.25"/>
    <row r="4527" ht="30.75" customHeight="1" thickBot="1" x14ac:dyDescent="0.25"/>
    <row r="4528" ht="30.75" customHeight="1" thickBot="1" x14ac:dyDescent="0.25"/>
    <row r="4529" ht="30.75" customHeight="1" thickBot="1" x14ac:dyDescent="0.25"/>
    <row r="4530" ht="30.75" customHeight="1" thickBot="1" x14ac:dyDescent="0.25"/>
    <row r="4531" ht="30.75" customHeight="1" thickBot="1" x14ac:dyDescent="0.25"/>
    <row r="4532" ht="30.75" customHeight="1" thickBot="1" x14ac:dyDescent="0.25"/>
    <row r="4533" ht="30.75" customHeight="1" thickBot="1" x14ac:dyDescent="0.25"/>
    <row r="4534" ht="30.75" customHeight="1" thickBot="1" x14ac:dyDescent="0.25"/>
    <row r="4535" ht="30.75" customHeight="1" thickBot="1" x14ac:dyDescent="0.25"/>
    <row r="4536" ht="30.75" customHeight="1" thickBot="1" x14ac:dyDescent="0.25"/>
    <row r="4537" ht="30.75" customHeight="1" thickBot="1" x14ac:dyDescent="0.25"/>
    <row r="4538" ht="30.75" customHeight="1" thickBot="1" x14ac:dyDescent="0.25"/>
    <row r="4539" ht="30.75" customHeight="1" thickBot="1" x14ac:dyDescent="0.25"/>
    <row r="4540" ht="30.75" customHeight="1" thickBot="1" x14ac:dyDescent="0.25"/>
    <row r="4541" ht="30.75" customHeight="1" thickBot="1" x14ac:dyDescent="0.25"/>
    <row r="4542" ht="30.75" customHeight="1" thickBot="1" x14ac:dyDescent="0.25"/>
    <row r="4543" ht="30.75" customHeight="1" thickBot="1" x14ac:dyDescent="0.25"/>
    <row r="4544" ht="30.75" customHeight="1" thickBot="1" x14ac:dyDescent="0.25"/>
    <row r="4545" ht="30.75" customHeight="1" thickBot="1" x14ac:dyDescent="0.25"/>
    <row r="4546" ht="30.75" customHeight="1" thickBot="1" x14ac:dyDescent="0.25"/>
    <row r="4547" ht="30.75" customHeight="1" thickBot="1" x14ac:dyDescent="0.25"/>
    <row r="4548" ht="30.75" customHeight="1" thickBot="1" x14ac:dyDescent="0.25"/>
    <row r="4549" ht="30.75" customHeight="1" thickBot="1" x14ac:dyDescent="0.25"/>
    <row r="4550" ht="30.75" customHeight="1" thickBot="1" x14ac:dyDescent="0.25"/>
    <row r="4551" ht="30.75" customHeight="1" thickBot="1" x14ac:dyDescent="0.25"/>
    <row r="4552" ht="30.75" customHeight="1" thickBot="1" x14ac:dyDescent="0.25"/>
    <row r="4553" ht="30.75" customHeight="1" thickBot="1" x14ac:dyDescent="0.25"/>
    <row r="4554" ht="30.75" customHeight="1" thickBot="1" x14ac:dyDescent="0.25"/>
    <row r="4555" ht="30.75" customHeight="1" thickBot="1" x14ac:dyDescent="0.25"/>
    <row r="4556" ht="30.75" customHeight="1" thickBot="1" x14ac:dyDescent="0.25"/>
    <row r="4557" ht="30.75" customHeight="1" thickBot="1" x14ac:dyDescent="0.25"/>
    <row r="4558" ht="30.75" customHeight="1" thickBot="1" x14ac:dyDescent="0.25"/>
    <row r="4559" ht="30.75" customHeight="1" thickBot="1" x14ac:dyDescent="0.25"/>
    <row r="4560" ht="30.75" customHeight="1" thickBot="1" x14ac:dyDescent="0.25"/>
    <row r="4561" ht="30.75" customHeight="1" thickBot="1" x14ac:dyDescent="0.25"/>
    <row r="4562" ht="30.75" customHeight="1" thickBot="1" x14ac:dyDescent="0.25"/>
    <row r="4563" ht="30.75" customHeight="1" thickBot="1" x14ac:dyDescent="0.25"/>
    <row r="4564" ht="30.75" customHeight="1" thickBot="1" x14ac:dyDescent="0.25"/>
    <row r="4565" ht="30.75" customHeight="1" thickBot="1" x14ac:dyDescent="0.25"/>
    <row r="4566" ht="30.75" customHeight="1" thickBot="1" x14ac:dyDescent="0.25"/>
    <row r="4567" ht="30.75" customHeight="1" thickBot="1" x14ac:dyDescent="0.25"/>
    <row r="4568" ht="30.75" customHeight="1" thickBot="1" x14ac:dyDescent="0.25"/>
    <row r="4569" ht="30.75" customHeight="1" thickBot="1" x14ac:dyDescent="0.25"/>
    <row r="4570" ht="30.75" customHeight="1" thickBot="1" x14ac:dyDescent="0.25"/>
    <row r="4571" ht="30.75" customHeight="1" thickBot="1" x14ac:dyDescent="0.25"/>
    <row r="4572" ht="30.75" customHeight="1" thickBot="1" x14ac:dyDescent="0.25"/>
    <row r="4573" ht="30.75" customHeight="1" thickBot="1" x14ac:dyDescent="0.25"/>
    <row r="4574" ht="30.75" customHeight="1" thickBot="1" x14ac:dyDescent="0.25"/>
    <row r="4575" ht="30.75" customHeight="1" thickBot="1" x14ac:dyDescent="0.25"/>
    <row r="4576" ht="30.75" customHeight="1" thickBot="1" x14ac:dyDescent="0.25"/>
    <row r="4577" ht="30.75" customHeight="1" thickBot="1" x14ac:dyDescent="0.25"/>
    <row r="4578" ht="30.75" customHeight="1" thickBot="1" x14ac:dyDescent="0.25"/>
    <row r="4579" ht="30.75" customHeight="1" thickBot="1" x14ac:dyDescent="0.25"/>
    <row r="4580" ht="30.75" customHeight="1" thickBot="1" x14ac:dyDescent="0.25"/>
    <row r="4581" ht="30.75" customHeight="1" thickBot="1" x14ac:dyDescent="0.25"/>
    <row r="4582" ht="30.75" customHeight="1" thickBot="1" x14ac:dyDescent="0.25"/>
    <row r="4583" ht="30.75" customHeight="1" thickBot="1" x14ac:dyDescent="0.25"/>
    <row r="4584" ht="30.75" customHeight="1" thickBot="1" x14ac:dyDescent="0.25"/>
    <row r="4585" ht="30.75" customHeight="1" thickBot="1" x14ac:dyDescent="0.25"/>
    <row r="4586" ht="30.75" customHeight="1" thickBot="1" x14ac:dyDescent="0.25"/>
    <row r="4587" ht="30.75" customHeight="1" thickBot="1" x14ac:dyDescent="0.25"/>
    <row r="4588" ht="30.75" customHeight="1" thickBot="1" x14ac:dyDescent="0.25"/>
    <row r="4589" ht="30.75" customHeight="1" thickBot="1" x14ac:dyDescent="0.25"/>
    <row r="4590" ht="30.75" customHeight="1" thickBot="1" x14ac:dyDescent="0.25"/>
    <row r="4591" ht="30.75" customHeight="1" thickBot="1" x14ac:dyDescent="0.25"/>
    <row r="4592" ht="30.75" customHeight="1" thickBot="1" x14ac:dyDescent="0.25"/>
    <row r="4593" ht="30.75" customHeight="1" thickBot="1" x14ac:dyDescent="0.25"/>
    <row r="4594" ht="30.75" customHeight="1" thickBot="1" x14ac:dyDescent="0.25"/>
    <row r="4595" ht="30.75" customHeight="1" thickBot="1" x14ac:dyDescent="0.25"/>
    <row r="4596" ht="30.75" customHeight="1" thickBot="1" x14ac:dyDescent="0.25"/>
    <row r="4597" ht="30.75" customHeight="1" thickBot="1" x14ac:dyDescent="0.25"/>
    <row r="4598" ht="30.75" customHeight="1" thickBot="1" x14ac:dyDescent="0.25"/>
    <row r="4599" ht="30.75" customHeight="1" thickBot="1" x14ac:dyDescent="0.25"/>
    <row r="4600" ht="30.75" customHeight="1" thickBot="1" x14ac:dyDescent="0.25"/>
    <row r="4601" ht="30.75" customHeight="1" thickBot="1" x14ac:dyDescent="0.25"/>
    <row r="4602" ht="30.75" customHeight="1" thickBot="1" x14ac:dyDescent="0.25"/>
    <row r="4603" ht="30.75" customHeight="1" thickBot="1" x14ac:dyDescent="0.25"/>
    <row r="4604" ht="30.75" customHeight="1" thickBot="1" x14ac:dyDescent="0.25"/>
    <row r="4605" ht="30.75" customHeight="1" thickBot="1" x14ac:dyDescent="0.25"/>
    <row r="4606" ht="30.75" customHeight="1" thickBot="1" x14ac:dyDescent="0.25"/>
    <row r="4607" ht="30.75" customHeight="1" thickBot="1" x14ac:dyDescent="0.25"/>
    <row r="4608" ht="30.75" customHeight="1" thickBot="1" x14ac:dyDescent="0.25"/>
    <row r="4609" ht="30.75" customHeight="1" thickBot="1" x14ac:dyDescent="0.25"/>
    <row r="4610" ht="30.75" customHeight="1" thickBot="1" x14ac:dyDescent="0.25"/>
    <row r="4611" ht="30.75" customHeight="1" thickBot="1" x14ac:dyDescent="0.25"/>
    <row r="4612" ht="30.75" customHeight="1" thickBot="1" x14ac:dyDescent="0.25"/>
    <row r="4613" ht="30.75" customHeight="1" thickBot="1" x14ac:dyDescent="0.25"/>
    <row r="4614" ht="30.75" customHeight="1" thickBot="1" x14ac:dyDescent="0.25"/>
    <row r="4615" ht="30.75" customHeight="1" thickBot="1" x14ac:dyDescent="0.25"/>
    <row r="4616" ht="30.75" customHeight="1" thickBot="1" x14ac:dyDescent="0.25"/>
    <row r="4617" ht="30.75" customHeight="1" thickBot="1" x14ac:dyDescent="0.25"/>
    <row r="4618" ht="30.75" customHeight="1" thickBot="1" x14ac:dyDescent="0.25"/>
    <row r="4619" ht="30.75" customHeight="1" thickBot="1" x14ac:dyDescent="0.25"/>
    <row r="4620" ht="30.75" customHeight="1" thickBot="1" x14ac:dyDescent="0.25"/>
    <row r="4621" ht="30.75" customHeight="1" thickBot="1" x14ac:dyDescent="0.25"/>
    <row r="4622" ht="30.75" customHeight="1" thickBot="1" x14ac:dyDescent="0.25"/>
    <row r="4623" ht="30.75" customHeight="1" thickBot="1" x14ac:dyDescent="0.25"/>
    <row r="4624" ht="30.75" customHeight="1" thickBot="1" x14ac:dyDescent="0.25"/>
    <row r="4625" ht="30.75" customHeight="1" thickBot="1" x14ac:dyDescent="0.25"/>
    <row r="4626" ht="30.75" customHeight="1" thickBot="1" x14ac:dyDescent="0.25"/>
    <row r="4627" ht="30.75" customHeight="1" thickBot="1" x14ac:dyDescent="0.25"/>
    <row r="4628" ht="30.75" customHeight="1" thickBot="1" x14ac:dyDescent="0.25"/>
    <row r="4629" ht="30.75" customHeight="1" thickBot="1" x14ac:dyDescent="0.25"/>
    <row r="4630" ht="30.75" customHeight="1" thickBot="1" x14ac:dyDescent="0.25"/>
    <row r="4631" ht="30.75" customHeight="1" thickBot="1" x14ac:dyDescent="0.25"/>
    <row r="4632" ht="30.75" customHeight="1" thickBot="1" x14ac:dyDescent="0.25"/>
    <row r="4633" ht="30.75" customHeight="1" thickBot="1" x14ac:dyDescent="0.25"/>
    <row r="4634" ht="30.75" customHeight="1" thickBot="1" x14ac:dyDescent="0.25"/>
    <row r="4635" ht="30.75" customHeight="1" thickBot="1" x14ac:dyDescent="0.25"/>
    <row r="4636" ht="30.75" customHeight="1" thickBot="1" x14ac:dyDescent="0.25"/>
    <row r="4637" ht="30.75" customHeight="1" thickBot="1" x14ac:dyDescent="0.25"/>
    <row r="4638" ht="30.75" customHeight="1" thickBot="1" x14ac:dyDescent="0.25"/>
    <row r="4639" ht="30.75" customHeight="1" thickBot="1" x14ac:dyDescent="0.25"/>
    <row r="4640" ht="30.75" customHeight="1" thickBot="1" x14ac:dyDescent="0.25"/>
    <row r="4641" ht="30.75" customHeight="1" thickBot="1" x14ac:dyDescent="0.25"/>
    <row r="4642" ht="30.75" customHeight="1" thickBot="1" x14ac:dyDescent="0.25"/>
    <row r="4643" ht="30.75" customHeight="1" thickBot="1" x14ac:dyDescent="0.25"/>
    <row r="4644" ht="30.75" customHeight="1" thickBot="1" x14ac:dyDescent="0.25"/>
    <row r="4645" ht="30.75" customHeight="1" thickBot="1" x14ac:dyDescent="0.25"/>
    <row r="4646" ht="30.75" customHeight="1" thickBot="1" x14ac:dyDescent="0.25"/>
    <row r="4647" ht="30.75" customHeight="1" thickBot="1" x14ac:dyDescent="0.25"/>
    <row r="4648" ht="30.75" customHeight="1" thickBot="1" x14ac:dyDescent="0.25"/>
    <row r="4649" ht="30.75" customHeight="1" thickBot="1" x14ac:dyDescent="0.25"/>
    <row r="4650" ht="30.75" customHeight="1" thickBot="1" x14ac:dyDescent="0.25"/>
    <row r="4651" ht="30.75" customHeight="1" thickBot="1" x14ac:dyDescent="0.25"/>
    <row r="4652" ht="30.75" customHeight="1" thickBot="1" x14ac:dyDescent="0.25"/>
    <row r="4653" ht="30.75" customHeight="1" thickBot="1" x14ac:dyDescent="0.25"/>
    <row r="4654" ht="30.75" customHeight="1" thickBot="1" x14ac:dyDescent="0.25"/>
    <row r="4655" ht="30.75" customHeight="1" thickBot="1" x14ac:dyDescent="0.25"/>
    <row r="4656" ht="30.75" customHeight="1" thickBot="1" x14ac:dyDescent="0.25"/>
    <row r="4657" ht="30.75" customHeight="1" thickBot="1" x14ac:dyDescent="0.25"/>
    <row r="4658" ht="30.75" customHeight="1" thickBot="1" x14ac:dyDescent="0.25"/>
    <row r="4659" ht="30.75" customHeight="1" thickBot="1" x14ac:dyDescent="0.25"/>
    <row r="4660" ht="30.75" customHeight="1" thickBot="1" x14ac:dyDescent="0.25"/>
    <row r="4661" ht="30.75" customHeight="1" thickBot="1" x14ac:dyDescent="0.25"/>
    <row r="4662" ht="30.75" customHeight="1" thickBot="1" x14ac:dyDescent="0.25"/>
    <row r="4663" ht="30.75" customHeight="1" thickBot="1" x14ac:dyDescent="0.25"/>
    <row r="4664" ht="30.75" customHeight="1" thickBot="1" x14ac:dyDescent="0.25"/>
    <row r="4665" ht="30.75" customHeight="1" thickBot="1" x14ac:dyDescent="0.25"/>
    <row r="4666" ht="30.75" customHeight="1" thickBot="1" x14ac:dyDescent="0.25"/>
    <row r="4667" ht="30.75" customHeight="1" thickBot="1" x14ac:dyDescent="0.25"/>
    <row r="4668" ht="30.75" customHeight="1" thickBot="1" x14ac:dyDescent="0.25"/>
    <row r="4669" ht="30.75" customHeight="1" thickBot="1" x14ac:dyDescent="0.25"/>
    <row r="4670" ht="30.75" customHeight="1" thickBot="1" x14ac:dyDescent="0.25"/>
    <row r="4671" ht="30.75" customHeight="1" thickBot="1" x14ac:dyDescent="0.25"/>
    <row r="4672" ht="30.75" customHeight="1" thickBot="1" x14ac:dyDescent="0.25"/>
    <row r="4673" ht="30.75" customHeight="1" thickBot="1" x14ac:dyDescent="0.25"/>
    <row r="4674" ht="30.75" customHeight="1" thickBot="1" x14ac:dyDescent="0.25"/>
    <row r="4675" ht="30.75" customHeight="1" thickBot="1" x14ac:dyDescent="0.25"/>
    <row r="4676" ht="30.75" customHeight="1" thickBot="1" x14ac:dyDescent="0.25"/>
    <row r="4677" ht="30.75" customHeight="1" thickBot="1" x14ac:dyDescent="0.25"/>
    <row r="4678" ht="30.75" customHeight="1" thickBot="1" x14ac:dyDescent="0.25"/>
    <row r="4679" ht="30.75" customHeight="1" thickBot="1" x14ac:dyDescent="0.25"/>
    <row r="4680" ht="30.75" customHeight="1" thickBot="1" x14ac:dyDescent="0.25"/>
    <row r="4681" ht="30.75" customHeight="1" thickBot="1" x14ac:dyDescent="0.25"/>
    <row r="4682" ht="30.75" customHeight="1" thickBot="1" x14ac:dyDescent="0.25"/>
    <row r="4683" ht="30.75" customHeight="1" thickBot="1" x14ac:dyDescent="0.25"/>
    <row r="4684" ht="30.75" customHeight="1" thickBot="1" x14ac:dyDescent="0.25"/>
    <row r="4685" ht="30.75" customHeight="1" thickBot="1" x14ac:dyDescent="0.25"/>
    <row r="4686" ht="30.75" customHeight="1" thickBot="1" x14ac:dyDescent="0.25"/>
    <row r="4687" ht="30.75" customHeight="1" thickBot="1" x14ac:dyDescent="0.25"/>
    <row r="4688" ht="30.75" customHeight="1" thickBot="1" x14ac:dyDescent="0.25"/>
    <row r="4689" ht="30.75" customHeight="1" thickBot="1" x14ac:dyDescent="0.25"/>
    <row r="4690" ht="30.75" customHeight="1" thickBot="1" x14ac:dyDescent="0.25"/>
    <row r="4691" ht="30.75" customHeight="1" thickBot="1" x14ac:dyDescent="0.25"/>
    <row r="4692" ht="30.75" customHeight="1" thickBot="1" x14ac:dyDescent="0.25"/>
    <row r="4693" ht="30.75" customHeight="1" thickBot="1" x14ac:dyDescent="0.25"/>
    <row r="4694" ht="30.75" customHeight="1" thickBot="1" x14ac:dyDescent="0.25"/>
    <row r="4695" ht="30.75" customHeight="1" thickBot="1" x14ac:dyDescent="0.25"/>
    <row r="4696" ht="30.75" customHeight="1" thickBot="1" x14ac:dyDescent="0.25"/>
    <row r="4697" ht="30.75" customHeight="1" thickBot="1" x14ac:dyDescent="0.25"/>
    <row r="4698" ht="30.75" customHeight="1" thickBot="1" x14ac:dyDescent="0.25"/>
    <row r="4699" ht="30.75" customHeight="1" thickBot="1" x14ac:dyDescent="0.25"/>
    <row r="4700" ht="30.75" customHeight="1" thickBot="1" x14ac:dyDescent="0.25"/>
    <row r="4701" ht="30.75" customHeight="1" thickBot="1" x14ac:dyDescent="0.25"/>
    <row r="4702" ht="30.75" customHeight="1" thickBot="1" x14ac:dyDescent="0.25"/>
    <row r="4703" ht="30.75" customHeight="1" thickBot="1" x14ac:dyDescent="0.25"/>
    <row r="4704" ht="30.75" customHeight="1" thickBot="1" x14ac:dyDescent="0.25"/>
    <row r="4705" ht="30.75" customHeight="1" thickBot="1" x14ac:dyDescent="0.25"/>
    <row r="4706" ht="30.75" customHeight="1" thickBot="1" x14ac:dyDescent="0.25"/>
    <row r="4707" ht="30.75" customHeight="1" thickBot="1" x14ac:dyDescent="0.25"/>
    <row r="4708" ht="30.75" customHeight="1" thickBot="1" x14ac:dyDescent="0.25"/>
    <row r="4709" ht="30.75" customHeight="1" thickBot="1" x14ac:dyDescent="0.25"/>
    <row r="4710" ht="30.75" customHeight="1" thickBot="1" x14ac:dyDescent="0.25"/>
    <row r="4711" ht="30.75" customHeight="1" thickBot="1" x14ac:dyDescent="0.25"/>
    <row r="4712" ht="30.75" customHeight="1" thickBot="1" x14ac:dyDescent="0.25"/>
    <row r="4713" ht="30.75" customHeight="1" thickBot="1" x14ac:dyDescent="0.25"/>
    <row r="4714" ht="30.75" customHeight="1" thickBot="1" x14ac:dyDescent="0.25"/>
    <row r="4715" ht="30.75" customHeight="1" thickBot="1" x14ac:dyDescent="0.25"/>
    <row r="4716" ht="30.75" customHeight="1" thickBot="1" x14ac:dyDescent="0.25"/>
    <row r="4717" ht="30.75" customHeight="1" thickBot="1" x14ac:dyDescent="0.25"/>
    <row r="4718" ht="30.75" customHeight="1" thickBot="1" x14ac:dyDescent="0.25"/>
    <row r="4719" ht="30.75" customHeight="1" thickBot="1" x14ac:dyDescent="0.25"/>
    <row r="4720" ht="30.75" customHeight="1" thickBot="1" x14ac:dyDescent="0.25"/>
    <row r="4721" ht="30.75" customHeight="1" thickBot="1" x14ac:dyDescent="0.25"/>
    <row r="4722" ht="30.75" customHeight="1" thickBot="1" x14ac:dyDescent="0.25"/>
    <row r="4723" ht="30.75" customHeight="1" thickBot="1" x14ac:dyDescent="0.25"/>
    <row r="4724" ht="30.75" customHeight="1" thickBot="1" x14ac:dyDescent="0.25"/>
    <row r="4725" ht="30.75" customHeight="1" thickBot="1" x14ac:dyDescent="0.25"/>
    <row r="4726" ht="30.75" customHeight="1" thickBot="1" x14ac:dyDescent="0.25"/>
    <row r="4727" ht="30.75" customHeight="1" thickBot="1" x14ac:dyDescent="0.25"/>
    <row r="4728" ht="30.75" customHeight="1" thickBot="1" x14ac:dyDescent="0.25"/>
    <row r="4729" ht="30.75" customHeight="1" thickBot="1" x14ac:dyDescent="0.25"/>
    <row r="4730" ht="30.75" customHeight="1" thickBot="1" x14ac:dyDescent="0.25"/>
    <row r="4731" ht="30.75" customHeight="1" thickBot="1" x14ac:dyDescent="0.25"/>
    <row r="4732" ht="30.75" customHeight="1" thickBot="1" x14ac:dyDescent="0.25"/>
    <row r="4733" ht="30.75" customHeight="1" thickBot="1" x14ac:dyDescent="0.25"/>
    <row r="4734" ht="30.75" customHeight="1" thickBot="1" x14ac:dyDescent="0.25"/>
    <row r="4735" ht="30.75" customHeight="1" thickBot="1" x14ac:dyDescent="0.25"/>
    <row r="4736" ht="30.75" customHeight="1" thickBot="1" x14ac:dyDescent="0.25"/>
    <row r="4737" ht="30.75" customHeight="1" thickBot="1" x14ac:dyDescent="0.25"/>
    <row r="4738" ht="30.75" customHeight="1" thickBot="1" x14ac:dyDescent="0.25"/>
    <row r="4739" ht="30.75" customHeight="1" thickBot="1" x14ac:dyDescent="0.25"/>
    <row r="4740" ht="30.75" customHeight="1" thickBot="1" x14ac:dyDescent="0.25"/>
    <row r="4741" ht="30.75" customHeight="1" thickBot="1" x14ac:dyDescent="0.25"/>
    <row r="4742" ht="30.75" customHeight="1" thickBot="1" x14ac:dyDescent="0.25"/>
    <row r="4743" ht="30.75" customHeight="1" thickBot="1" x14ac:dyDescent="0.25"/>
    <row r="4744" ht="30.75" customHeight="1" thickBot="1" x14ac:dyDescent="0.25"/>
    <row r="4745" ht="30.75" customHeight="1" thickBot="1" x14ac:dyDescent="0.25"/>
    <row r="4746" ht="30.75" customHeight="1" thickBot="1" x14ac:dyDescent="0.25"/>
    <row r="4747" ht="30.75" customHeight="1" thickBot="1" x14ac:dyDescent="0.25"/>
    <row r="4748" ht="30.75" customHeight="1" thickBot="1" x14ac:dyDescent="0.25"/>
    <row r="4749" ht="30.75" customHeight="1" thickBot="1" x14ac:dyDescent="0.25"/>
    <row r="4750" ht="30.75" customHeight="1" thickBot="1" x14ac:dyDescent="0.25"/>
    <row r="4751" ht="30.75" customHeight="1" thickBot="1" x14ac:dyDescent="0.25"/>
    <row r="4752" ht="30.75" customHeight="1" thickBot="1" x14ac:dyDescent="0.25"/>
    <row r="4753" ht="30.75" customHeight="1" thickBot="1" x14ac:dyDescent="0.25"/>
    <row r="4754" ht="30.75" customHeight="1" thickBot="1" x14ac:dyDescent="0.25"/>
    <row r="4755" ht="30.75" customHeight="1" thickBot="1" x14ac:dyDescent="0.25"/>
    <row r="4756" ht="30.75" customHeight="1" thickBot="1" x14ac:dyDescent="0.25"/>
    <row r="4757" ht="30.75" customHeight="1" thickBot="1" x14ac:dyDescent="0.25"/>
    <row r="4758" ht="30.75" customHeight="1" thickBot="1" x14ac:dyDescent="0.25"/>
    <row r="4759" ht="30.75" customHeight="1" thickBot="1" x14ac:dyDescent="0.25"/>
    <row r="4760" ht="30.75" customHeight="1" thickBot="1" x14ac:dyDescent="0.25"/>
    <row r="4761" ht="30.75" customHeight="1" thickBot="1" x14ac:dyDescent="0.25"/>
    <row r="4762" ht="30.75" customHeight="1" thickBot="1" x14ac:dyDescent="0.25"/>
    <row r="4763" ht="30.75" customHeight="1" thickBot="1" x14ac:dyDescent="0.25"/>
    <row r="4764" ht="30.75" customHeight="1" thickBot="1" x14ac:dyDescent="0.25"/>
    <row r="4765" ht="30.75" customHeight="1" thickBot="1" x14ac:dyDescent="0.25"/>
    <row r="4766" ht="30.75" customHeight="1" thickBot="1" x14ac:dyDescent="0.25"/>
    <row r="4767" ht="30.75" customHeight="1" thickBot="1" x14ac:dyDescent="0.25"/>
    <row r="4768" ht="30.75" customHeight="1" thickBot="1" x14ac:dyDescent="0.25"/>
    <row r="4769" ht="30.75" customHeight="1" thickBot="1" x14ac:dyDescent="0.25"/>
    <row r="4770" ht="30.75" customHeight="1" thickBot="1" x14ac:dyDescent="0.25"/>
    <row r="4771" ht="30.75" customHeight="1" thickBot="1" x14ac:dyDescent="0.25"/>
    <row r="4772" ht="30.75" customHeight="1" thickBot="1" x14ac:dyDescent="0.25"/>
    <row r="4773" ht="30.75" customHeight="1" thickBot="1" x14ac:dyDescent="0.25"/>
    <row r="4774" ht="30.75" customHeight="1" thickBot="1" x14ac:dyDescent="0.25"/>
    <row r="4775" ht="30.75" customHeight="1" thickBot="1" x14ac:dyDescent="0.25"/>
    <row r="4776" ht="30.75" customHeight="1" thickBot="1" x14ac:dyDescent="0.25"/>
    <row r="4777" ht="30.75" customHeight="1" thickBot="1" x14ac:dyDescent="0.25"/>
    <row r="4778" ht="30.75" customHeight="1" thickBot="1" x14ac:dyDescent="0.25"/>
    <row r="4779" ht="30.75" customHeight="1" thickBot="1" x14ac:dyDescent="0.25"/>
    <row r="4780" ht="30.75" customHeight="1" thickBot="1" x14ac:dyDescent="0.25"/>
    <row r="4781" ht="30.75" customHeight="1" thickBot="1" x14ac:dyDescent="0.25"/>
    <row r="4782" ht="30.75" customHeight="1" thickBot="1" x14ac:dyDescent="0.25"/>
    <row r="4783" ht="30.75" customHeight="1" thickBot="1" x14ac:dyDescent="0.25"/>
    <row r="4784" ht="30.75" customHeight="1" thickBot="1" x14ac:dyDescent="0.25"/>
    <row r="4785" ht="30.75" customHeight="1" thickBot="1" x14ac:dyDescent="0.25"/>
    <row r="4786" ht="30.75" customHeight="1" thickBot="1" x14ac:dyDescent="0.25"/>
    <row r="4787" ht="30.75" customHeight="1" thickBot="1" x14ac:dyDescent="0.25"/>
    <row r="4788" ht="30.75" customHeight="1" thickBot="1" x14ac:dyDescent="0.25"/>
    <row r="4789" ht="30.75" customHeight="1" thickBot="1" x14ac:dyDescent="0.25"/>
    <row r="4790" ht="30.75" customHeight="1" thickBot="1" x14ac:dyDescent="0.25"/>
    <row r="4791" ht="30.75" customHeight="1" thickBot="1" x14ac:dyDescent="0.25"/>
    <row r="4792" ht="30.75" customHeight="1" thickBot="1" x14ac:dyDescent="0.25"/>
    <row r="4793" ht="30.75" customHeight="1" thickBot="1" x14ac:dyDescent="0.25"/>
    <row r="4794" ht="30.75" customHeight="1" thickBot="1" x14ac:dyDescent="0.25"/>
    <row r="4795" ht="30.75" customHeight="1" thickBot="1" x14ac:dyDescent="0.25"/>
    <row r="4796" ht="30.75" customHeight="1" thickBot="1" x14ac:dyDescent="0.25"/>
    <row r="4797" ht="30.75" customHeight="1" thickBot="1" x14ac:dyDescent="0.25"/>
    <row r="4798" ht="30.75" customHeight="1" thickBot="1" x14ac:dyDescent="0.25"/>
    <row r="4799" ht="30.75" customHeight="1" thickBot="1" x14ac:dyDescent="0.25"/>
    <row r="4800" ht="30.75" customHeight="1" thickBot="1" x14ac:dyDescent="0.25"/>
    <row r="4801" ht="30.75" customHeight="1" thickBot="1" x14ac:dyDescent="0.25"/>
    <row r="4802" ht="30.75" customHeight="1" thickBot="1" x14ac:dyDescent="0.25"/>
    <row r="4803" ht="30.75" customHeight="1" thickBot="1" x14ac:dyDescent="0.25"/>
    <row r="4804" ht="30.75" customHeight="1" thickBot="1" x14ac:dyDescent="0.25"/>
    <row r="4805" ht="30.75" customHeight="1" thickBot="1" x14ac:dyDescent="0.25"/>
    <row r="4806" ht="30.75" customHeight="1" thickBot="1" x14ac:dyDescent="0.25"/>
    <row r="4807" ht="30.75" customHeight="1" thickBot="1" x14ac:dyDescent="0.25"/>
    <row r="4808" ht="30.75" customHeight="1" thickBot="1" x14ac:dyDescent="0.25"/>
    <row r="4809" ht="30.75" customHeight="1" thickBot="1" x14ac:dyDescent="0.25"/>
    <row r="4810" ht="30.75" customHeight="1" thickBot="1" x14ac:dyDescent="0.25"/>
    <row r="4811" ht="30.75" customHeight="1" thickBot="1" x14ac:dyDescent="0.25"/>
    <row r="4812" ht="30.75" customHeight="1" thickBot="1" x14ac:dyDescent="0.25"/>
    <row r="4813" ht="30.75" customHeight="1" thickBot="1" x14ac:dyDescent="0.25"/>
    <row r="4814" ht="30.75" customHeight="1" thickBot="1" x14ac:dyDescent="0.25"/>
    <row r="4815" ht="30.75" customHeight="1" thickBot="1" x14ac:dyDescent="0.25"/>
    <row r="4816" ht="30.75" customHeight="1" thickBot="1" x14ac:dyDescent="0.25"/>
    <row r="4817" ht="30.75" customHeight="1" thickBot="1" x14ac:dyDescent="0.25"/>
    <row r="4818" ht="30.75" customHeight="1" thickBot="1" x14ac:dyDescent="0.25"/>
    <row r="4819" ht="30.75" customHeight="1" thickBot="1" x14ac:dyDescent="0.25"/>
    <row r="4820" ht="30.75" customHeight="1" thickBot="1" x14ac:dyDescent="0.25"/>
    <row r="4821" ht="30.75" customHeight="1" thickBot="1" x14ac:dyDescent="0.25"/>
    <row r="4822" ht="30.75" customHeight="1" thickBot="1" x14ac:dyDescent="0.25"/>
    <row r="4823" ht="30.75" customHeight="1" thickBot="1" x14ac:dyDescent="0.25"/>
    <row r="4824" ht="30.75" customHeight="1" thickBot="1" x14ac:dyDescent="0.25"/>
    <row r="4825" ht="30.75" customHeight="1" thickBot="1" x14ac:dyDescent="0.25"/>
    <row r="4826" ht="30.75" customHeight="1" thickBot="1" x14ac:dyDescent="0.25"/>
    <row r="4827" ht="30.75" customHeight="1" thickBot="1" x14ac:dyDescent="0.25"/>
    <row r="4828" ht="30.75" customHeight="1" thickBot="1" x14ac:dyDescent="0.25"/>
    <row r="4829" ht="30.75" customHeight="1" thickBot="1" x14ac:dyDescent="0.25"/>
    <row r="4830" ht="30.75" customHeight="1" thickBot="1" x14ac:dyDescent="0.25"/>
    <row r="4831" ht="30.75" customHeight="1" thickBot="1" x14ac:dyDescent="0.25"/>
    <row r="4832" ht="30.75" customHeight="1" thickBot="1" x14ac:dyDescent="0.25"/>
    <row r="4833" ht="30.75" customHeight="1" thickBot="1" x14ac:dyDescent="0.25"/>
    <row r="4834" ht="30.75" customHeight="1" thickBot="1" x14ac:dyDescent="0.25"/>
    <row r="4835" ht="30.75" customHeight="1" thickBot="1" x14ac:dyDescent="0.25"/>
    <row r="4836" ht="30.75" customHeight="1" thickBot="1" x14ac:dyDescent="0.25"/>
    <row r="4837" ht="30.75" customHeight="1" thickBot="1" x14ac:dyDescent="0.25"/>
    <row r="4838" ht="30.75" customHeight="1" thickBot="1" x14ac:dyDescent="0.25"/>
    <row r="4839" ht="30.75" customHeight="1" thickBot="1" x14ac:dyDescent="0.25"/>
    <row r="4840" ht="30.75" customHeight="1" thickBot="1" x14ac:dyDescent="0.25"/>
    <row r="4841" ht="30.75" customHeight="1" thickBot="1" x14ac:dyDescent="0.25"/>
    <row r="4842" ht="30.75" customHeight="1" thickBot="1" x14ac:dyDescent="0.25"/>
    <row r="4843" ht="30.75" customHeight="1" thickBot="1" x14ac:dyDescent="0.25"/>
    <row r="4844" ht="30.75" customHeight="1" thickBot="1" x14ac:dyDescent="0.25"/>
    <row r="4845" ht="30.75" customHeight="1" thickBot="1" x14ac:dyDescent="0.25"/>
    <row r="4846" ht="30.75" customHeight="1" thickBot="1" x14ac:dyDescent="0.25"/>
    <row r="4847" ht="30.75" customHeight="1" thickBot="1" x14ac:dyDescent="0.25"/>
    <row r="4848" ht="30.75" customHeight="1" thickBot="1" x14ac:dyDescent="0.25"/>
    <row r="4849" ht="30.75" customHeight="1" thickBot="1" x14ac:dyDescent="0.25"/>
    <row r="4850" ht="30.75" customHeight="1" thickBot="1" x14ac:dyDescent="0.25"/>
    <row r="4851" ht="30.75" customHeight="1" thickBot="1" x14ac:dyDescent="0.25"/>
    <row r="4852" ht="30.75" customHeight="1" thickBot="1" x14ac:dyDescent="0.25"/>
    <row r="4853" ht="30.75" customHeight="1" thickBot="1" x14ac:dyDescent="0.25"/>
    <row r="4854" ht="30.75" customHeight="1" thickBot="1" x14ac:dyDescent="0.25"/>
    <row r="4855" ht="30.75" customHeight="1" thickBot="1" x14ac:dyDescent="0.25"/>
    <row r="4856" ht="30.75" customHeight="1" thickBot="1" x14ac:dyDescent="0.25"/>
    <row r="4857" ht="30.75" customHeight="1" thickBot="1" x14ac:dyDescent="0.25"/>
    <row r="4858" ht="30.75" customHeight="1" thickBot="1" x14ac:dyDescent="0.25"/>
    <row r="4859" ht="30.75" customHeight="1" thickBot="1" x14ac:dyDescent="0.25"/>
    <row r="4860" ht="30.75" customHeight="1" thickBot="1" x14ac:dyDescent="0.25"/>
    <row r="4861" ht="30.75" customHeight="1" thickBot="1" x14ac:dyDescent="0.25"/>
    <row r="4862" ht="30.75" customHeight="1" thickBot="1" x14ac:dyDescent="0.25"/>
    <row r="4863" ht="30.75" customHeight="1" thickBot="1" x14ac:dyDescent="0.25"/>
    <row r="4864" ht="30.75" customHeight="1" thickBot="1" x14ac:dyDescent="0.25"/>
    <row r="4865" ht="30.75" customHeight="1" thickBot="1" x14ac:dyDescent="0.25"/>
    <row r="4866" ht="30.75" customHeight="1" thickBot="1" x14ac:dyDescent="0.25"/>
    <row r="4867" ht="30.75" customHeight="1" thickBot="1" x14ac:dyDescent="0.25"/>
    <row r="4868" ht="30.75" customHeight="1" thickBot="1" x14ac:dyDescent="0.25"/>
    <row r="4869" ht="30.75" customHeight="1" thickBot="1" x14ac:dyDescent="0.25"/>
    <row r="4870" ht="30.75" customHeight="1" thickBot="1" x14ac:dyDescent="0.25"/>
    <row r="4871" ht="30.75" customHeight="1" thickBot="1" x14ac:dyDescent="0.25"/>
    <row r="4872" ht="30.75" customHeight="1" thickBot="1" x14ac:dyDescent="0.25"/>
    <row r="4873" ht="30.75" customHeight="1" thickBot="1" x14ac:dyDescent="0.25"/>
    <row r="4874" ht="30.75" customHeight="1" thickBot="1" x14ac:dyDescent="0.25"/>
    <row r="4875" ht="30.75" customHeight="1" thickBot="1" x14ac:dyDescent="0.25"/>
    <row r="4876" ht="30.75" customHeight="1" thickBot="1" x14ac:dyDescent="0.25"/>
    <row r="4877" ht="30.75" customHeight="1" thickBot="1" x14ac:dyDescent="0.25"/>
    <row r="4878" ht="30.75" customHeight="1" thickBot="1" x14ac:dyDescent="0.25"/>
    <row r="4879" ht="30.75" customHeight="1" thickBot="1" x14ac:dyDescent="0.25"/>
    <row r="4880" ht="30.75" customHeight="1" thickBot="1" x14ac:dyDescent="0.25"/>
    <row r="4881" ht="30.75" customHeight="1" thickBot="1" x14ac:dyDescent="0.25"/>
    <row r="4882" ht="30.75" customHeight="1" thickBot="1" x14ac:dyDescent="0.25"/>
    <row r="4883" ht="30.75" customHeight="1" thickBot="1" x14ac:dyDescent="0.25"/>
    <row r="4884" ht="30.75" customHeight="1" thickBot="1" x14ac:dyDescent="0.25"/>
    <row r="4885" ht="30.75" customHeight="1" thickBot="1" x14ac:dyDescent="0.25"/>
    <row r="4886" ht="30.75" customHeight="1" thickBot="1" x14ac:dyDescent="0.25"/>
    <row r="4887" ht="30.75" customHeight="1" thickBot="1" x14ac:dyDescent="0.25"/>
    <row r="4888" ht="30.75" customHeight="1" thickBot="1" x14ac:dyDescent="0.25"/>
    <row r="4889" ht="30.75" customHeight="1" thickBot="1" x14ac:dyDescent="0.25"/>
    <row r="4890" ht="30.75" customHeight="1" thickBot="1" x14ac:dyDescent="0.25"/>
    <row r="4891" ht="30.75" customHeight="1" thickBot="1" x14ac:dyDescent="0.25"/>
    <row r="4892" ht="30.75" customHeight="1" thickBot="1" x14ac:dyDescent="0.25"/>
    <row r="4893" ht="30.75" customHeight="1" thickBot="1" x14ac:dyDescent="0.25"/>
    <row r="4894" ht="30.75" customHeight="1" thickBot="1" x14ac:dyDescent="0.25"/>
    <row r="4895" ht="30.75" customHeight="1" thickBot="1" x14ac:dyDescent="0.25"/>
    <row r="4896" ht="30.75" customHeight="1" thickBot="1" x14ac:dyDescent="0.25"/>
    <row r="4897" ht="30.75" customHeight="1" thickBot="1" x14ac:dyDescent="0.25"/>
    <row r="4898" ht="30.75" customHeight="1" thickBot="1" x14ac:dyDescent="0.25"/>
    <row r="4899" ht="30.75" customHeight="1" thickBot="1" x14ac:dyDescent="0.25"/>
    <row r="4900" ht="30.75" customHeight="1" thickBot="1" x14ac:dyDescent="0.25"/>
    <row r="4901" ht="30.75" customHeight="1" thickBot="1" x14ac:dyDescent="0.25"/>
    <row r="4902" ht="30.75" customHeight="1" thickBot="1" x14ac:dyDescent="0.25"/>
    <row r="4903" ht="30.75" customHeight="1" thickBot="1" x14ac:dyDescent="0.25"/>
    <row r="4904" ht="30.75" customHeight="1" thickBot="1" x14ac:dyDescent="0.25"/>
    <row r="4905" ht="30.75" customHeight="1" thickBot="1" x14ac:dyDescent="0.25"/>
    <row r="4906" ht="30.75" customHeight="1" thickBot="1" x14ac:dyDescent="0.25"/>
    <row r="4907" ht="30.75" customHeight="1" thickBot="1" x14ac:dyDescent="0.25"/>
    <row r="4908" ht="30.75" customHeight="1" thickBot="1" x14ac:dyDescent="0.25"/>
    <row r="4909" ht="30.75" customHeight="1" thickBot="1" x14ac:dyDescent="0.25"/>
    <row r="4910" ht="30.75" customHeight="1" thickBot="1" x14ac:dyDescent="0.25"/>
    <row r="4911" ht="30.75" customHeight="1" thickBot="1" x14ac:dyDescent="0.25"/>
    <row r="4912" ht="30.75" customHeight="1" thickBot="1" x14ac:dyDescent="0.25"/>
    <row r="4913" ht="30.75" customHeight="1" thickBot="1" x14ac:dyDescent="0.25"/>
    <row r="4914" ht="30.75" customHeight="1" thickBot="1" x14ac:dyDescent="0.25"/>
    <row r="4915" ht="30.75" customHeight="1" thickBot="1" x14ac:dyDescent="0.25"/>
    <row r="4916" ht="30.75" customHeight="1" thickBot="1" x14ac:dyDescent="0.25"/>
    <row r="4917" ht="30.75" customHeight="1" thickBot="1" x14ac:dyDescent="0.25"/>
    <row r="4918" ht="30.75" customHeight="1" thickBot="1" x14ac:dyDescent="0.25"/>
    <row r="4919" ht="30.75" customHeight="1" thickBot="1" x14ac:dyDescent="0.25"/>
    <row r="4920" ht="30.75" customHeight="1" thickBot="1" x14ac:dyDescent="0.25"/>
    <row r="4921" ht="30.75" customHeight="1" thickBot="1" x14ac:dyDescent="0.25"/>
    <row r="4922" ht="30.75" customHeight="1" thickBot="1" x14ac:dyDescent="0.25"/>
    <row r="4923" ht="30.75" customHeight="1" thickBot="1" x14ac:dyDescent="0.25"/>
    <row r="4924" ht="30.75" customHeight="1" thickBot="1" x14ac:dyDescent="0.25"/>
    <row r="4925" ht="30.75" customHeight="1" thickBot="1" x14ac:dyDescent="0.25"/>
    <row r="4926" ht="30.75" customHeight="1" thickBot="1" x14ac:dyDescent="0.25"/>
    <row r="4927" ht="30.75" customHeight="1" thickBot="1" x14ac:dyDescent="0.25"/>
    <row r="4928" ht="30.75" customHeight="1" thickBot="1" x14ac:dyDescent="0.25"/>
    <row r="4929" ht="30.75" customHeight="1" thickBot="1" x14ac:dyDescent="0.25"/>
    <row r="4930" ht="30.75" customHeight="1" thickBot="1" x14ac:dyDescent="0.25"/>
    <row r="4931" ht="30.75" customHeight="1" thickBot="1" x14ac:dyDescent="0.25"/>
    <row r="4932" ht="30.75" customHeight="1" thickBot="1" x14ac:dyDescent="0.25"/>
    <row r="4933" ht="30.75" customHeight="1" thickBot="1" x14ac:dyDescent="0.25"/>
    <row r="4934" ht="30.75" customHeight="1" thickBot="1" x14ac:dyDescent="0.25"/>
    <row r="4935" ht="30.75" customHeight="1" thickBot="1" x14ac:dyDescent="0.25"/>
    <row r="4936" ht="30.75" customHeight="1" thickBot="1" x14ac:dyDescent="0.25"/>
    <row r="4937" ht="30.75" customHeight="1" thickBot="1" x14ac:dyDescent="0.25"/>
    <row r="4938" ht="30.75" customHeight="1" thickBot="1" x14ac:dyDescent="0.25"/>
    <row r="4939" ht="30.75" customHeight="1" thickBot="1" x14ac:dyDescent="0.25"/>
    <row r="4940" ht="30.75" customHeight="1" thickBot="1" x14ac:dyDescent="0.25"/>
    <row r="4941" ht="30.75" customHeight="1" thickBot="1" x14ac:dyDescent="0.25"/>
    <row r="4942" ht="30.75" customHeight="1" thickBot="1" x14ac:dyDescent="0.25"/>
    <row r="4943" ht="30.75" customHeight="1" thickBot="1" x14ac:dyDescent="0.25"/>
    <row r="4944" ht="30.75" customHeight="1" thickBot="1" x14ac:dyDescent="0.25"/>
    <row r="4945" ht="30.75" customHeight="1" thickBot="1" x14ac:dyDescent="0.25"/>
    <row r="4946" ht="30.75" customHeight="1" thickBot="1" x14ac:dyDescent="0.25"/>
    <row r="4947" ht="30.75" customHeight="1" thickBot="1" x14ac:dyDescent="0.25"/>
    <row r="4948" ht="30.75" customHeight="1" thickBot="1" x14ac:dyDescent="0.25"/>
    <row r="4949" ht="30.75" customHeight="1" thickBot="1" x14ac:dyDescent="0.25"/>
    <row r="4950" ht="30.75" customHeight="1" thickBot="1" x14ac:dyDescent="0.25"/>
    <row r="4951" ht="30.75" customHeight="1" thickBot="1" x14ac:dyDescent="0.25"/>
    <row r="4952" ht="30.75" customHeight="1" thickBot="1" x14ac:dyDescent="0.25"/>
    <row r="4953" ht="30.75" customHeight="1" thickBot="1" x14ac:dyDescent="0.25"/>
    <row r="4954" ht="30.75" customHeight="1" thickBot="1" x14ac:dyDescent="0.25"/>
    <row r="4955" ht="30.75" customHeight="1" thickBot="1" x14ac:dyDescent="0.25"/>
    <row r="4956" ht="30.75" customHeight="1" thickBot="1" x14ac:dyDescent="0.25"/>
    <row r="4957" ht="30.75" customHeight="1" thickBot="1" x14ac:dyDescent="0.25"/>
    <row r="4958" ht="30.75" customHeight="1" thickBot="1" x14ac:dyDescent="0.25"/>
    <row r="4959" ht="30.75" customHeight="1" thickBot="1" x14ac:dyDescent="0.25"/>
    <row r="4960" ht="30.75" customHeight="1" thickBot="1" x14ac:dyDescent="0.25"/>
    <row r="4961" ht="30.75" customHeight="1" thickBot="1" x14ac:dyDescent="0.25"/>
    <row r="4962" ht="30.75" customHeight="1" thickBot="1" x14ac:dyDescent="0.25"/>
    <row r="4963" ht="30.75" customHeight="1" thickBot="1" x14ac:dyDescent="0.25"/>
    <row r="4964" ht="30.75" customHeight="1" thickBot="1" x14ac:dyDescent="0.25"/>
    <row r="4965" ht="30.75" customHeight="1" thickBot="1" x14ac:dyDescent="0.25"/>
    <row r="4966" ht="30.75" customHeight="1" thickBot="1" x14ac:dyDescent="0.25"/>
    <row r="4967" ht="30.75" customHeight="1" thickBot="1" x14ac:dyDescent="0.25"/>
    <row r="4968" ht="30.75" customHeight="1" thickBot="1" x14ac:dyDescent="0.25"/>
    <row r="4969" ht="30.75" customHeight="1" thickBot="1" x14ac:dyDescent="0.25"/>
    <row r="4970" ht="30.75" customHeight="1" thickBot="1" x14ac:dyDescent="0.25"/>
    <row r="4971" ht="30.75" customHeight="1" thickBot="1" x14ac:dyDescent="0.25"/>
    <row r="4972" ht="30.75" customHeight="1" thickBot="1" x14ac:dyDescent="0.25"/>
    <row r="4973" ht="30.75" customHeight="1" thickBot="1" x14ac:dyDescent="0.25"/>
    <row r="4974" ht="30.75" customHeight="1" thickBot="1" x14ac:dyDescent="0.25"/>
    <row r="4975" ht="30.75" customHeight="1" thickBot="1" x14ac:dyDescent="0.25"/>
    <row r="4976" ht="30.75" customHeight="1" thickBot="1" x14ac:dyDescent="0.25"/>
    <row r="4977" ht="30.75" customHeight="1" thickBot="1" x14ac:dyDescent="0.25"/>
    <row r="4978" ht="30.75" customHeight="1" thickBot="1" x14ac:dyDescent="0.25"/>
    <row r="4979" ht="30.75" customHeight="1" thickBot="1" x14ac:dyDescent="0.25"/>
    <row r="4980" ht="30.75" customHeight="1" thickBot="1" x14ac:dyDescent="0.25"/>
    <row r="4981" ht="30.75" customHeight="1" thickBot="1" x14ac:dyDescent="0.25"/>
    <row r="4982" ht="30.75" customHeight="1" thickBot="1" x14ac:dyDescent="0.25"/>
    <row r="4983" ht="30.75" customHeight="1" thickBot="1" x14ac:dyDescent="0.25"/>
    <row r="4984" ht="30.75" customHeight="1" thickBot="1" x14ac:dyDescent="0.25"/>
    <row r="4985" ht="30.75" customHeight="1" thickBot="1" x14ac:dyDescent="0.25"/>
    <row r="4986" ht="30.75" customHeight="1" thickBot="1" x14ac:dyDescent="0.25"/>
    <row r="4987" ht="30.75" customHeight="1" thickBot="1" x14ac:dyDescent="0.25"/>
    <row r="4988" ht="30.75" customHeight="1" thickBot="1" x14ac:dyDescent="0.25"/>
    <row r="4989" ht="30.75" customHeight="1" thickBot="1" x14ac:dyDescent="0.25"/>
    <row r="4990" ht="30.75" customHeight="1" thickBot="1" x14ac:dyDescent="0.25"/>
    <row r="4991" ht="30.75" customHeight="1" thickBot="1" x14ac:dyDescent="0.25"/>
    <row r="4992" ht="30.75" customHeight="1" thickBot="1" x14ac:dyDescent="0.25"/>
    <row r="4993" ht="30.75" customHeight="1" thickBot="1" x14ac:dyDescent="0.25"/>
    <row r="4994" ht="30.75" customHeight="1" thickBot="1" x14ac:dyDescent="0.25"/>
    <row r="4995" ht="30.75" customHeight="1" thickBot="1" x14ac:dyDescent="0.25"/>
    <row r="4996" ht="30.75" customHeight="1" thickBot="1" x14ac:dyDescent="0.25"/>
    <row r="4997" ht="30.75" customHeight="1" thickBot="1" x14ac:dyDescent="0.25"/>
    <row r="4998" ht="30.75" customHeight="1" thickBot="1" x14ac:dyDescent="0.25"/>
    <row r="4999" ht="30.75" customHeight="1" thickBot="1" x14ac:dyDescent="0.25"/>
    <row r="5000" ht="30.75" customHeight="1" thickBot="1" x14ac:dyDescent="0.25"/>
    <row r="5001" ht="30.75" customHeight="1" thickBot="1" x14ac:dyDescent="0.25"/>
    <row r="5002" ht="30.75" customHeight="1" thickBot="1" x14ac:dyDescent="0.25"/>
    <row r="5003" ht="30.75" customHeight="1" thickBot="1" x14ac:dyDescent="0.25"/>
    <row r="5004" ht="30.75" customHeight="1" thickBot="1" x14ac:dyDescent="0.25"/>
    <row r="5005" ht="30.75" customHeight="1" thickBot="1" x14ac:dyDescent="0.25"/>
    <row r="5006" ht="30.75" customHeight="1" thickBot="1" x14ac:dyDescent="0.25"/>
    <row r="5007" ht="30.75" customHeight="1" thickBot="1" x14ac:dyDescent="0.25"/>
    <row r="5008" ht="30.75" customHeight="1" thickBot="1" x14ac:dyDescent="0.25"/>
    <row r="5009" ht="30.75" customHeight="1" thickBot="1" x14ac:dyDescent="0.25"/>
    <row r="5010" ht="30.75" customHeight="1" thickBot="1" x14ac:dyDescent="0.25"/>
    <row r="5011" ht="30.75" customHeight="1" thickBot="1" x14ac:dyDescent="0.25"/>
    <row r="5012" ht="30.75" customHeight="1" thickBot="1" x14ac:dyDescent="0.25"/>
    <row r="5013" ht="30.75" customHeight="1" thickBot="1" x14ac:dyDescent="0.25"/>
    <row r="5014" ht="30.75" customHeight="1" thickBot="1" x14ac:dyDescent="0.25"/>
    <row r="5015" ht="30.75" customHeight="1" thickBot="1" x14ac:dyDescent="0.25"/>
    <row r="5016" ht="30.75" customHeight="1" thickBot="1" x14ac:dyDescent="0.25"/>
    <row r="5017" ht="30.75" customHeight="1" thickBot="1" x14ac:dyDescent="0.25"/>
    <row r="5018" ht="30.75" customHeight="1" thickBot="1" x14ac:dyDescent="0.25"/>
    <row r="5019" ht="30.75" customHeight="1" thickBot="1" x14ac:dyDescent="0.25"/>
    <row r="5020" ht="30.75" customHeight="1" thickBot="1" x14ac:dyDescent="0.25"/>
    <row r="5021" ht="30.75" customHeight="1" thickBot="1" x14ac:dyDescent="0.25"/>
    <row r="5022" ht="30.75" customHeight="1" thickBot="1" x14ac:dyDescent="0.25"/>
    <row r="5023" ht="30.75" customHeight="1" thickBot="1" x14ac:dyDescent="0.25"/>
    <row r="5024" ht="30.75" customHeight="1" thickBot="1" x14ac:dyDescent="0.25"/>
    <row r="5025" ht="30.75" customHeight="1" thickBot="1" x14ac:dyDescent="0.25"/>
    <row r="5026" ht="30.75" customHeight="1" thickBot="1" x14ac:dyDescent="0.25"/>
    <row r="5027" ht="30.75" customHeight="1" thickBot="1" x14ac:dyDescent="0.25"/>
    <row r="5028" ht="30.75" customHeight="1" thickBot="1" x14ac:dyDescent="0.25"/>
    <row r="5029" ht="30.75" customHeight="1" thickBot="1" x14ac:dyDescent="0.25"/>
    <row r="5030" ht="30.75" customHeight="1" thickBot="1" x14ac:dyDescent="0.25"/>
    <row r="5031" ht="30.75" customHeight="1" thickBot="1" x14ac:dyDescent="0.25"/>
    <row r="5032" ht="30.75" customHeight="1" thickBot="1" x14ac:dyDescent="0.25"/>
    <row r="5033" ht="30.75" customHeight="1" thickBot="1" x14ac:dyDescent="0.25"/>
    <row r="5034" ht="30.75" customHeight="1" thickBot="1" x14ac:dyDescent="0.25"/>
    <row r="5035" ht="30.75" customHeight="1" thickBot="1" x14ac:dyDescent="0.25"/>
    <row r="5036" ht="30.75" customHeight="1" thickBot="1" x14ac:dyDescent="0.25"/>
    <row r="5037" ht="30.75" customHeight="1" thickBot="1" x14ac:dyDescent="0.25"/>
    <row r="5038" ht="30.75" customHeight="1" thickBot="1" x14ac:dyDescent="0.25"/>
    <row r="5039" ht="30.75" customHeight="1" thickBot="1" x14ac:dyDescent="0.25"/>
    <row r="5040" ht="30.75" customHeight="1" thickBot="1" x14ac:dyDescent="0.25"/>
    <row r="5041" ht="30.75" customHeight="1" thickBot="1" x14ac:dyDescent="0.25"/>
    <row r="5042" ht="30.75" customHeight="1" thickBot="1" x14ac:dyDescent="0.25"/>
    <row r="5043" ht="30.75" customHeight="1" thickBot="1" x14ac:dyDescent="0.25"/>
    <row r="5044" ht="30.75" customHeight="1" thickBot="1" x14ac:dyDescent="0.25"/>
    <row r="5045" ht="30.75" customHeight="1" thickBot="1" x14ac:dyDescent="0.25"/>
    <row r="5046" ht="30.75" customHeight="1" thickBot="1" x14ac:dyDescent="0.25"/>
    <row r="5047" ht="30.75" customHeight="1" thickBot="1" x14ac:dyDescent="0.25"/>
    <row r="5048" ht="30.75" customHeight="1" thickBot="1" x14ac:dyDescent="0.25"/>
    <row r="5049" ht="30.75" customHeight="1" thickBot="1" x14ac:dyDescent="0.25"/>
    <row r="5050" ht="30.75" customHeight="1" thickBot="1" x14ac:dyDescent="0.25"/>
    <row r="5051" ht="30.75" customHeight="1" thickBot="1" x14ac:dyDescent="0.25"/>
    <row r="5052" ht="30.75" customHeight="1" thickBot="1" x14ac:dyDescent="0.25"/>
    <row r="5053" ht="30.75" customHeight="1" thickBot="1" x14ac:dyDescent="0.25"/>
    <row r="5054" ht="30.75" customHeight="1" thickBot="1" x14ac:dyDescent="0.25"/>
    <row r="5055" ht="30.75" customHeight="1" thickBot="1" x14ac:dyDescent="0.25"/>
    <row r="5056" ht="30.75" customHeight="1" thickBot="1" x14ac:dyDescent="0.25"/>
    <row r="5057" ht="30.75" customHeight="1" thickBot="1" x14ac:dyDescent="0.25"/>
    <row r="5058" ht="30.75" customHeight="1" thickBot="1" x14ac:dyDescent="0.25"/>
    <row r="5059" ht="30.75" customHeight="1" thickBot="1" x14ac:dyDescent="0.25"/>
    <row r="5060" ht="30.75" customHeight="1" thickBot="1" x14ac:dyDescent="0.25"/>
    <row r="5061" ht="30.75" customHeight="1" thickBot="1" x14ac:dyDescent="0.25"/>
    <row r="5062" ht="30.75" customHeight="1" thickBot="1" x14ac:dyDescent="0.25"/>
    <row r="5063" ht="30.75" customHeight="1" thickBot="1" x14ac:dyDescent="0.25"/>
    <row r="5064" ht="30.75" customHeight="1" thickBot="1" x14ac:dyDescent="0.25"/>
    <row r="5065" ht="30.75" customHeight="1" thickBot="1" x14ac:dyDescent="0.25"/>
    <row r="5066" ht="30.75" customHeight="1" thickBot="1" x14ac:dyDescent="0.25"/>
    <row r="5067" ht="30.75" customHeight="1" thickBot="1" x14ac:dyDescent="0.25"/>
    <row r="5068" ht="30.75" customHeight="1" thickBot="1" x14ac:dyDescent="0.25"/>
    <row r="5069" ht="30.75" customHeight="1" thickBot="1" x14ac:dyDescent="0.25"/>
    <row r="5070" ht="30.75" customHeight="1" thickBot="1" x14ac:dyDescent="0.25"/>
    <row r="5071" ht="30.75" customHeight="1" thickBot="1" x14ac:dyDescent="0.25"/>
    <row r="5072" ht="30.75" customHeight="1" thickBot="1" x14ac:dyDescent="0.25"/>
    <row r="5073" ht="30.75" customHeight="1" thickBot="1" x14ac:dyDescent="0.25"/>
    <row r="5074" ht="30.75" customHeight="1" thickBot="1" x14ac:dyDescent="0.25"/>
    <row r="5075" ht="30.75" customHeight="1" thickBot="1" x14ac:dyDescent="0.25"/>
    <row r="5076" ht="30.75" customHeight="1" thickBot="1" x14ac:dyDescent="0.25"/>
    <row r="5077" ht="30.75" customHeight="1" thickBot="1" x14ac:dyDescent="0.25"/>
    <row r="5078" ht="30.75" customHeight="1" thickBot="1" x14ac:dyDescent="0.25"/>
    <row r="5079" ht="30.75" customHeight="1" thickBot="1" x14ac:dyDescent="0.25"/>
    <row r="5080" ht="30.75" customHeight="1" thickBot="1" x14ac:dyDescent="0.25"/>
    <row r="5081" ht="30.75" customHeight="1" thickBot="1" x14ac:dyDescent="0.25"/>
    <row r="5082" ht="30.75" customHeight="1" thickBot="1" x14ac:dyDescent="0.25"/>
    <row r="5083" ht="30.75" customHeight="1" thickBot="1" x14ac:dyDescent="0.25"/>
    <row r="5084" ht="30.75" customHeight="1" thickBot="1" x14ac:dyDescent="0.25"/>
    <row r="5085" ht="30.75" customHeight="1" thickBot="1" x14ac:dyDescent="0.25"/>
    <row r="5086" ht="30.75" customHeight="1" thickBot="1" x14ac:dyDescent="0.25"/>
    <row r="5087" ht="30.75" customHeight="1" thickBot="1" x14ac:dyDescent="0.25"/>
    <row r="5088" ht="30.75" customHeight="1" thickBot="1" x14ac:dyDescent="0.25"/>
    <row r="5089" ht="30.75" customHeight="1" thickBot="1" x14ac:dyDescent="0.25"/>
    <row r="5090" ht="30.75" customHeight="1" thickBot="1" x14ac:dyDescent="0.25"/>
    <row r="5091" ht="30.75" customHeight="1" thickBot="1" x14ac:dyDescent="0.25"/>
    <row r="5092" ht="30.75" customHeight="1" thickBot="1" x14ac:dyDescent="0.25"/>
    <row r="5093" ht="30.75" customHeight="1" thickBot="1" x14ac:dyDescent="0.25"/>
    <row r="5094" ht="30.75" customHeight="1" thickBot="1" x14ac:dyDescent="0.25"/>
    <row r="5095" ht="30.75" customHeight="1" thickBot="1" x14ac:dyDescent="0.25"/>
    <row r="5096" ht="30.75" customHeight="1" thickBot="1" x14ac:dyDescent="0.25"/>
    <row r="5097" ht="30.75" customHeight="1" thickBot="1" x14ac:dyDescent="0.25"/>
    <row r="5098" ht="30.75" customHeight="1" thickBot="1" x14ac:dyDescent="0.25"/>
    <row r="5099" ht="30.75" customHeight="1" thickBot="1" x14ac:dyDescent="0.25"/>
    <row r="5100" ht="30.75" customHeight="1" thickBot="1" x14ac:dyDescent="0.25"/>
    <row r="5101" ht="30.75" customHeight="1" thickBot="1" x14ac:dyDescent="0.25"/>
    <row r="5102" ht="30.75" customHeight="1" thickBot="1" x14ac:dyDescent="0.25"/>
    <row r="5103" ht="30.75" customHeight="1" thickBot="1" x14ac:dyDescent="0.25"/>
    <row r="5104" ht="30.75" customHeight="1" thickBot="1" x14ac:dyDescent="0.25"/>
    <row r="5105" ht="30.75" customHeight="1" thickBot="1" x14ac:dyDescent="0.25"/>
    <row r="5106" ht="30.75" customHeight="1" thickBot="1" x14ac:dyDescent="0.25"/>
    <row r="5107" ht="30.75" customHeight="1" thickBot="1" x14ac:dyDescent="0.25"/>
    <row r="5108" ht="30.75" customHeight="1" thickBot="1" x14ac:dyDescent="0.25"/>
    <row r="5109" ht="30.75" customHeight="1" thickBot="1" x14ac:dyDescent="0.25"/>
    <row r="5110" ht="30.75" customHeight="1" thickBot="1" x14ac:dyDescent="0.25"/>
    <row r="5111" ht="30.75" customHeight="1" thickBot="1" x14ac:dyDescent="0.25"/>
    <row r="5112" ht="30.75" customHeight="1" thickBot="1" x14ac:dyDescent="0.25"/>
    <row r="5113" ht="30.75" customHeight="1" thickBot="1" x14ac:dyDescent="0.25"/>
    <row r="5114" ht="30.75" customHeight="1" thickBot="1" x14ac:dyDescent="0.25"/>
    <row r="5115" ht="30.75" customHeight="1" thickBot="1" x14ac:dyDescent="0.25"/>
    <row r="5116" ht="30.75" customHeight="1" thickBot="1" x14ac:dyDescent="0.25"/>
    <row r="5117" ht="30.75" customHeight="1" thickBot="1" x14ac:dyDescent="0.25"/>
    <row r="5118" ht="30.75" customHeight="1" thickBot="1" x14ac:dyDescent="0.25"/>
    <row r="5119" ht="30.75" customHeight="1" thickBot="1" x14ac:dyDescent="0.25"/>
    <row r="5120" ht="30.75" customHeight="1" thickBot="1" x14ac:dyDescent="0.25"/>
    <row r="5121" ht="30.75" customHeight="1" thickBot="1" x14ac:dyDescent="0.25"/>
    <row r="5122" ht="30.75" customHeight="1" thickBot="1" x14ac:dyDescent="0.25"/>
    <row r="5123" ht="30.75" customHeight="1" thickBot="1" x14ac:dyDescent="0.25"/>
    <row r="5124" ht="30.75" customHeight="1" thickBot="1" x14ac:dyDescent="0.25"/>
    <row r="5125" ht="30.75" customHeight="1" thickBot="1" x14ac:dyDescent="0.25"/>
    <row r="5126" ht="30.75" customHeight="1" thickBot="1" x14ac:dyDescent="0.25"/>
    <row r="5127" ht="30.75" customHeight="1" thickBot="1" x14ac:dyDescent="0.25"/>
    <row r="5128" ht="30.75" customHeight="1" thickBot="1" x14ac:dyDescent="0.25"/>
    <row r="5129" ht="30.75" customHeight="1" thickBot="1" x14ac:dyDescent="0.25"/>
    <row r="5130" ht="30.75" customHeight="1" thickBot="1" x14ac:dyDescent="0.25"/>
    <row r="5131" ht="30.75" customHeight="1" thickBot="1" x14ac:dyDescent="0.25"/>
    <row r="5132" ht="30.75" customHeight="1" thickBot="1" x14ac:dyDescent="0.25"/>
    <row r="5133" ht="30.75" customHeight="1" thickBot="1" x14ac:dyDescent="0.25"/>
    <row r="5134" ht="30.75" customHeight="1" thickBot="1" x14ac:dyDescent="0.25"/>
    <row r="5135" ht="30.75" customHeight="1" thickBot="1" x14ac:dyDescent="0.25"/>
    <row r="5136" ht="30.75" customHeight="1" thickBot="1" x14ac:dyDescent="0.25"/>
    <row r="5137" ht="30.75" customHeight="1" thickBot="1" x14ac:dyDescent="0.25"/>
    <row r="5138" ht="30.75" customHeight="1" thickBot="1" x14ac:dyDescent="0.25"/>
    <row r="5139" ht="30.75" customHeight="1" thickBot="1" x14ac:dyDescent="0.25"/>
    <row r="5140" ht="30.75" customHeight="1" thickBot="1" x14ac:dyDescent="0.25"/>
    <row r="5141" ht="30.75" customHeight="1" thickBot="1" x14ac:dyDescent="0.25"/>
    <row r="5142" ht="30.75" customHeight="1" thickBot="1" x14ac:dyDescent="0.25"/>
    <row r="5143" ht="30.75" customHeight="1" thickBot="1" x14ac:dyDescent="0.25"/>
    <row r="5144" ht="30.75" customHeight="1" thickBot="1" x14ac:dyDescent="0.25"/>
    <row r="5145" ht="30.75" customHeight="1" thickBot="1" x14ac:dyDescent="0.25"/>
    <row r="5146" ht="30.75" customHeight="1" thickBot="1" x14ac:dyDescent="0.25"/>
    <row r="5147" ht="30.75" customHeight="1" thickBot="1" x14ac:dyDescent="0.25"/>
    <row r="5148" ht="30.75" customHeight="1" thickBot="1" x14ac:dyDescent="0.25"/>
    <row r="5149" ht="30.75" customHeight="1" thickBot="1" x14ac:dyDescent="0.25"/>
    <row r="5150" ht="30.75" customHeight="1" thickBot="1" x14ac:dyDescent="0.25"/>
    <row r="5151" ht="30.75" customHeight="1" thickBot="1" x14ac:dyDescent="0.25"/>
    <row r="5152" ht="30.75" customHeight="1" thickBot="1" x14ac:dyDescent="0.25"/>
    <row r="5153" ht="30.75" customHeight="1" thickBot="1" x14ac:dyDescent="0.25"/>
    <row r="5154" ht="30.75" customHeight="1" thickBot="1" x14ac:dyDescent="0.25"/>
    <row r="5155" ht="30.75" customHeight="1" thickBot="1" x14ac:dyDescent="0.25"/>
    <row r="5156" ht="30.75" customHeight="1" thickBot="1" x14ac:dyDescent="0.25"/>
    <row r="5157" ht="30.75" customHeight="1" thickBot="1" x14ac:dyDescent="0.25"/>
    <row r="5158" ht="30.75" customHeight="1" thickBot="1" x14ac:dyDescent="0.25"/>
    <row r="5159" ht="30.75" customHeight="1" thickBot="1" x14ac:dyDescent="0.25"/>
    <row r="5160" ht="30.75" customHeight="1" thickBot="1" x14ac:dyDescent="0.25"/>
    <row r="5161" ht="30.75" customHeight="1" thickBot="1" x14ac:dyDescent="0.25"/>
    <row r="5162" ht="30.75" customHeight="1" thickBot="1" x14ac:dyDescent="0.25"/>
    <row r="5163" ht="30.75" customHeight="1" thickBot="1" x14ac:dyDescent="0.25"/>
    <row r="5164" ht="30.75" customHeight="1" thickBot="1" x14ac:dyDescent="0.25"/>
    <row r="5165" ht="30.75" customHeight="1" thickBot="1" x14ac:dyDescent="0.25"/>
    <row r="5166" ht="30.75" customHeight="1" thickBot="1" x14ac:dyDescent="0.25"/>
    <row r="5167" ht="30.75" customHeight="1" thickBot="1" x14ac:dyDescent="0.25"/>
    <row r="5168" ht="30.75" customHeight="1" thickBot="1" x14ac:dyDescent="0.25"/>
    <row r="5169" ht="30.75" customHeight="1" thickBot="1" x14ac:dyDescent="0.25"/>
    <row r="5170" ht="30.75" customHeight="1" thickBot="1" x14ac:dyDescent="0.25"/>
    <row r="5171" ht="30.75" customHeight="1" thickBot="1" x14ac:dyDescent="0.25"/>
    <row r="5172" ht="30.75" customHeight="1" thickBot="1" x14ac:dyDescent="0.25"/>
    <row r="5173" ht="30.75" customHeight="1" thickBot="1" x14ac:dyDescent="0.25"/>
    <row r="5174" ht="30.75" customHeight="1" thickBot="1" x14ac:dyDescent="0.25"/>
    <row r="5175" ht="30.75" customHeight="1" thickBot="1" x14ac:dyDescent="0.25"/>
    <row r="5176" ht="30.75" customHeight="1" thickBot="1" x14ac:dyDescent="0.25"/>
    <row r="5177" ht="30.75" customHeight="1" thickBot="1" x14ac:dyDescent="0.25"/>
    <row r="5178" ht="30.75" customHeight="1" thickBot="1" x14ac:dyDescent="0.25"/>
    <row r="5179" ht="30.75" customHeight="1" thickBot="1" x14ac:dyDescent="0.25"/>
    <row r="5180" ht="30.75" customHeight="1" thickBot="1" x14ac:dyDescent="0.25"/>
    <row r="5181" ht="30.75" customHeight="1" thickBot="1" x14ac:dyDescent="0.25"/>
    <row r="5182" ht="30.75" customHeight="1" thickBot="1" x14ac:dyDescent="0.25"/>
    <row r="5183" ht="30.75" customHeight="1" thickBot="1" x14ac:dyDescent="0.25"/>
    <row r="5184" ht="30.75" customHeight="1" thickBot="1" x14ac:dyDescent="0.25"/>
    <row r="5185" ht="30.75" customHeight="1" thickBot="1" x14ac:dyDescent="0.25"/>
    <row r="5186" ht="30.75" customHeight="1" thickBot="1" x14ac:dyDescent="0.25"/>
    <row r="5187" ht="30.75" customHeight="1" thickBot="1" x14ac:dyDescent="0.25"/>
    <row r="5188" ht="30.75" customHeight="1" thickBot="1" x14ac:dyDescent="0.25"/>
    <row r="5189" ht="30.75" customHeight="1" thickBot="1" x14ac:dyDescent="0.25"/>
    <row r="5190" ht="30.75" customHeight="1" thickBot="1" x14ac:dyDescent="0.25"/>
    <row r="5191" ht="30.75" customHeight="1" thickBot="1" x14ac:dyDescent="0.25"/>
    <row r="5192" ht="30.75" customHeight="1" thickBot="1" x14ac:dyDescent="0.25"/>
    <row r="5193" ht="30.75" customHeight="1" thickBot="1" x14ac:dyDescent="0.25"/>
    <row r="5194" ht="30.75" customHeight="1" thickBot="1" x14ac:dyDescent="0.25"/>
    <row r="5195" ht="30.75" customHeight="1" thickBot="1" x14ac:dyDescent="0.25"/>
    <row r="5196" ht="30.75" customHeight="1" thickBot="1" x14ac:dyDescent="0.25"/>
    <row r="5197" ht="30.75" customHeight="1" thickBot="1" x14ac:dyDescent="0.25"/>
    <row r="5198" ht="30.75" customHeight="1" thickBot="1" x14ac:dyDescent="0.25"/>
    <row r="5199" ht="30.75" customHeight="1" thickBot="1" x14ac:dyDescent="0.25"/>
    <row r="5200" ht="30.75" customHeight="1" thickBot="1" x14ac:dyDescent="0.25"/>
    <row r="5201" ht="30.75" customHeight="1" thickBot="1" x14ac:dyDescent="0.25"/>
    <row r="5202" ht="30.75" customHeight="1" thickBot="1" x14ac:dyDescent="0.25"/>
    <row r="5203" ht="30.75" customHeight="1" thickBot="1" x14ac:dyDescent="0.25"/>
    <row r="5204" ht="30.75" customHeight="1" thickBot="1" x14ac:dyDescent="0.25"/>
    <row r="5205" ht="30.75" customHeight="1" thickBot="1" x14ac:dyDescent="0.25"/>
    <row r="5206" ht="30.75" customHeight="1" thickBot="1" x14ac:dyDescent="0.25"/>
    <row r="5207" ht="30.75" customHeight="1" thickBot="1" x14ac:dyDescent="0.25"/>
    <row r="5208" ht="30.75" customHeight="1" thickBot="1" x14ac:dyDescent="0.25"/>
    <row r="5209" ht="30.75" customHeight="1" thickBot="1" x14ac:dyDescent="0.25"/>
    <row r="5210" ht="30.75" customHeight="1" thickBot="1" x14ac:dyDescent="0.25"/>
    <row r="5211" ht="30.75" customHeight="1" thickBot="1" x14ac:dyDescent="0.25"/>
    <row r="5212" ht="30.75" customHeight="1" thickBot="1" x14ac:dyDescent="0.25"/>
    <row r="5213" ht="30.75" customHeight="1" thickBot="1" x14ac:dyDescent="0.25"/>
    <row r="5214" ht="30.75" customHeight="1" thickBot="1" x14ac:dyDescent="0.25"/>
    <row r="5215" ht="30.75" customHeight="1" thickBot="1" x14ac:dyDescent="0.25"/>
    <row r="5216" ht="30.75" customHeight="1" thickBot="1" x14ac:dyDescent="0.25"/>
    <row r="5217" ht="30.75" customHeight="1" thickBot="1" x14ac:dyDescent="0.25"/>
    <row r="5218" ht="30.75" customHeight="1" thickBot="1" x14ac:dyDescent="0.25"/>
    <row r="5219" ht="30.75" customHeight="1" thickBot="1" x14ac:dyDescent="0.25"/>
    <row r="5220" ht="30.75" customHeight="1" thickBot="1" x14ac:dyDescent="0.25"/>
    <row r="5221" ht="30.75" customHeight="1" thickBot="1" x14ac:dyDescent="0.25"/>
    <row r="5222" ht="30.75" customHeight="1" thickBot="1" x14ac:dyDescent="0.25"/>
    <row r="5223" ht="30.75" customHeight="1" thickBot="1" x14ac:dyDescent="0.25"/>
    <row r="5224" ht="30.75" customHeight="1" thickBot="1" x14ac:dyDescent="0.25"/>
    <row r="5225" ht="30.75" customHeight="1" thickBot="1" x14ac:dyDescent="0.25"/>
    <row r="5226" ht="30.75" customHeight="1" thickBot="1" x14ac:dyDescent="0.25"/>
    <row r="5227" ht="30.75" customHeight="1" thickBot="1" x14ac:dyDescent="0.25"/>
    <row r="5228" ht="30.75" customHeight="1" thickBot="1" x14ac:dyDescent="0.25"/>
    <row r="5229" ht="30.75" customHeight="1" thickBot="1" x14ac:dyDescent="0.25"/>
    <row r="5230" ht="30.75" customHeight="1" thickBot="1" x14ac:dyDescent="0.25"/>
    <row r="5231" ht="30.75" customHeight="1" thickBot="1" x14ac:dyDescent="0.25"/>
    <row r="5232" ht="30.75" customHeight="1" thickBot="1" x14ac:dyDescent="0.25"/>
    <row r="5233" ht="30.75" customHeight="1" thickBot="1" x14ac:dyDescent="0.25"/>
    <row r="5234" ht="30.75" customHeight="1" thickBot="1" x14ac:dyDescent="0.25"/>
    <row r="5235" ht="30.75" customHeight="1" thickBot="1" x14ac:dyDescent="0.25"/>
    <row r="5236" ht="30.75" customHeight="1" thickBot="1" x14ac:dyDescent="0.25"/>
    <row r="5237" ht="30.75" customHeight="1" thickBot="1" x14ac:dyDescent="0.25"/>
    <row r="5238" ht="30.75" customHeight="1" thickBot="1" x14ac:dyDescent="0.25"/>
    <row r="5239" ht="30.75" customHeight="1" thickBot="1" x14ac:dyDescent="0.25"/>
    <row r="5240" ht="30.75" customHeight="1" thickBot="1" x14ac:dyDescent="0.25"/>
    <row r="5241" ht="30.75" customHeight="1" thickBot="1" x14ac:dyDescent="0.25"/>
    <row r="5242" ht="30.75" customHeight="1" thickBot="1" x14ac:dyDescent="0.25"/>
    <row r="5243" ht="30.75" customHeight="1" thickBot="1" x14ac:dyDescent="0.25"/>
    <row r="5244" ht="30.75" customHeight="1" thickBot="1" x14ac:dyDescent="0.25"/>
    <row r="5245" ht="30.75" customHeight="1" thickBot="1" x14ac:dyDescent="0.25"/>
    <row r="5246" ht="30.75" customHeight="1" thickBot="1" x14ac:dyDescent="0.25"/>
    <row r="5247" ht="30.75" customHeight="1" thickBot="1" x14ac:dyDescent="0.25"/>
    <row r="5248" ht="30.75" customHeight="1" thickBot="1" x14ac:dyDescent="0.25"/>
    <row r="5249" ht="30.75" customHeight="1" thickBot="1" x14ac:dyDescent="0.25"/>
    <row r="5250" ht="30.75" customHeight="1" thickBot="1" x14ac:dyDescent="0.25"/>
    <row r="5251" ht="30.75" customHeight="1" thickBot="1" x14ac:dyDescent="0.25"/>
    <row r="5252" ht="30.75" customHeight="1" thickBot="1" x14ac:dyDescent="0.25"/>
    <row r="5253" ht="30.75" customHeight="1" thickBot="1" x14ac:dyDescent="0.25"/>
    <row r="5254" ht="30.75" customHeight="1" thickBot="1" x14ac:dyDescent="0.25"/>
    <row r="5255" ht="30.75" customHeight="1" thickBot="1" x14ac:dyDescent="0.25"/>
    <row r="5256" ht="30.75" customHeight="1" thickBot="1" x14ac:dyDescent="0.25"/>
    <row r="5257" ht="30.75" customHeight="1" thickBot="1" x14ac:dyDescent="0.25"/>
    <row r="5258" ht="30.75" customHeight="1" thickBot="1" x14ac:dyDescent="0.25"/>
    <row r="5259" ht="30.75" customHeight="1" thickBot="1" x14ac:dyDescent="0.25"/>
    <row r="5260" ht="30.75" customHeight="1" thickBot="1" x14ac:dyDescent="0.25"/>
    <row r="5261" ht="30.75" customHeight="1" thickBot="1" x14ac:dyDescent="0.25"/>
    <row r="5262" ht="30.75" customHeight="1" thickBot="1" x14ac:dyDescent="0.25"/>
    <row r="5263" ht="30.75" customHeight="1" thickBot="1" x14ac:dyDescent="0.25"/>
    <row r="5264" ht="30.75" customHeight="1" thickBot="1" x14ac:dyDescent="0.25"/>
    <row r="5265" ht="30.75" customHeight="1" thickBot="1" x14ac:dyDescent="0.25"/>
    <row r="5266" ht="30.75" customHeight="1" thickBot="1" x14ac:dyDescent="0.25"/>
    <row r="5267" ht="30.75" customHeight="1" thickBot="1" x14ac:dyDescent="0.25"/>
    <row r="5268" ht="30.75" customHeight="1" thickBot="1" x14ac:dyDescent="0.25"/>
    <row r="5269" ht="30.75" customHeight="1" thickBot="1" x14ac:dyDescent="0.25"/>
    <row r="5270" ht="30.75" customHeight="1" thickBot="1" x14ac:dyDescent="0.25"/>
    <row r="5271" ht="30.75" customHeight="1" thickBot="1" x14ac:dyDescent="0.25"/>
    <row r="5272" ht="30.75" customHeight="1" thickBot="1" x14ac:dyDescent="0.25"/>
    <row r="5273" ht="30.75" customHeight="1" thickBot="1" x14ac:dyDescent="0.25"/>
    <row r="5274" ht="30.75" customHeight="1" thickBot="1" x14ac:dyDescent="0.25"/>
    <row r="5275" ht="30.75" customHeight="1" thickBot="1" x14ac:dyDescent="0.25"/>
    <row r="5276" ht="30.75" customHeight="1" thickBot="1" x14ac:dyDescent="0.25"/>
    <row r="5277" ht="30.75" customHeight="1" thickBot="1" x14ac:dyDescent="0.25"/>
    <row r="5278" ht="30.75" customHeight="1" thickBot="1" x14ac:dyDescent="0.25"/>
    <row r="5279" ht="30.75" customHeight="1" thickBot="1" x14ac:dyDescent="0.25"/>
    <row r="5280" ht="30.75" customHeight="1" thickBot="1" x14ac:dyDescent="0.25"/>
    <row r="5281" ht="30.75" customHeight="1" thickBot="1" x14ac:dyDescent="0.25"/>
    <row r="5282" ht="30.75" customHeight="1" thickBot="1" x14ac:dyDescent="0.25"/>
    <row r="5283" ht="30.75" customHeight="1" thickBot="1" x14ac:dyDescent="0.25"/>
    <row r="5284" ht="30.75" customHeight="1" thickBot="1" x14ac:dyDescent="0.25"/>
    <row r="5285" ht="30.75" customHeight="1" thickBot="1" x14ac:dyDescent="0.25"/>
    <row r="5286" ht="30.75" customHeight="1" thickBot="1" x14ac:dyDescent="0.25"/>
    <row r="5287" ht="30.75" customHeight="1" thickBot="1" x14ac:dyDescent="0.25"/>
    <row r="5288" ht="30.75" customHeight="1" thickBot="1" x14ac:dyDescent="0.25"/>
    <row r="5289" ht="30.75" customHeight="1" thickBot="1" x14ac:dyDescent="0.25"/>
    <row r="5290" ht="30.75" customHeight="1" thickBot="1" x14ac:dyDescent="0.25"/>
    <row r="5291" ht="30.75" customHeight="1" thickBot="1" x14ac:dyDescent="0.25"/>
    <row r="5292" ht="30.75" customHeight="1" thickBot="1" x14ac:dyDescent="0.25"/>
  </sheetData>
  <autoFilter ref="A2:X2">
    <sortState ref="A3:X362">
      <sortCondition ref="L2"/>
    </sortState>
  </autoFilter>
  <mergeCells count="1">
    <mergeCell ref="A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39997558519241921"/>
  </sheetPr>
  <dimension ref="A1"/>
  <sheetViews>
    <sheetView topLeftCell="G1" zoomScaleNormal="100" workbookViewId="0">
      <pane ySplit="1" topLeftCell="A2" activePane="bottomLeft" state="frozen"/>
      <selection pane="bottomLeft" activeCell="G7" sqref="G7"/>
    </sheetView>
  </sheetViews>
  <sheetFormatPr defaultRowHeight="18.75" customHeight="1" x14ac:dyDescent="0.25"/>
  <cols>
    <col min="1" max="1" width="36.5703125" customWidth="1"/>
    <col min="2" max="2" width="9.140625" customWidth="1"/>
    <col min="3" max="3" width="36.5703125" customWidth="1"/>
    <col min="4" max="4" width="29" customWidth="1"/>
    <col min="5" max="5" width="12.140625" customWidth="1"/>
    <col min="6" max="6" width="13.7109375" customWidth="1"/>
    <col min="7" max="7" width="57.140625" customWidth="1"/>
    <col min="8" max="8" width="48" customWidth="1"/>
    <col min="9" max="9" width="13" customWidth="1"/>
    <col min="10" max="10" width="16.7109375" customWidth="1"/>
    <col min="11" max="11" width="9.85546875" customWidth="1"/>
    <col min="12" max="12" width="19.85546875" customWidth="1"/>
    <col min="13" max="13" width="30.42578125" customWidth="1"/>
    <col min="14" max="14" width="10.7109375" customWidth="1"/>
    <col min="15" max="15" width="8.42578125" customWidth="1"/>
    <col min="16" max="16" width="11.42578125" customWidth="1"/>
    <col min="17" max="17" width="13" customWidth="1"/>
    <col min="18" max="18" width="17.5703125" customWidth="1"/>
    <col min="19" max="19" width="28.140625" customWidth="1"/>
    <col min="20" max="22" width="17.5703125" customWidth="1"/>
    <col min="23" max="23" width="13.7109375" customWidth="1"/>
    <col min="24" max="24" width="16" customWidth="1"/>
    <col min="25" max="25" width="12.140625" customWidth="1"/>
    <col min="26" max="26" width="8.7109375" bestFit="1" customWidth="1"/>
    <col min="27" max="27" width="16" customWidth="1"/>
    <col min="28" max="28" width="16.7109375" customWidth="1"/>
    <col min="29" max="29" width="24.42578125" customWidth="1"/>
    <col min="30" max="30" width="15.28515625" customWidth="1"/>
    <col min="31" max="31" width="25.140625" customWidth="1"/>
    <col min="32" max="32" width="23.5703125" customWidth="1"/>
    <col min="33" max="33" width="13.7109375" customWidth="1"/>
    <col min="34" max="34" width="9.140625" customWidth="1"/>
    <col min="35" max="35" width="21.28515625" customWidth="1"/>
    <col min="36" max="36" width="12.140625" customWidth="1"/>
    <col min="37" max="37" width="13.7109375" customWidth="1"/>
    <col min="38" max="38" width="8.42578125" customWidth="1"/>
    <col min="39" max="39" width="38.140625" customWidth="1"/>
    <col min="40" max="40" width="19" customWidth="1"/>
    <col min="41" max="41" width="10.7109375" customWidth="1"/>
    <col min="42" max="42" width="19.85546875" customWidth="1"/>
    <col min="43" max="43" width="16.7109375" customWidth="1"/>
    <col min="44" max="44" width="24.42578125" customWidth="1"/>
    <col min="45" max="46" width="95.28515625" customWidth="1"/>
    <col min="47" max="47" width="16" customWidth="1"/>
    <col min="48" max="48" width="18.28515625" customWidth="1"/>
    <col min="49" max="50" width="12.140625" customWidth="1"/>
    <col min="51" max="51" width="15.28515625" customWidth="1"/>
    <col min="52" max="52" width="24.42578125" customWidth="1"/>
    <col min="53" max="53" width="16.85546875" customWidth="1"/>
    <col min="54" max="54" width="13.42578125" customWidth="1"/>
    <col min="55" max="55" width="15" customWidth="1"/>
  </cols>
  <sheetData/>
  <pageMargins left="0.7" right="0.7" top="0.75" bottom="0.75" header="0.3" footer="0.3"/>
  <pageSetup scale="5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39997558519241921"/>
  </sheetPr>
  <dimension ref="A1"/>
  <sheetViews>
    <sheetView showGridLines="0" zoomScale="85" zoomScaleNormal="85" workbookViewId="0">
      <pane ySplit="1" topLeftCell="A2" activePane="bottomLeft" state="frozen"/>
      <selection pane="bottomLeft"/>
    </sheetView>
  </sheetViews>
  <sheetFormatPr defaultRowHeight="33.75" customHeight="1" x14ac:dyDescent="0.25"/>
  <cols>
    <col min="60" max="60" width="26.42578125" customWidth="1"/>
    <col min="61" max="61" width="27.42578125" customWidth="1"/>
    <col min="62" max="62" width="24.5703125" customWidth="1"/>
    <col min="63" max="63" width="29.7109375" customWidth="1"/>
    <col min="64" max="68" width="9.7109375" bestFit="1" customWidth="1"/>
    <col min="69" max="75" width="8.7109375" customWidth="1"/>
    <col min="76" max="80" width="9.7109375" bestFit="1" customWidth="1"/>
    <col min="81" max="81" width="7.28515625" customWidth="1"/>
    <col min="82" max="82" width="24.5703125" bestFit="1" customWidth="1"/>
    <col min="83" max="89" width="9.7109375" bestFit="1" customWidth="1"/>
    <col min="90" max="96" width="8.7109375" customWidth="1"/>
    <col min="97" max="101" width="9.7109375" bestFit="1" customWidth="1"/>
    <col min="102" max="102" width="7.28515625" customWidth="1"/>
    <col min="103" max="103" width="32.42578125" bestFit="1" customWidth="1"/>
    <col min="104" max="104" width="29.710937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39997558519241921"/>
  </sheetPr>
  <dimension ref="A1"/>
  <sheetViews>
    <sheetView showGridLines="0" topLeftCell="D1" zoomScaleNormal="100" workbookViewId="0">
      <pane ySplit="1" topLeftCell="A2" activePane="bottomLeft" state="frozen"/>
      <selection pane="bottomLeft" activeCell="D1" sqref="A1:XFD1048576"/>
    </sheetView>
  </sheetViews>
  <sheetFormatPr defaultRowHeight="15" x14ac:dyDescent="0.25"/>
  <cols>
    <col min="1" max="1" width="10" bestFit="1" customWidth="1"/>
    <col min="2" max="2" width="13.5703125" bestFit="1" customWidth="1"/>
    <col min="3" max="3" width="15" bestFit="1" customWidth="1"/>
    <col min="4" max="4" width="29.42578125" bestFit="1" customWidth="1"/>
    <col min="5" max="5" width="6.85546875" bestFit="1" customWidth="1"/>
    <col min="6" max="6" width="16.42578125" bestFit="1" customWidth="1"/>
    <col min="7" max="7" width="11.7109375" bestFit="1" customWidth="1"/>
    <col min="8" max="8" width="9" bestFit="1" customWidth="1"/>
    <col min="9" max="9" width="12.7109375" bestFit="1" customWidth="1"/>
    <col min="10" max="10" width="10" bestFit="1" customWidth="1"/>
    <col min="11" max="11" width="11.28515625" bestFit="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39997558519241921"/>
  </sheetPr>
  <dimension ref="A1"/>
  <sheetViews>
    <sheetView showGridLines="0" topLeftCell="F1" zoomScaleNormal="100" workbookViewId="0">
      <pane ySplit="1" topLeftCell="A2" activePane="bottomLeft" state="frozen"/>
      <selection pane="bottomLeft" activeCell="I11" sqref="I11"/>
    </sheetView>
  </sheetViews>
  <sheetFormatPr defaultRowHeight="15" x14ac:dyDescent="0.25"/>
  <cols>
    <col min="1" max="1" width="30.28515625" bestFit="1" customWidth="1"/>
    <col min="2" max="2" width="13.5703125" bestFit="1" customWidth="1"/>
    <col min="3" max="3" width="11" bestFit="1" customWidth="1"/>
    <col min="4" max="4" width="16.42578125" bestFit="1" customWidth="1"/>
    <col min="5" max="5" width="8.28515625" bestFit="1" customWidth="1"/>
    <col min="6" max="6" width="11.7109375" bestFit="1" customWidth="1"/>
    <col min="7" max="7" width="6.7109375" bestFit="1" customWidth="1"/>
    <col min="8" max="8" width="24.28515625" bestFit="1" customWidth="1"/>
    <col min="9" max="9" width="255.7109375" bestFit="1" customWidth="1"/>
  </cols>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1"/>
  <sheetViews>
    <sheetView showGridLines="0" zoomScaleNormal="100" workbookViewId="0">
      <pane ySplit="1" topLeftCell="A2" activePane="bottomLeft" state="frozen"/>
      <selection pane="bottomLeft" sqref="A1:XFD1048576"/>
    </sheetView>
  </sheetViews>
  <sheetFormatPr defaultRowHeight="15" x14ac:dyDescent="0.25"/>
  <cols>
    <col min="1" max="1" width="13.5703125" bestFit="1" customWidth="1"/>
    <col min="2" max="2" width="10" bestFit="1" customWidth="1"/>
    <col min="3" max="3" width="5.5703125" bestFit="1" customWidth="1"/>
    <col min="4" max="4" width="9" bestFit="1" customWidth="1"/>
    <col min="5" max="5" width="5" bestFit="1" customWidth="1"/>
    <col min="6" max="6" width="9" bestFit="1" customWidth="1"/>
    <col min="7" max="7" width="10" bestFit="1" customWidth="1"/>
    <col min="8" max="8" width="12.7109375" bestFit="1" customWidth="1"/>
    <col min="9" max="9" width="30.7109375" bestFit="1" customWidth="1"/>
    <col min="10" max="10" width="13.140625" bestFit="1" customWidth="1"/>
    <col min="11" max="11" width="29.28515625" bestFit="1" customWidth="1"/>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39997558519241921"/>
  </sheetPr>
  <dimension ref="A1"/>
  <sheetViews>
    <sheetView showGridLines="0" zoomScaleNormal="100" workbookViewId="0">
      <pane ySplit="1" topLeftCell="A2" activePane="bottomLeft" state="frozen"/>
      <selection pane="bottomLeft"/>
    </sheetView>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8" tint="0.39997558519241921"/>
  </sheetPr>
  <dimension ref="A1:A615"/>
  <sheetViews>
    <sheetView showGridLines="0" zoomScaleNormal="100" workbookViewId="0">
      <pane ySplit="1" topLeftCell="A90" activePane="bottomLeft" state="frozen"/>
      <selection pane="bottomLeft" sqref="A1:XFD1048576"/>
    </sheetView>
  </sheetViews>
  <sheetFormatPr defaultRowHeight="24.75" customHeight="1" x14ac:dyDescent="0.25"/>
  <cols>
    <col min="1" max="1" width="10.5703125" bestFit="1" customWidth="1"/>
    <col min="2" max="2" width="12.42578125" bestFit="1" customWidth="1"/>
    <col min="3" max="3" width="16.7109375" bestFit="1" customWidth="1"/>
    <col min="4" max="4" width="8.140625" bestFit="1" customWidth="1"/>
    <col min="5" max="5" width="12.85546875" bestFit="1" customWidth="1"/>
    <col min="6" max="6" width="12.42578125" bestFit="1" customWidth="1"/>
    <col min="7" max="7" width="13" bestFit="1" customWidth="1"/>
    <col min="8" max="8" width="7.85546875" bestFit="1" customWidth="1"/>
    <col min="9" max="9" width="6.85546875" bestFit="1" customWidth="1"/>
    <col min="10" max="10" width="11.140625" bestFit="1" customWidth="1"/>
    <col min="11" max="11" width="12.42578125" bestFit="1" customWidth="1"/>
    <col min="12" max="12" width="13" bestFit="1" customWidth="1"/>
    <col min="13" max="13" width="12.5703125" bestFit="1" customWidth="1"/>
    <col min="14" max="14" width="11" bestFit="1" customWidth="1"/>
    <col min="15" max="16" width="17" bestFit="1" customWidth="1"/>
    <col min="17" max="17" width="16.140625" bestFit="1" customWidth="1"/>
    <col min="18" max="18" width="17" bestFit="1" customWidth="1"/>
    <col min="19" max="19" width="12.85546875" bestFit="1" customWidth="1"/>
    <col min="20" max="20" width="13" bestFit="1" customWidth="1"/>
    <col min="21" max="21" width="12" bestFit="1" customWidth="1"/>
    <col min="22" max="22" width="10" bestFit="1" customWidth="1"/>
    <col min="23" max="23" width="12.42578125" bestFit="1" customWidth="1"/>
    <col min="24" max="24" width="13.42578125" bestFit="1" customWidth="1"/>
    <col min="25" max="25" width="10.5703125" bestFit="1" customWidth="1"/>
    <col min="26" max="26" width="14.5703125" bestFit="1" customWidth="1"/>
    <col min="27" max="27" width="8.85546875" bestFit="1" customWidth="1"/>
    <col min="28" max="28" width="10.28515625" bestFit="1" customWidth="1"/>
    <col min="29" max="29" width="13" bestFit="1" customWidth="1"/>
    <col min="30" max="31" width="12.5703125" bestFit="1" customWidth="1"/>
    <col min="32" max="32" width="8.7109375" bestFit="1" customWidth="1"/>
    <col min="33" max="33" width="12.85546875" bestFit="1" customWidth="1"/>
    <col min="34" max="34" width="8.28515625" bestFit="1" customWidth="1"/>
    <col min="35" max="35" width="12" bestFit="1" customWidth="1"/>
    <col min="36" max="36" width="9.28515625" bestFit="1" customWidth="1"/>
    <col min="37" max="37" width="12.85546875" bestFit="1" customWidth="1"/>
    <col min="38" max="38" width="11" bestFit="1" customWidth="1"/>
    <col min="39" max="39" width="12.140625" bestFit="1" customWidth="1"/>
    <col min="40" max="40" width="10" bestFit="1" customWidth="1"/>
    <col min="41" max="41" width="5.28515625" bestFit="1" customWidth="1"/>
    <col min="42" max="42" width="3.5703125" bestFit="1" customWidth="1"/>
    <col min="43" max="43" width="8.5703125" bestFit="1" customWidth="1"/>
    <col min="44" max="44" width="10.5703125" bestFit="1" customWidth="1"/>
    <col min="45" max="45" width="24.5703125" customWidth="1"/>
  </cols>
  <sheetData>
    <row r="1" customFormat="1" ht="24.75" customHeight="1" x14ac:dyDescent="0.25"/>
    <row r="2" customFormat="1" ht="24.75" customHeight="1" x14ac:dyDescent="0.25"/>
    <row r="3" customFormat="1" ht="24.75" customHeight="1" x14ac:dyDescent="0.25"/>
    <row r="4" customFormat="1" ht="24.75" customHeight="1" x14ac:dyDescent="0.25"/>
    <row r="5" customFormat="1" ht="24.75" customHeight="1" x14ac:dyDescent="0.25"/>
    <row r="6" customFormat="1" ht="24.75" customHeight="1" x14ac:dyDescent="0.25"/>
    <row r="7" customFormat="1" ht="24.75" customHeight="1" x14ac:dyDescent="0.25"/>
    <row r="8" customFormat="1" ht="24.75" customHeight="1" x14ac:dyDescent="0.25"/>
    <row r="9" customFormat="1" ht="24.75" customHeight="1" x14ac:dyDescent="0.25"/>
    <row r="10" customFormat="1" ht="24.75" customHeight="1" x14ac:dyDescent="0.25"/>
    <row r="11" customFormat="1" ht="24.75" customHeight="1" x14ac:dyDescent="0.25"/>
    <row r="12" customFormat="1" ht="24.75" customHeight="1" x14ac:dyDescent="0.25"/>
    <row r="13" customFormat="1" ht="24.75" customHeight="1" x14ac:dyDescent="0.25"/>
    <row r="14" customFormat="1" ht="24.75" customHeight="1" x14ac:dyDescent="0.25"/>
    <row r="15" customFormat="1" ht="24.75" customHeight="1" x14ac:dyDescent="0.25"/>
    <row r="16" customFormat="1" ht="24.75" customHeight="1" x14ac:dyDescent="0.25"/>
    <row r="17" customFormat="1" ht="24.75" customHeight="1" x14ac:dyDescent="0.25"/>
    <row r="18" customFormat="1" ht="24.75" customHeight="1" x14ac:dyDescent="0.25"/>
    <row r="19" customFormat="1" ht="24.75" customHeight="1" x14ac:dyDescent="0.25"/>
    <row r="20" customFormat="1" ht="24.75" customHeight="1" x14ac:dyDescent="0.25"/>
    <row r="21" customFormat="1" ht="24.75" customHeight="1" x14ac:dyDescent="0.25"/>
    <row r="22" customFormat="1" ht="24.75" customHeight="1" x14ac:dyDescent="0.25"/>
    <row r="23" customFormat="1" ht="24.75" customHeight="1" x14ac:dyDescent="0.25"/>
    <row r="24" customFormat="1" ht="24.75" customHeight="1" x14ac:dyDescent="0.25"/>
    <row r="25" customFormat="1" ht="24.75" customHeight="1" x14ac:dyDescent="0.25"/>
    <row r="26" customFormat="1" ht="24.75" customHeight="1" x14ac:dyDescent="0.25"/>
    <row r="27" customFormat="1" ht="24.75" customHeight="1" x14ac:dyDescent="0.25"/>
    <row r="28" customFormat="1" ht="24.75" customHeight="1" x14ac:dyDescent="0.25"/>
    <row r="29" customFormat="1" ht="24.75" customHeight="1" x14ac:dyDescent="0.25"/>
    <row r="30" customFormat="1" ht="24.75" customHeight="1" x14ac:dyDescent="0.25"/>
    <row r="31" customFormat="1" ht="24.75" customHeight="1" x14ac:dyDescent="0.25"/>
    <row r="32" customFormat="1" ht="24.75" customHeight="1" x14ac:dyDescent="0.25"/>
    <row r="33" customFormat="1" ht="24.75" customHeight="1" x14ac:dyDescent="0.25"/>
    <row r="34" customFormat="1" ht="24.75" customHeight="1" x14ac:dyDescent="0.25"/>
    <row r="35" customFormat="1" ht="24.75" customHeight="1" x14ac:dyDescent="0.25"/>
    <row r="36" customFormat="1" ht="24.75" customHeight="1" x14ac:dyDescent="0.25"/>
    <row r="37" customFormat="1" ht="24.75" customHeight="1" x14ac:dyDescent="0.25"/>
    <row r="38" customFormat="1" ht="24.75" customHeight="1" x14ac:dyDescent="0.25"/>
    <row r="39" customFormat="1" ht="24.75" customHeight="1" x14ac:dyDescent="0.25"/>
    <row r="40" customFormat="1" ht="24.75" customHeight="1" x14ac:dyDescent="0.25"/>
    <row r="41" customFormat="1" ht="24.75" customHeight="1" x14ac:dyDescent="0.25"/>
    <row r="42" customFormat="1" ht="24.75" customHeight="1" x14ac:dyDescent="0.25"/>
    <row r="43" customFormat="1" ht="24.75" customHeight="1" x14ac:dyDescent="0.25"/>
    <row r="44" customFormat="1" ht="24.75" customHeight="1" x14ac:dyDescent="0.25"/>
    <row r="45" customFormat="1" ht="24.75" customHeight="1" x14ac:dyDescent="0.25"/>
    <row r="46" customFormat="1" ht="24.75" customHeight="1" x14ac:dyDescent="0.25"/>
    <row r="47" customFormat="1" ht="24.75" customHeight="1" x14ac:dyDescent="0.25"/>
    <row r="48" customFormat="1" ht="24.75" customHeight="1" x14ac:dyDescent="0.25"/>
    <row r="49" customFormat="1" ht="24.75" customHeight="1" x14ac:dyDescent="0.25"/>
    <row r="50" customFormat="1" ht="24.75" customHeight="1" x14ac:dyDescent="0.25"/>
    <row r="51" customFormat="1" ht="24.75" customHeight="1" x14ac:dyDescent="0.25"/>
    <row r="52" customFormat="1" ht="24.75" customHeight="1" x14ac:dyDescent="0.25"/>
    <row r="53" customFormat="1" ht="24.75" customHeight="1" x14ac:dyDescent="0.25"/>
    <row r="54" customFormat="1" ht="24.75" customHeight="1" x14ac:dyDescent="0.25"/>
    <row r="55" customFormat="1" ht="24.75" customHeight="1" x14ac:dyDescent="0.25"/>
    <row r="56" customFormat="1" ht="24.75" customHeight="1" x14ac:dyDescent="0.25"/>
    <row r="57" customFormat="1" ht="24.75" customHeight="1" x14ac:dyDescent="0.25"/>
    <row r="58" customFormat="1" ht="24.75" customHeight="1" x14ac:dyDescent="0.25"/>
    <row r="59" customFormat="1" ht="24.75" customHeight="1" x14ac:dyDescent="0.25"/>
    <row r="60" customFormat="1" ht="24.75" customHeight="1" x14ac:dyDescent="0.25"/>
    <row r="61" customFormat="1" ht="24.75" customHeight="1" x14ac:dyDescent="0.25"/>
    <row r="62" customFormat="1" ht="24.75" customHeight="1" x14ac:dyDescent="0.25"/>
    <row r="63" customFormat="1" ht="24.75" customHeight="1" x14ac:dyDescent="0.25"/>
    <row r="64" customFormat="1" ht="24.75" customHeight="1" x14ac:dyDescent="0.25"/>
    <row r="65" customFormat="1" ht="24.75" customHeight="1" x14ac:dyDescent="0.25"/>
    <row r="66" customFormat="1" ht="24.75" customHeight="1" x14ac:dyDescent="0.25"/>
    <row r="67" customFormat="1" ht="24.75" customHeight="1" x14ac:dyDescent="0.25"/>
    <row r="68" customFormat="1" ht="24.75" customHeight="1" x14ac:dyDescent="0.25"/>
    <row r="69" customFormat="1" ht="24.75" customHeight="1" x14ac:dyDescent="0.25"/>
    <row r="70" customFormat="1" ht="24.75" customHeight="1" x14ac:dyDescent="0.25"/>
    <row r="71" customFormat="1" ht="24.75" customHeight="1" x14ac:dyDescent="0.25"/>
    <row r="72" customFormat="1" ht="24.75" customHeight="1" x14ac:dyDescent="0.25"/>
    <row r="73" customFormat="1" ht="24.75" customHeight="1" x14ac:dyDescent="0.25"/>
    <row r="74" customFormat="1" ht="24.75" customHeight="1" x14ac:dyDescent="0.25"/>
    <row r="75" customFormat="1" ht="24.75" customHeight="1" x14ac:dyDescent="0.25"/>
    <row r="76" customFormat="1" ht="24.75" customHeight="1" x14ac:dyDescent="0.25"/>
    <row r="77" customFormat="1" ht="24.75" customHeight="1" x14ac:dyDescent="0.25"/>
    <row r="78" customFormat="1" ht="24.75" customHeight="1" x14ac:dyDescent="0.25"/>
    <row r="79" customFormat="1" ht="24.75" customHeight="1" x14ac:dyDescent="0.25"/>
    <row r="80" customFormat="1" ht="24.75" customHeight="1" x14ac:dyDescent="0.25"/>
    <row r="81" customFormat="1" ht="24.75" customHeight="1" x14ac:dyDescent="0.25"/>
    <row r="82" customFormat="1" ht="24.75" customHeight="1" x14ac:dyDescent="0.25"/>
    <row r="83" customFormat="1" ht="24.75" customHeight="1" x14ac:dyDescent="0.25"/>
    <row r="84" customFormat="1" ht="24.75" customHeight="1" x14ac:dyDescent="0.25"/>
    <row r="85" customFormat="1" ht="24.75" customHeight="1" x14ac:dyDescent="0.25"/>
    <row r="86" customFormat="1" ht="24.75" customHeight="1" x14ac:dyDescent="0.25"/>
    <row r="87" customFormat="1" ht="24.75" customHeight="1" x14ac:dyDescent="0.25"/>
    <row r="88" customFormat="1" ht="24.75" customHeight="1" x14ac:dyDescent="0.25"/>
    <row r="89" customFormat="1" ht="24.75" customHeight="1" x14ac:dyDescent="0.25"/>
    <row r="90" customFormat="1" ht="24.75" customHeight="1" x14ac:dyDescent="0.25"/>
    <row r="91" customFormat="1" ht="24.75" customHeight="1" x14ac:dyDescent="0.25"/>
    <row r="92" customFormat="1" ht="24.75" customHeight="1" x14ac:dyDescent="0.25"/>
    <row r="93" customFormat="1" ht="24.75" customHeight="1" x14ac:dyDescent="0.25"/>
    <row r="94" customFormat="1" ht="24.75" customHeight="1" x14ac:dyDescent="0.25"/>
    <row r="95" customFormat="1" ht="24.75" customHeight="1" x14ac:dyDescent="0.25"/>
    <row r="96" customFormat="1" ht="24.75" customHeight="1" x14ac:dyDescent="0.25"/>
    <row r="97" customFormat="1" ht="24.75" customHeight="1" x14ac:dyDescent="0.25"/>
    <row r="98" customFormat="1" ht="24.75" customHeight="1" x14ac:dyDescent="0.25"/>
    <row r="99" customFormat="1" ht="24.75" customHeight="1" x14ac:dyDescent="0.25"/>
    <row r="100" customFormat="1" ht="24.75" customHeight="1" x14ac:dyDescent="0.25"/>
    <row r="101" customFormat="1" ht="24.75" customHeight="1" x14ac:dyDescent="0.25"/>
    <row r="102" customFormat="1" ht="24.75" customHeight="1" x14ac:dyDescent="0.25"/>
    <row r="103" customFormat="1" ht="24.75" customHeight="1" x14ac:dyDescent="0.25"/>
    <row r="104" customFormat="1" ht="24.75" customHeight="1" x14ac:dyDescent="0.25"/>
    <row r="105" customFormat="1" ht="24.75" customHeight="1" x14ac:dyDescent="0.25"/>
    <row r="106" customFormat="1" ht="24.75" customHeight="1" x14ac:dyDescent="0.25"/>
    <row r="107" customFormat="1" ht="24.75" customHeight="1" x14ac:dyDescent="0.25"/>
    <row r="108" customFormat="1" ht="24.75" customHeight="1" x14ac:dyDescent="0.25"/>
    <row r="109" customFormat="1" ht="24.75" customHeight="1" x14ac:dyDescent="0.25"/>
    <row r="110" customFormat="1" ht="24.75" customHeight="1" x14ac:dyDescent="0.25"/>
    <row r="111" customFormat="1" ht="24.75" customHeight="1" x14ac:dyDescent="0.25"/>
    <row r="112" customFormat="1" ht="24.75" customHeight="1" x14ac:dyDescent="0.25"/>
    <row r="113" customFormat="1" ht="24.75" customHeight="1" x14ac:dyDescent="0.25"/>
    <row r="114" customFormat="1" ht="24.75" customHeight="1" x14ac:dyDescent="0.25"/>
    <row r="115" customFormat="1" ht="24.75" customHeight="1" x14ac:dyDescent="0.25"/>
    <row r="116" customFormat="1" ht="24.75" customHeight="1" x14ac:dyDescent="0.25"/>
    <row r="117" customFormat="1" ht="24.75" customHeight="1" x14ac:dyDescent="0.25"/>
    <row r="118" customFormat="1" ht="24.75" customHeight="1" x14ac:dyDescent="0.25"/>
    <row r="119" customFormat="1" ht="24.75" customHeight="1" x14ac:dyDescent="0.25"/>
    <row r="120" customFormat="1" ht="24.75" customHeight="1" x14ac:dyDescent="0.25"/>
    <row r="121" customFormat="1" ht="24.75" customHeight="1" x14ac:dyDescent="0.25"/>
    <row r="122" customFormat="1" ht="24.75" customHeight="1" x14ac:dyDescent="0.25"/>
    <row r="123" customFormat="1" ht="24.75" customHeight="1" x14ac:dyDescent="0.25"/>
    <row r="124" customFormat="1" ht="24.75" customHeight="1" x14ac:dyDescent="0.25"/>
    <row r="125" customFormat="1" ht="24.75" customHeight="1" x14ac:dyDescent="0.25"/>
    <row r="126" customFormat="1" ht="24.75" customHeight="1" x14ac:dyDescent="0.25"/>
    <row r="127" customFormat="1" ht="24.75" customHeight="1" x14ac:dyDescent="0.25"/>
    <row r="128" customFormat="1" ht="24.75" customHeight="1" x14ac:dyDescent="0.25"/>
    <row r="129" customFormat="1" ht="24.75" customHeight="1" x14ac:dyDescent="0.25"/>
    <row r="130" customFormat="1" ht="24.75" customHeight="1" x14ac:dyDescent="0.25"/>
    <row r="131" customFormat="1" ht="24.75" customHeight="1" x14ac:dyDescent="0.25"/>
    <row r="132" customFormat="1" ht="24.75" customHeight="1" x14ac:dyDescent="0.25"/>
    <row r="133" customFormat="1" ht="24.75" customHeight="1" x14ac:dyDescent="0.25"/>
    <row r="134" customFormat="1" ht="24.75" customHeight="1" x14ac:dyDescent="0.25"/>
    <row r="135" customFormat="1" ht="24.75" customHeight="1" x14ac:dyDescent="0.25"/>
    <row r="136" customFormat="1" ht="24.75" customHeight="1" x14ac:dyDescent="0.25"/>
    <row r="137" customFormat="1" ht="24.75" customHeight="1" x14ac:dyDescent="0.25"/>
    <row r="138" customFormat="1" ht="24.75" customHeight="1" x14ac:dyDescent="0.25"/>
    <row r="139" customFormat="1" ht="24.75" customHeight="1" x14ac:dyDescent="0.25"/>
    <row r="140" customFormat="1" ht="24.75" customHeight="1" x14ac:dyDescent="0.25"/>
    <row r="141" customFormat="1" ht="24.75" customHeight="1" x14ac:dyDescent="0.25"/>
    <row r="142" customFormat="1" ht="24.75" customHeight="1" x14ac:dyDescent="0.25"/>
    <row r="143" customFormat="1" ht="24.75" customHeight="1" x14ac:dyDescent="0.25"/>
    <row r="144" customFormat="1" ht="24.75" customHeight="1" x14ac:dyDescent="0.25"/>
    <row r="145" customFormat="1" ht="24.75" customHeight="1" x14ac:dyDescent="0.25"/>
    <row r="146" customFormat="1" ht="24.75" customHeight="1" x14ac:dyDescent="0.25"/>
    <row r="147" customFormat="1" ht="24.75" customHeight="1" x14ac:dyDescent="0.25"/>
    <row r="148" customFormat="1" ht="24.75" customHeight="1" x14ac:dyDescent="0.25"/>
    <row r="149" customFormat="1" ht="24.75" customHeight="1" x14ac:dyDescent="0.25"/>
    <row r="150" customFormat="1" ht="24.75" customHeight="1" x14ac:dyDescent="0.25"/>
    <row r="151" customFormat="1" ht="24.75" customHeight="1" x14ac:dyDescent="0.25"/>
    <row r="152" customFormat="1" ht="24.75" customHeight="1" x14ac:dyDescent="0.25"/>
    <row r="153" customFormat="1" ht="24.75" customHeight="1" x14ac:dyDescent="0.25"/>
    <row r="154" customFormat="1" ht="24.75" customHeight="1" x14ac:dyDescent="0.25"/>
    <row r="155" customFormat="1" ht="24.75" customHeight="1" x14ac:dyDescent="0.25"/>
    <row r="156" customFormat="1" ht="24.75" customHeight="1" x14ac:dyDescent="0.25"/>
    <row r="157" customFormat="1" ht="24.75" customHeight="1" x14ac:dyDescent="0.25"/>
    <row r="158" customFormat="1" ht="24.75" customHeight="1" x14ac:dyDescent="0.25"/>
    <row r="159" customFormat="1" ht="24.75" customHeight="1" x14ac:dyDescent="0.25"/>
    <row r="160" customFormat="1" ht="24.75" customHeight="1" x14ac:dyDescent="0.25"/>
    <row r="161" customFormat="1" ht="24.75" customHeight="1" x14ac:dyDescent="0.25"/>
    <row r="162" customFormat="1" ht="24.75" customHeight="1" x14ac:dyDescent="0.25"/>
    <row r="163" customFormat="1" ht="24.75" customHeight="1" x14ac:dyDescent="0.25"/>
    <row r="164" customFormat="1" ht="24.75" customHeight="1" x14ac:dyDescent="0.25"/>
    <row r="165" customFormat="1" ht="24.75" customHeight="1" x14ac:dyDescent="0.25"/>
    <row r="166" customFormat="1" ht="24.75" customHeight="1" x14ac:dyDescent="0.25"/>
    <row r="167" customFormat="1" ht="24.75" customHeight="1" x14ac:dyDescent="0.25"/>
    <row r="168" customFormat="1" ht="24.75" customHeight="1" x14ac:dyDescent="0.25"/>
    <row r="169" customFormat="1" ht="24.75" customHeight="1" x14ac:dyDescent="0.25"/>
    <row r="170" customFormat="1" ht="24.75" customHeight="1" x14ac:dyDescent="0.25"/>
    <row r="171" customFormat="1" ht="24.75" customHeight="1" x14ac:dyDescent="0.25"/>
    <row r="172" customFormat="1" ht="24.75" customHeight="1" x14ac:dyDescent="0.25"/>
    <row r="173" customFormat="1" ht="24.75" customHeight="1" x14ac:dyDescent="0.25"/>
    <row r="174" customFormat="1" ht="24.75" customHeight="1" x14ac:dyDescent="0.25"/>
    <row r="175" customFormat="1" ht="24.75" customHeight="1" x14ac:dyDescent="0.25"/>
    <row r="176" customFormat="1" ht="24.75" customHeight="1" x14ac:dyDescent="0.25"/>
    <row r="177" customFormat="1" ht="24.75" customHeight="1" x14ac:dyDescent="0.25"/>
    <row r="178" customFormat="1" ht="24.75" customHeight="1" x14ac:dyDescent="0.25"/>
    <row r="179" customFormat="1" ht="24.75" customHeight="1" x14ac:dyDescent="0.25"/>
    <row r="180" customFormat="1" ht="24.75" customHeight="1" x14ac:dyDescent="0.25"/>
    <row r="181" customFormat="1" ht="24.75" customHeight="1" x14ac:dyDescent="0.25"/>
    <row r="182" customFormat="1" ht="24.75" customHeight="1" x14ac:dyDescent="0.25"/>
    <row r="183" customFormat="1" ht="24.75" customHeight="1" x14ac:dyDescent="0.25"/>
    <row r="184" customFormat="1" ht="24.75" customHeight="1" x14ac:dyDescent="0.25"/>
    <row r="185" customFormat="1" ht="24.75" customHeight="1" x14ac:dyDescent="0.25"/>
    <row r="186" customFormat="1" ht="24.75" customHeight="1" x14ac:dyDescent="0.25"/>
    <row r="187" customFormat="1" ht="24.75" customHeight="1" x14ac:dyDescent="0.25"/>
    <row r="188" customFormat="1" ht="24.75" customHeight="1" x14ac:dyDescent="0.25"/>
    <row r="189" customFormat="1" ht="24.75" customHeight="1" x14ac:dyDescent="0.25"/>
    <row r="190" customFormat="1" ht="24.75" customHeight="1" x14ac:dyDescent="0.25"/>
    <row r="191" customFormat="1" ht="24.75" customHeight="1" x14ac:dyDescent="0.25"/>
    <row r="192" customFormat="1" ht="24.75" customHeight="1" x14ac:dyDescent="0.25"/>
    <row r="193" customFormat="1" ht="24.75" customHeight="1" x14ac:dyDescent="0.25"/>
    <row r="194" customFormat="1" ht="24.75" customHeight="1" x14ac:dyDescent="0.25"/>
    <row r="195" customFormat="1" ht="24.75" customHeight="1" x14ac:dyDescent="0.25"/>
    <row r="196" customFormat="1" ht="24.75" customHeight="1" x14ac:dyDescent="0.25"/>
    <row r="197" customFormat="1" ht="24.75" customHeight="1" x14ac:dyDescent="0.25"/>
    <row r="198" customFormat="1" ht="24.75" customHeight="1" x14ac:dyDescent="0.25"/>
    <row r="199" customFormat="1" ht="24.75" customHeight="1" x14ac:dyDescent="0.25"/>
    <row r="200" customFormat="1" ht="24.75" customHeight="1" x14ac:dyDescent="0.25"/>
    <row r="201" customFormat="1" ht="24.75" customHeight="1" x14ac:dyDescent="0.25"/>
    <row r="202" customFormat="1" ht="24.75" customHeight="1" x14ac:dyDescent="0.25"/>
    <row r="203" customFormat="1" ht="24.75" customHeight="1" x14ac:dyDescent="0.25"/>
    <row r="204" customFormat="1" ht="24.75" customHeight="1" x14ac:dyDescent="0.25"/>
    <row r="205" customFormat="1" ht="24.75" customHeight="1" x14ac:dyDescent="0.25"/>
    <row r="206" customFormat="1" ht="24.75" customHeight="1" x14ac:dyDescent="0.25"/>
    <row r="207" customFormat="1" ht="24.75" customHeight="1" x14ac:dyDescent="0.25"/>
    <row r="208" customFormat="1" ht="24.75" customHeight="1" x14ac:dyDescent="0.25"/>
    <row r="209" customFormat="1" ht="24.75" customHeight="1" x14ac:dyDescent="0.25"/>
    <row r="210" customFormat="1" ht="24.75" customHeight="1" x14ac:dyDescent="0.25"/>
    <row r="211" customFormat="1" ht="24.75" customHeight="1" x14ac:dyDescent="0.25"/>
    <row r="212" customFormat="1" ht="24.75" customHeight="1" x14ac:dyDescent="0.25"/>
    <row r="213" customFormat="1" ht="24.75" customHeight="1" x14ac:dyDescent="0.25"/>
    <row r="214" customFormat="1" ht="24.75" customHeight="1" x14ac:dyDescent="0.25"/>
    <row r="215" customFormat="1" ht="24.75" customHeight="1" x14ac:dyDescent="0.25"/>
    <row r="216" customFormat="1" ht="24.75" customHeight="1" x14ac:dyDescent="0.25"/>
    <row r="217" customFormat="1" ht="24.75" customHeight="1" x14ac:dyDescent="0.25"/>
    <row r="218" customFormat="1" ht="24.75" customHeight="1" x14ac:dyDescent="0.25"/>
    <row r="219" customFormat="1" ht="24.75" customHeight="1" x14ac:dyDescent="0.25"/>
    <row r="220" customFormat="1" ht="24.75" customHeight="1" x14ac:dyDescent="0.25"/>
    <row r="221" customFormat="1" ht="24.75" customHeight="1" x14ac:dyDescent="0.25"/>
    <row r="222" customFormat="1" ht="24.75" customHeight="1" x14ac:dyDescent="0.25"/>
    <row r="223" customFormat="1" ht="24.75" customHeight="1" x14ac:dyDescent="0.25"/>
    <row r="224" customFormat="1" ht="24.75" customHeight="1" x14ac:dyDescent="0.25"/>
    <row r="225" customFormat="1" ht="24.75" customHeight="1" x14ac:dyDescent="0.25"/>
    <row r="226" customFormat="1" ht="24.75" customHeight="1" x14ac:dyDescent="0.25"/>
    <row r="227" customFormat="1" ht="24.75" customHeight="1" x14ac:dyDescent="0.25"/>
    <row r="228" customFormat="1" ht="24.75" customHeight="1" x14ac:dyDescent="0.25"/>
    <row r="229" customFormat="1" ht="24.75" customHeight="1" x14ac:dyDescent="0.25"/>
    <row r="230" customFormat="1" ht="24.75" customHeight="1" x14ac:dyDescent="0.25"/>
    <row r="231" customFormat="1" ht="24.75" customHeight="1" x14ac:dyDescent="0.25"/>
    <row r="232" customFormat="1" ht="24.75" customHeight="1" x14ac:dyDescent="0.25"/>
    <row r="233" customFormat="1" ht="24.75" customHeight="1" x14ac:dyDescent="0.25"/>
    <row r="234" customFormat="1" ht="24.75" customHeight="1" x14ac:dyDescent="0.25"/>
    <row r="235" customFormat="1" ht="24.75" customHeight="1" x14ac:dyDescent="0.25"/>
    <row r="236" customFormat="1" ht="24.75" customHeight="1" x14ac:dyDescent="0.25"/>
    <row r="237" customFormat="1" ht="24.75" customHeight="1" x14ac:dyDescent="0.25"/>
    <row r="238" customFormat="1" ht="24.75" customHeight="1" x14ac:dyDescent="0.25"/>
    <row r="239" customFormat="1" ht="24.75" customHeight="1" x14ac:dyDescent="0.25"/>
    <row r="240" customFormat="1" ht="24.75" customHeight="1" x14ac:dyDescent="0.25"/>
    <row r="241" customFormat="1" ht="24.75" customHeight="1" x14ac:dyDescent="0.25"/>
    <row r="242" customFormat="1" ht="24.75" customHeight="1" x14ac:dyDescent="0.25"/>
    <row r="243" customFormat="1" ht="24.75" customHeight="1" x14ac:dyDescent="0.25"/>
    <row r="244" customFormat="1" ht="24.75" customHeight="1" x14ac:dyDescent="0.25"/>
    <row r="245" customFormat="1" ht="24.75" customHeight="1" x14ac:dyDescent="0.25"/>
    <row r="246" customFormat="1" ht="24.75" customHeight="1" x14ac:dyDescent="0.25"/>
    <row r="247" customFormat="1" ht="24.75" customHeight="1" x14ac:dyDescent="0.25"/>
    <row r="248" customFormat="1" ht="24.75" customHeight="1" x14ac:dyDescent="0.25"/>
    <row r="249" customFormat="1" ht="24.75" customHeight="1" x14ac:dyDescent="0.25"/>
    <row r="250" customFormat="1" ht="24.75" customHeight="1" x14ac:dyDescent="0.25"/>
    <row r="251" customFormat="1" ht="24.75" customHeight="1" x14ac:dyDescent="0.25"/>
    <row r="252" customFormat="1" ht="24.75" customHeight="1" x14ac:dyDescent="0.25"/>
    <row r="253" customFormat="1" ht="24.75" customHeight="1" x14ac:dyDescent="0.25"/>
    <row r="254" customFormat="1" ht="24.75" customHeight="1" x14ac:dyDescent="0.25"/>
    <row r="255" customFormat="1" ht="24.75" customHeight="1" x14ac:dyDescent="0.25"/>
    <row r="256" customFormat="1" ht="24.75" customHeight="1" x14ac:dyDescent="0.25"/>
    <row r="257" customFormat="1" ht="24.75" customHeight="1" x14ac:dyDescent="0.25"/>
    <row r="258" customFormat="1" ht="24.75" customHeight="1" x14ac:dyDescent="0.25"/>
    <row r="259" customFormat="1" ht="24.75" customHeight="1" x14ac:dyDescent="0.25"/>
    <row r="260" customFormat="1" ht="24.75" customHeight="1" x14ac:dyDescent="0.25"/>
    <row r="261" customFormat="1" ht="24.75" customHeight="1" x14ac:dyDescent="0.25"/>
    <row r="262" customFormat="1" ht="24.75" customHeight="1" x14ac:dyDescent="0.25"/>
    <row r="263" customFormat="1" ht="24.75" customHeight="1" x14ac:dyDescent="0.25"/>
    <row r="264" customFormat="1" ht="24.75" customHeight="1" x14ac:dyDescent="0.25"/>
    <row r="265" customFormat="1" ht="24.75" customHeight="1" x14ac:dyDescent="0.25"/>
    <row r="266" customFormat="1" ht="24.75" customHeight="1" x14ac:dyDescent="0.25"/>
    <row r="267" customFormat="1" ht="24.75" customHeight="1" x14ac:dyDescent="0.25"/>
    <row r="268" customFormat="1" ht="24.75" customHeight="1" x14ac:dyDescent="0.25"/>
    <row r="269" customFormat="1" ht="24.75" customHeight="1" x14ac:dyDescent="0.25"/>
    <row r="270" customFormat="1" ht="24.75" customHeight="1" x14ac:dyDescent="0.25"/>
    <row r="271" customFormat="1" ht="24.75" customHeight="1" x14ac:dyDescent="0.25"/>
    <row r="272" customFormat="1" ht="24.75" customHeight="1" x14ac:dyDescent="0.25"/>
    <row r="273" customFormat="1" ht="24.75" customHeight="1" x14ac:dyDescent="0.25"/>
    <row r="274" customFormat="1" ht="24.75" customHeight="1" x14ac:dyDescent="0.25"/>
    <row r="275" customFormat="1" ht="24.75" customHeight="1" x14ac:dyDescent="0.25"/>
    <row r="276" customFormat="1" ht="24.75" customHeight="1" x14ac:dyDescent="0.25"/>
    <row r="277" customFormat="1" ht="24.75" customHeight="1" x14ac:dyDescent="0.25"/>
    <row r="278" customFormat="1" ht="24.75" customHeight="1" x14ac:dyDescent="0.25"/>
    <row r="279" customFormat="1" ht="24.75" customHeight="1" x14ac:dyDescent="0.25"/>
    <row r="280" customFormat="1" ht="24.75" customHeight="1" x14ac:dyDescent="0.25"/>
    <row r="281" customFormat="1" ht="24.75" customHeight="1" x14ac:dyDescent="0.25"/>
    <row r="282" customFormat="1" ht="24.75" customHeight="1" x14ac:dyDescent="0.25"/>
    <row r="283" customFormat="1" ht="24.75" customHeight="1" x14ac:dyDescent="0.25"/>
    <row r="284" customFormat="1" ht="24.75" customHeight="1" x14ac:dyDescent="0.25"/>
    <row r="285" customFormat="1" ht="24.75" customHeight="1" x14ac:dyDescent="0.25"/>
    <row r="286" customFormat="1" ht="24.75" customHeight="1" x14ac:dyDescent="0.25"/>
    <row r="287" customFormat="1" ht="24.75" customHeight="1" x14ac:dyDescent="0.25"/>
    <row r="288" customFormat="1" ht="24.75" customHeight="1" x14ac:dyDescent="0.25"/>
    <row r="289" customFormat="1" ht="24.75" customHeight="1" x14ac:dyDescent="0.25"/>
    <row r="290" customFormat="1" ht="24.75" customHeight="1" x14ac:dyDescent="0.25"/>
    <row r="291" customFormat="1" ht="24.75" customHeight="1" x14ac:dyDescent="0.25"/>
    <row r="292" customFormat="1" ht="24.75" customHeight="1" x14ac:dyDescent="0.25"/>
    <row r="293" customFormat="1" ht="24.75" customHeight="1" x14ac:dyDescent="0.25"/>
    <row r="294" customFormat="1" ht="24.75" customHeight="1" x14ac:dyDescent="0.25"/>
    <row r="295" customFormat="1" ht="24.75" customHeight="1" x14ac:dyDescent="0.25"/>
    <row r="296" customFormat="1" ht="24.75" customHeight="1" x14ac:dyDescent="0.25"/>
    <row r="297" customFormat="1" ht="24.75" customHeight="1" x14ac:dyDescent="0.25"/>
    <row r="298" customFormat="1" ht="24.75" customHeight="1" x14ac:dyDescent="0.25"/>
    <row r="299" customFormat="1" ht="24.75" customHeight="1" x14ac:dyDescent="0.25"/>
    <row r="300" customFormat="1" ht="24.75" customHeight="1" x14ac:dyDescent="0.25"/>
    <row r="301" customFormat="1" ht="24.75" customHeight="1" x14ac:dyDescent="0.25"/>
    <row r="302" customFormat="1" ht="24.75" customHeight="1" x14ac:dyDescent="0.25"/>
    <row r="303" customFormat="1" ht="24.75" customHeight="1" x14ac:dyDescent="0.25"/>
    <row r="304" customFormat="1" ht="24.75" customHeight="1" x14ac:dyDescent="0.25"/>
    <row r="305" customFormat="1" ht="24.75" customHeight="1" x14ac:dyDescent="0.25"/>
    <row r="306" customFormat="1" ht="24.75" customHeight="1" x14ac:dyDescent="0.25"/>
    <row r="307" customFormat="1" ht="24.75" customHeight="1" x14ac:dyDescent="0.25"/>
    <row r="308" customFormat="1" ht="24.75" customHeight="1" x14ac:dyDescent="0.25"/>
    <row r="309" customFormat="1" ht="24.75" customHeight="1" x14ac:dyDescent="0.25"/>
    <row r="310" customFormat="1" ht="24.75" customHeight="1" x14ac:dyDescent="0.25"/>
    <row r="311" customFormat="1" ht="24.75" customHeight="1" x14ac:dyDescent="0.25"/>
    <row r="312" customFormat="1" ht="24.75" customHeight="1" x14ac:dyDescent="0.25"/>
    <row r="313" customFormat="1" ht="24.75" customHeight="1" x14ac:dyDescent="0.25"/>
    <row r="314" customFormat="1" ht="24.75" customHeight="1" x14ac:dyDescent="0.25"/>
    <row r="315" customFormat="1" ht="24.75" customHeight="1" x14ac:dyDescent="0.25"/>
    <row r="316" customFormat="1" ht="24.75" customHeight="1" x14ac:dyDescent="0.25"/>
    <row r="317" customFormat="1" ht="24.75" customHeight="1" x14ac:dyDescent="0.25"/>
    <row r="318" customFormat="1" ht="24.75" customHeight="1" x14ac:dyDescent="0.25"/>
    <row r="319" customFormat="1" ht="24.75" customHeight="1" x14ac:dyDescent="0.25"/>
    <row r="320" customFormat="1" ht="24.75" customHeight="1" x14ac:dyDescent="0.25"/>
    <row r="321" customFormat="1" ht="24.75" customHeight="1" x14ac:dyDescent="0.25"/>
    <row r="322" customFormat="1" ht="24.75" customHeight="1" x14ac:dyDescent="0.25"/>
    <row r="323" customFormat="1" ht="24.75" customHeight="1" x14ac:dyDescent="0.25"/>
    <row r="324" customFormat="1" ht="24.75" customHeight="1" x14ac:dyDescent="0.25"/>
    <row r="325" customFormat="1" ht="24.75" customHeight="1" x14ac:dyDescent="0.25"/>
    <row r="326" customFormat="1" ht="24.75" customHeight="1" x14ac:dyDescent="0.25"/>
    <row r="327" customFormat="1" ht="24.75" customHeight="1" x14ac:dyDescent="0.25"/>
    <row r="328" customFormat="1" ht="24.75" customHeight="1" x14ac:dyDescent="0.25"/>
    <row r="329" customFormat="1" ht="24.75" customHeight="1" x14ac:dyDescent="0.25"/>
    <row r="330" customFormat="1" ht="24.75" customHeight="1" x14ac:dyDescent="0.25"/>
    <row r="331" customFormat="1" ht="24.75" customHeight="1" x14ac:dyDescent="0.25"/>
    <row r="332" customFormat="1" ht="24.75" customHeight="1" x14ac:dyDescent="0.25"/>
    <row r="333" customFormat="1" ht="24.75" customHeight="1" x14ac:dyDescent="0.25"/>
    <row r="334" customFormat="1" ht="24.75" customHeight="1" x14ac:dyDescent="0.25"/>
    <row r="335" customFormat="1" ht="24.75" customHeight="1" x14ac:dyDescent="0.25"/>
    <row r="336" customFormat="1" ht="24.75" customHeight="1" x14ac:dyDescent="0.25"/>
    <row r="337" customFormat="1" ht="24.75" customHeight="1" x14ac:dyDescent="0.25"/>
    <row r="338" customFormat="1" ht="24.75" customHeight="1" x14ac:dyDescent="0.25"/>
    <row r="339" customFormat="1" ht="24.75" customHeight="1" x14ac:dyDescent="0.25"/>
    <row r="340" customFormat="1" ht="24.75" customHeight="1" x14ac:dyDescent="0.25"/>
    <row r="341" customFormat="1" ht="24.75" customHeight="1" x14ac:dyDescent="0.25"/>
    <row r="342" customFormat="1" ht="24.75" customHeight="1" x14ac:dyDescent="0.25"/>
    <row r="343" customFormat="1" ht="24.75" customHeight="1" x14ac:dyDescent="0.25"/>
    <row r="344" customFormat="1" ht="24.75" customHeight="1" x14ac:dyDescent="0.25"/>
    <row r="345" customFormat="1" ht="24.75" customHeight="1" x14ac:dyDescent="0.25"/>
    <row r="346" customFormat="1" ht="24.75" customHeight="1" x14ac:dyDescent="0.25"/>
    <row r="347" customFormat="1" ht="24.75" customHeight="1" x14ac:dyDescent="0.25"/>
    <row r="348" customFormat="1" ht="24.75" customHeight="1" x14ac:dyDescent="0.25"/>
    <row r="349" customFormat="1" ht="24.75" customHeight="1" x14ac:dyDescent="0.25"/>
    <row r="350" customFormat="1" ht="24.75" customHeight="1" x14ac:dyDescent="0.25"/>
    <row r="351" customFormat="1" ht="24.75" customHeight="1" x14ac:dyDescent="0.25"/>
    <row r="352" customFormat="1" ht="24.75" customHeight="1" x14ac:dyDescent="0.25"/>
    <row r="353" customFormat="1" ht="24.75" customHeight="1" x14ac:dyDescent="0.25"/>
    <row r="354" customFormat="1" ht="24.75" customHeight="1" x14ac:dyDescent="0.25"/>
    <row r="355" customFormat="1" ht="24.75" customHeight="1" x14ac:dyDescent="0.25"/>
    <row r="356" customFormat="1" ht="24.75" customHeight="1" x14ac:dyDescent="0.25"/>
    <row r="357" customFormat="1" ht="24.75" customHeight="1" x14ac:dyDescent="0.25"/>
    <row r="358" customFormat="1" ht="24.75" customHeight="1" x14ac:dyDescent="0.25"/>
    <row r="359" customFormat="1" ht="24.75" customHeight="1" x14ac:dyDescent="0.25"/>
    <row r="360" customFormat="1" ht="24.75" customHeight="1" x14ac:dyDescent="0.25"/>
    <row r="361" customFormat="1" ht="24.75" customHeight="1" x14ac:dyDescent="0.25"/>
    <row r="362" customFormat="1" ht="24.75" customHeight="1" x14ac:dyDescent="0.25"/>
    <row r="363" customFormat="1" ht="24.75" customHeight="1" x14ac:dyDescent="0.25"/>
    <row r="364" customFormat="1" ht="24.75" customHeight="1" x14ac:dyDescent="0.25"/>
    <row r="365" customFormat="1" ht="24.75" customHeight="1" x14ac:dyDescent="0.25"/>
    <row r="366" customFormat="1" ht="24.75" customHeight="1" x14ac:dyDescent="0.25"/>
    <row r="367" customFormat="1" ht="24.75" customHeight="1" x14ac:dyDescent="0.25"/>
    <row r="368" customFormat="1" ht="24.75" customHeight="1" x14ac:dyDescent="0.25"/>
    <row r="369" customFormat="1" ht="24.75" customHeight="1" x14ac:dyDescent="0.25"/>
    <row r="370" customFormat="1" ht="24.75" customHeight="1" x14ac:dyDescent="0.25"/>
    <row r="371" customFormat="1" ht="24.75" customHeight="1" x14ac:dyDescent="0.25"/>
    <row r="372" customFormat="1" ht="24.75" customHeight="1" x14ac:dyDescent="0.25"/>
    <row r="373" customFormat="1" ht="24.75" customHeight="1" x14ac:dyDescent="0.25"/>
    <row r="374" customFormat="1" ht="24.75" customHeight="1" x14ac:dyDescent="0.25"/>
    <row r="375" customFormat="1" ht="24.75" customHeight="1" x14ac:dyDescent="0.25"/>
    <row r="376" customFormat="1" ht="24.75" customHeight="1" x14ac:dyDescent="0.25"/>
    <row r="377" customFormat="1" ht="24.75" customHeight="1" x14ac:dyDescent="0.25"/>
    <row r="378" customFormat="1" ht="24.75" customHeight="1" x14ac:dyDescent="0.25"/>
    <row r="379" customFormat="1" ht="24.75" customHeight="1" x14ac:dyDescent="0.25"/>
    <row r="380" customFormat="1" ht="24.75" customHeight="1" x14ac:dyDescent="0.25"/>
    <row r="381" customFormat="1" ht="24.75" customHeight="1" x14ac:dyDescent="0.25"/>
    <row r="382" customFormat="1" ht="24.75" customHeight="1" x14ac:dyDescent="0.25"/>
    <row r="383" customFormat="1" ht="24.75" customHeight="1" x14ac:dyDescent="0.25"/>
    <row r="384" customFormat="1" ht="24.75" customHeight="1" x14ac:dyDescent="0.25"/>
    <row r="385" customFormat="1" ht="24.75" customHeight="1" x14ac:dyDescent="0.25"/>
    <row r="386" customFormat="1" ht="24.75" customHeight="1" x14ac:dyDescent="0.25"/>
    <row r="387" customFormat="1" ht="24.75" customHeight="1" x14ac:dyDescent="0.25"/>
    <row r="388" customFormat="1" ht="24.75" customHeight="1" x14ac:dyDescent="0.25"/>
    <row r="389" customFormat="1" ht="24.75" customHeight="1" x14ac:dyDescent="0.25"/>
    <row r="390" customFormat="1" ht="24.75" customHeight="1" x14ac:dyDescent="0.25"/>
    <row r="391" customFormat="1" ht="24.75" customHeight="1" x14ac:dyDescent="0.25"/>
    <row r="392" customFormat="1" ht="24.75" customHeight="1" x14ac:dyDescent="0.25"/>
    <row r="393" customFormat="1" ht="24.75" customHeight="1" x14ac:dyDescent="0.25"/>
    <row r="394" customFormat="1" ht="24.75" customHeight="1" x14ac:dyDescent="0.25"/>
    <row r="395" customFormat="1" ht="24.75" customHeight="1" x14ac:dyDescent="0.25"/>
    <row r="396" customFormat="1" ht="24.75" customHeight="1" x14ac:dyDescent="0.25"/>
    <row r="397" customFormat="1" ht="24.75" customHeight="1" x14ac:dyDescent="0.25"/>
    <row r="398" customFormat="1" ht="24.75" customHeight="1" x14ac:dyDescent="0.25"/>
    <row r="399" customFormat="1" ht="24.75" customHeight="1" x14ac:dyDescent="0.25"/>
    <row r="400" customFormat="1" ht="24.75" customHeight="1" x14ac:dyDescent="0.25"/>
    <row r="401" customFormat="1" ht="24.75" customHeight="1" x14ac:dyDescent="0.25"/>
    <row r="402" customFormat="1" ht="24.75" customHeight="1" x14ac:dyDescent="0.25"/>
    <row r="403" customFormat="1" ht="24.75" customHeight="1" x14ac:dyDescent="0.25"/>
    <row r="404" customFormat="1" ht="24.75" customHeight="1" x14ac:dyDescent="0.25"/>
    <row r="405" customFormat="1" ht="24.75" customHeight="1" x14ac:dyDescent="0.25"/>
    <row r="406" customFormat="1" ht="24.75" customHeight="1" x14ac:dyDescent="0.25"/>
    <row r="407" customFormat="1" ht="24.75" customHeight="1" x14ac:dyDescent="0.25"/>
    <row r="408" customFormat="1" ht="24.75" customHeight="1" x14ac:dyDescent="0.25"/>
    <row r="409" customFormat="1" ht="24.75" customHeight="1" x14ac:dyDescent="0.25"/>
    <row r="410" customFormat="1" ht="24.75" customHeight="1" x14ac:dyDescent="0.25"/>
    <row r="411" customFormat="1" ht="24.75" customHeight="1" x14ac:dyDescent="0.25"/>
    <row r="412" customFormat="1" ht="24.75" customHeight="1" x14ac:dyDescent="0.25"/>
    <row r="413" customFormat="1" ht="24.75" customHeight="1" x14ac:dyDescent="0.25"/>
    <row r="414" customFormat="1" ht="24.75" customHeight="1" x14ac:dyDescent="0.25"/>
    <row r="415" customFormat="1" ht="24.75" customHeight="1" x14ac:dyDescent="0.25"/>
    <row r="416" customFormat="1" ht="24.75" customHeight="1" x14ac:dyDescent="0.25"/>
    <row r="417" customFormat="1" ht="24.75" customHeight="1" x14ac:dyDescent="0.25"/>
    <row r="418" customFormat="1" ht="24.75" customHeight="1" x14ac:dyDescent="0.25"/>
    <row r="419" customFormat="1" ht="24.75" customHeight="1" x14ac:dyDescent="0.25"/>
    <row r="420" customFormat="1" ht="24.75" customHeight="1" x14ac:dyDescent="0.25"/>
    <row r="421" customFormat="1" ht="24.75" customHeight="1" x14ac:dyDescent="0.25"/>
    <row r="422" customFormat="1" ht="24.75" customHeight="1" x14ac:dyDescent="0.25"/>
    <row r="423" customFormat="1" ht="24.75" customHeight="1" x14ac:dyDescent="0.25"/>
    <row r="424" customFormat="1" ht="24.75" customHeight="1" x14ac:dyDescent="0.25"/>
    <row r="425" customFormat="1" ht="24.75" customHeight="1" x14ac:dyDescent="0.25"/>
    <row r="426" customFormat="1" ht="24.75" customHeight="1" x14ac:dyDescent="0.25"/>
    <row r="427" customFormat="1" ht="24.75" customHeight="1" x14ac:dyDescent="0.25"/>
    <row r="428" customFormat="1" ht="24.75" customHeight="1" x14ac:dyDescent="0.25"/>
    <row r="429" customFormat="1" ht="24.75" customHeight="1" x14ac:dyDescent="0.25"/>
    <row r="430" customFormat="1" ht="24.75" customHeight="1" x14ac:dyDescent="0.25"/>
    <row r="431" customFormat="1" ht="24.75" customHeight="1" x14ac:dyDescent="0.25"/>
    <row r="432" customFormat="1" ht="24.75" customHeight="1" x14ac:dyDescent="0.25"/>
    <row r="433" customFormat="1" ht="24.75" customHeight="1" x14ac:dyDescent="0.25"/>
    <row r="434" customFormat="1" ht="24.75" customHeight="1" x14ac:dyDescent="0.25"/>
    <row r="435" customFormat="1" ht="24.75" customHeight="1" x14ac:dyDescent="0.25"/>
    <row r="436" customFormat="1" ht="24.75" customHeight="1" x14ac:dyDescent="0.25"/>
    <row r="437" customFormat="1" ht="24.75" customHeight="1" x14ac:dyDescent="0.25"/>
    <row r="438" customFormat="1" ht="24.75" customHeight="1" x14ac:dyDescent="0.25"/>
    <row r="439" customFormat="1" ht="24.75" customHeight="1" x14ac:dyDescent="0.25"/>
    <row r="440" customFormat="1" ht="24.75" customHeight="1" x14ac:dyDescent="0.25"/>
    <row r="441" customFormat="1" ht="24.75" customHeight="1" x14ac:dyDescent="0.25"/>
    <row r="442" customFormat="1" ht="24.75" customHeight="1" x14ac:dyDescent="0.25"/>
    <row r="443" customFormat="1" ht="24.75" customHeight="1" x14ac:dyDescent="0.25"/>
    <row r="444" customFormat="1" ht="24.75" customHeight="1" x14ac:dyDescent="0.25"/>
    <row r="445" customFormat="1" ht="24.75" customHeight="1" x14ac:dyDescent="0.25"/>
    <row r="446" customFormat="1" ht="24.75" customHeight="1" x14ac:dyDescent="0.25"/>
    <row r="447" customFormat="1" ht="24.75" customHeight="1" x14ac:dyDescent="0.25"/>
    <row r="448" customFormat="1" ht="24.75" customHeight="1" x14ac:dyDescent="0.25"/>
    <row r="449" customFormat="1" ht="24.75" customHeight="1" x14ac:dyDescent="0.25"/>
    <row r="450" customFormat="1" ht="24.75" customHeight="1" x14ac:dyDescent="0.25"/>
    <row r="451" customFormat="1" ht="24.75" customHeight="1" x14ac:dyDescent="0.25"/>
    <row r="452" customFormat="1" ht="24.75" customHeight="1" x14ac:dyDescent="0.25"/>
    <row r="453" customFormat="1" ht="24.75" customHeight="1" x14ac:dyDescent="0.25"/>
    <row r="454" customFormat="1" ht="24.75" customHeight="1" x14ac:dyDescent="0.25"/>
    <row r="455" customFormat="1" ht="24.75" customHeight="1" x14ac:dyDescent="0.25"/>
    <row r="456" customFormat="1" ht="24.75" customHeight="1" x14ac:dyDescent="0.25"/>
    <row r="457" customFormat="1" ht="24.75" customHeight="1" x14ac:dyDescent="0.25"/>
    <row r="458" customFormat="1" ht="24.75" customHeight="1" x14ac:dyDescent="0.25"/>
    <row r="459" customFormat="1" ht="24.75" customHeight="1" x14ac:dyDescent="0.25"/>
    <row r="460" customFormat="1" ht="24.75" customHeight="1" x14ac:dyDescent="0.25"/>
    <row r="461" customFormat="1" ht="24.75" customHeight="1" x14ac:dyDescent="0.25"/>
    <row r="462" customFormat="1" ht="24.75" customHeight="1" x14ac:dyDescent="0.25"/>
    <row r="463" customFormat="1" ht="24.75" customHeight="1" x14ac:dyDescent="0.25"/>
    <row r="464" customFormat="1" ht="24.75" customHeight="1" x14ac:dyDescent="0.25"/>
    <row r="465" customFormat="1" ht="24.75" customHeight="1" x14ac:dyDescent="0.25"/>
    <row r="466" customFormat="1" ht="24.75" customHeight="1" x14ac:dyDescent="0.25"/>
    <row r="467" customFormat="1" ht="24.75" customHeight="1" x14ac:dyDescent="0.25"/>
    <row r="468" customFormat="1" ht="24.75" customHeight="1" x14ac:dyDescent="0.25"/>
    <row r="469" customFormat="1" ht="24.75" customHeight="1" x14ac:dyDescent="0.25"/>
    <row r="470" customFormat="1" ht="24.75" customHeight="1" x14ac:dyDescent="0.25"/>
    <row r="471" customFormat="1" ht="24.75" customHeight="1" x14ac:dyDescent="0.25"/>
    <row r="472" customFormat="1" ht="24.75" customHeight="1" x14ac:dyDescent="0.25"/>
    <row r="473" customFormat="1" ht="24.75" customHeight="1" x14ac:dyDescent="0.25"/>
    <row r="474" customFormat="1" ht="24.75" customHeight="1" x14ac:dyDescent="0.25"/>
    <row r="475" customFormat="1" ht="24.75" customHeight="1" x14ac:dyDescent="0.25"/>
    <row r="476" customFormat="1" ht="24.75" customHeight="1" x14ac:dyDescent="0.25"/>
    <row r="477" customFormat="1" ht="24.75" customHeight="1" x14ac:dyDescent="0.25"/>
    <row r="478" customFormat="1" ht="24.75" customHeight="1" x14ac:dyDescent="0.25"/>
    <row r="479" customFormat="1" ht="24.75" customHeight="1" x14ac:dyDescent="0.25"/>
    <row r="480" customFormat="1" ht="24.75" customHeight="1" x14ac:dyDescent="0.25"/>
    <row r="481" customFormat="1" ht="24.75" customHeight="1" x14ac:dyDescent="0.25"/>
    <row r="482" customFormat="1" ht="24.75" customHeight="1" x14ac:dyDescent="0.25"/>
    <row r="483" customFormat="1" ht="24.75" customHeight="1" x14ac:dyDescent="0.25"/>
    <row r="484" customFormat="1" ht="24.75" customHeight="1" x14ac:dyDescent="0.25"/>
    <row r="485" customFormat="1" ht="24.75" customHeight="1" x14ac:dyDescent="0.25"/>
    <row r="486" customFormat="1" ht="24.75" customHeight="1" x14ac:dyDescent="0.25"/>
    <row r="487" customFormat="1" ht="24.75" customHeight="1" x14ac:dyDescent="0.25"/>
    <row r="488" customFormat="1" ht="24.75" customHeight="1" x14ac:dyDescent="0.25"/>
    <row r="489" customFormat="1" ht="24.75" customHeight="1" x14ac:dyDescent="0.25"/>
    <row r="490" customFormat="1" ht="24.75" customHeight="1" x14ac:dyDescent="0.25"/>
    <row r="491" customFormat="1" ht="24.75" customHeight="1" x14ac:dyDescent="0.25"/>
    <row r="492" customFormat="1" ht="24.75" customHeight="1" x14ac:dyDescent="0.25"/>
    <row r="493" customFormat="1" ht="24.75" customHeight="1" x14ac:dyDescent="0.25"/>
    <row r="494" customFormat="1" ht="24.75" customHeight="1" x14ac:dyDescent="0.25"/>
    <row r="495" customFormat="1" ht="24.75" customHeight="1" x14ac:dyDescent="0.25"/>
    <row r="496" customFormat="1" ht="24.75" customHeight="1" x14ac:dyDescent="0.25"/>
    <row r="497" customFormat="1" ht="24.75" customHeight="1" x14ac:dyDescent="0.25"/>
    <row r="498" customFormat="1" ht="24.75" customHeight="1" x14ac:dyDescent="0.25"/>
    <row r="499" customFormat="1" ht="24.75" customHeight="1" x14ac:dyDescent="0.25"/>
    <row r="500" customFormat="1" ht="24.75" customHeight="1" x14ac:dyDescent="0.25"/>
    <row r="501" customFormat="1" ht="24.75" customHeight="1" x14ac:dyDescent="0.25"/>
    <row r="502" customFormat="1" ht="24.75" customHeight="1" x14ac:dyDescent="0.25"/>
    <row r="503" customFormat="1" ht="24.75" customHeight="1" x14ac:dyDescent="0.25"/>
    <row r="504" customFormat="1" ht="24.75" customHeight="1" x14ac:dyDescent="0.25"/>
    <row r="505" customFormat="1" ht="24.75" customHeight="1" x14ac:dyDescent="0.25"/>
    <row r="506" customFormat="1" ht="24.75" customHeight="1" x14ac:dyDescent="0.25"/>
    <row r="507" customFormat="1" ht="24.75" customHeight="1" x14ac:dyDescent="0.25"/>
    <row r="508" customFormat="1" ht="24.75" customHeight="1" x14ac:dyDescent="0.25"/>
    <row r="509" customFormat="1" ht="24.75" customHeight="1" x14ac:dyDescent="0.25"/>
    <row r="510" customFormat="1" ht="24.75" customHeight="1" x14ac:dyDescent="0.25"/>
    <row r="511" customFormat="1" ht="24.75" customHeight="1" x14ac:dyDescent="0.25"/>
    <row r="512" customFormat="1" ht="24.75" customHeight="1" x14ac:dyDescent="0.25"/>
    <row r="513" customFormat="1" ht="24.75" customHeight="1" x14ac:dyDescent="0.25"/>
    <row r="514" customFormat="1" ht="24.75" customHeight="1" x14ac:dyDescent="0.25"/>
    <row r="515" customFormat="1" ht="24.75" customHeight="1" x14ac:dyDescent="0.25"/>
    <row r="516" customFormat="1" ht="24.75" customHeight="1" x14ac:dyDescent="0.25"/>
    <row r="517" customFormat="1" ht="24.75" customHeight="1" x14ac:dyDescent="0.25"/>
    <row r="518" customFormat="1" ht="24.75" customHeight="1" x14ac:dyDescent="0.25"/>
    <row r="519" customFormat="1" ht="24.75" customHeight="1" x14ac:dyDescent="0.25"/>
    <row r="520" customFormat="1" ht="24.75" customHeight="1" x14ac:dyDescent="0.25"/>
    <row r="521" customFormat="1" ht="24.75" customHeight="1" x14ac:dyDescent="0.25"/>
    <row r="522" customFormat="1" ht="24.75" customHeight="1" x14ac:dyDescent="0.25"/>
    <row r="523" customFormat="1" ht="24.75" customHeight="1" x14ac:dyDescent="0.25"/>
    <row r="524" customFormat="1" ht="24.75" customHeight="1" x14ac:dyDescent="0.25"/>
    <row r="525" customFormat="1" ht="24.75" customHeight="1" x14ac:dyDescent="0.25"/>
    <row r="526" customFormat="1" ht="24.75" customHeight="1" x14ac:dyDescent="0.25"/>
    <row r="527" customFormat="1" ht="24.75" customHeight="1" x14ac:dyDescent="0.25"/>
    <row r="528" customFormat="1" ht="24.75" customHeight="1" x14ac:dyDescent="0.25"/>
    <row r="529" customFormat="1" ht="24.75" customHeight="1" x14ac:dyDescent="0.25"/>
    <row r="530" customFormat="1" ht="24.75" customHeight="1" x14ac:dyDescent="0.25"/>
    <row r="531" customFormat="1" ht="24.75" customHeight="1" x14ac:dyDescent="0.25"/>
    <row r="532" customFormat="1" ht="24.75" customHeight="1" x14ac:dyDescent="0.25"/>
    <row r="533" customFormat="1" ht="24.75" customHeight="1" x14ac:dyDescent="0.25"/>
    <row r="534" customFormat="1" ht="24.75" customHeight="1" x14ac:dyDescent="0.25"/>
    <row r="535" customFormat="1" ht="24.75" customHeight="1" x14ac:dyDescent="0.25"/>
    <row r="536" customFormat="1" ht="24.75" customHeight="1" x14ac:dyDescent="0.25"/>
    <row r="537" customFormat="1" ht="24.75" customHeight="1" x14ac:dyDescent="0.25"/>
    <row r="538" customFormat="1" ht="24.75" customHeight="1" x14ac:dyDescent="0.25"/>
    <row r="539" customFormat="1" ht="24.75" customHeight="1" x14ac:dyDescent="0.25"/>
    <row r="540" customFormat="1" ht="24.75" customHeight="1" x14ac:dyDescent="0.25"/>
    <row r="541" customFormat="1" ht="24.75" customHeight="1" x14ac:dyDescent="0.25"/>
    <row r="542" customFormat="1" ht="24.75" customHeight="1" x14ac:dyDescent="0.25"/>
    <row r="543" customFormat="1" ht="24.75" customHeight="1" x14ac:dyDescent="0.25"/>
    <row r="544" customFormat="1" ht="24.75" customHeight="1" x14ac:dyDescent="0.25"/>
    <row r="545" customFormat="1" ht="24.75" customHeight="1" x14ac:dyDescent="0.25"/>
    <row r="546" customFormat="1" ht="24.75" customHeight="1" x14ac:dyDescent="0.25"/>
    <row r="547" customFormat="1" ht="24.75" customHeight="1" x14ac:dyDescent="0.25"/>
    <row r="548" customFormat="1" ht="24.75" customHeight="1" x14ac:dyDescent="0.25"/>
    <row r="549" customFormat="1" ht="24.75" customHeight="1" x14ac:dyDescent="0.25"/>
    <row r="550" customFormat="1" ht="24.75" customHeight="1" x14ac:dyDescent="0.25"/>
    <row r="551" customFormat="1" ht="24.75" customHeight="1" x14ac:dyDescent="0.25"/>
    <row r="552" customFormat="1" ht="24.75" customHeight="1" x14ac:dyDescent="0.25"/>
    <row r="553" customFormat="1" ht="24.75" customHeight="1" x14ac:dyDescent="0.25"/>
    <row r="554" customFormat="1" ht="24.75" customHeight="1" x14ac:dyDescent="0.25"/>
    <row r="555" customFormat="1" ht="24.75" customHeight="1" x14ac:dyDescent="0.25"/>
    <row r="556" customFormat="1" ht="24.75" customHeight="1" x14ac:dyDescent="0.25"/>
    <row r="557" customFormat="1" ht="24.75" customHeight="1" x14ac:dyDescent="0.25"/>
    <row r="558" customFormat="1" ht="24.75" customHeight="1" x14ac:dyDescent="0.25"/>
    <row r="559" customFormat="1" ht="24.75" customHeight="1" x14ac:dyDescent="0.25"/>
    <row r="560" customFormat="1" ht="24.75" customHeight="1" x14ac:dyDescent="0.25"/>
    <row r="561" customFormat="1" ht="24.75" customHeight="1" x14ac:dyDescent="0.25"/>
    <row r="562" customFormat="1" ht="24.75" customHeight="1" x14ac:dyDescent="0.25"/>
    <row r="563" customFormat="1" ht="24.75" customHeight="1" x14ac:dyDescent="0.25"/>
    <row r="564" customFormat="1" ht="24.75" customHeight="1" x14ac:dyDescent="0.25"/>
    <row r="565" customFormat="1" ht="24.75" customHeight="1" x14ac:dyDescent="0.25"/>
    <row r="566" customFormat="1" ht="24.75" customHeight="1" x14ac:dyDescent="0.25"/>
    <row r="567" customFormat="1" ht="24.75" customHeight="1" x14ac:dyDescent="0.25"/>
    <row r="568" customFormat="1" ht="24.75" customHeight="1" x14ac:dyDescent="0.25"/>
    <row r="569" customFormat="1" ht="24.75" customHeight="1" x14ac:dyDescent="0.25"/>
    <row r="570" customFormat="1" ht="24.75" customHeight="1" x14ac:dyDescent="0.25"/>
    <row r="571" customFormat="1" ht="24.75" customHeight="1" x14ac:dyDescent="0.25"/>
    <row r="572" customFormat="1" ht="24.75" customHeight="1" x14ac:dyDescent="0.25"/>
    <row r="573" customFormat="1" ht="24.75" customHeight="1" x14ac:dyDescent="0.25"/>
    <row r="574" customFormat="1" ht="24.75" customHeight="1" x14ac:dyDescent="0.25"/>
    <row r="575" customFormat="1" ht="24.75" customHeight="1" x14ac:dyDescent="0.25"/>
    <row r="576" customFormat="1" ht="24.75" customHeight="1" x14ac:dyDescent="0.25"/>
    <row r="577" customFormat="1" ht="24.75" customHeight="1" x14ac:dyDescent="0.25"/>
    <row r="578" customFormat="1" ht="24.75" customHeight="1" x14ac:dyDescent="0.25"/>
    <row r="579" customFormat="1" ht="24.75" customHeight="1" x14ac:dyDescent="0.25"/>
    <row r="580" customFormat="1" ht="24.75" customHeight="1" x14ac:dyDescent="0.25"/>
    <row r="581" customFormat="1" ht="24.75" customHeight="1" x14ac:dyDescent="0.25"/>
    <row r="582" customFormat="1" ht="24.75" customHeight="1" x14ac:dyDescent="0.25"/>
    <row r="583" customFormat="1" ht="24.75" customHeight="1" x14ac:dyDescent="0.25"/>
    <row r="584" customFormat="1" ht="24.75" customHeight="1" x14ac:dyDescent="0.25"/>
    <row r="585" customFormat="1" ht="24.75" customHeight="1" x14ac:dyDescent="0.25"/>
    <row r="586" customFormat="1" ht="24.75" customHeight="1" x14ac:dyDescent="0.25"/>
    <row r="587" customFormat="1" ht="24.75" customHeight="1" x14ac:dyDescent="0.25"/>
    <row r="588" customFormat="1" ht="24.75" customHeight="1" x14ac:dyDescent="0.25"/>
    <row r="589" customFormat="1" ht="24.75" customHeight="1" x14ac:dyDescent="0.25"/>
    <row r="590" customFormat="1" ht="24.75" customHeight="1" x14ac:dyDescent="0.25"/>
    <row r="591" customFormat="1" ht="24.75" customHeight="1" x14ac:dyDescent="0.25"/>
    <row r="592" customFormat="1" ht="24.75" customHeight="1" x14ac:dyDescent="0.25"/>
    <row r="593" customFormat="1" ht="24.75" customHeight="1" x14ac:dyDescent="0.25"/>
    <row r="594" customFormat="1" ht="24.75" customHeight="1" x14ac:dyDescent="0.25"/>
    <row r="595" customFormat="1" ht="24.75" customHeight="1" x14ac:dyDescent="0.25"/>
    <row r="596" customFormat="1" ht="24.75" customHeight="1" x14ac:dyDescent="0.25"/>
    <row r="597" customFormat="1" ht="24.75" customHeight="1" x14ac:dyDescent="0.25"/>
    <row r="598" customFormat="1" ht="24.75" customHeight="1" x14ac:dyDescent="0.25"/>
    <row r="599" customFormat="1" ht="24.75" customHeight="1" x14ac:dyDescent="0.25"/>
    <row r="600" customFormat="1" ht="24.75" customHeight="1" x14ac:dyDescent="0.25"/>
    <row r="601" customFormat="1" ht="24.75" customHeight="1" x14ac:dyDescent="0.25"/>
    <row r="602" customFormat="1" ht="24.75" customHeight="1" x14ac:dyDescent="0.25"/>
    <row r="603" customFormat="1" ht="24.75" customHeight="1" x14ac:dyDescent="0.25"/>
    <row r="604" customFormat="1" ht="24.75" customHeight="1" x14ac:dyDescent="0.25"/>
    <row r="605" customFormat="1" ht="24.75" customHeight="1" x14ac:dyDescent="0.25"/>
    <row r="606" customFormat="1" ht="24.75" customHeight="1" x14ac:dyDescent="0.25"/>
    <row r="607" customFormat="1" ht="24.75" customHeight="1" x14ac:dyDescent="0.25"/>
    <row r="608" customFormat="1" ht="24.75" customHeight="1" x14ac:dyDescent="0.25"/>
    <row r="609" customFormat="1" ht="24.75" customHeight="1" x14ac:dyDescent="0.25"/>
    <row r="610" customFormat="1" ht="24.75" customHeight="1" x14ac:dyDescent="0.25"/>
    <row r="611" customFormat="1" ht="24.75" customHeight="1" x14ac:dyDescent="0.25"/>
    <row r="612" customFormat="1" ht="24.75" customHeight="1" x14ac:dyDescent="0.25"/>
    <row r="613" customFormat="1" ht="24.75" customHeight="1" x14ac:dyDescent="0.25"/>
    <row r="614" customFormat="1" ht="24.75" customHeight="1" x14ac:dyDescent="0.25"/>
    <row r="615" customFormat="1" ht="24.75" customHeight="1"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8" tint="0.39997558519241921"/>
  </sheetPr>
  <dimension ref="A1"/>
  <sheetViews>
    <sheetView showGridLines="0" zoomScale="130" zoomScaleNormal="130" workbookViewId="0">
      <pane ySplit="1" topLeftCell="A2" activePane="bottomLeft" state="frozen"/>
      <selection pane="bottomLeft" sqref="A1:XFD1048576"/>
    </sheetView>
  </sheetViews>
  <sheetFormatPr defaultRowHeight="15" x14ac:dyDescent="0.25"/>
  <cols>
    <col min="1" max="1" width="12.42578125" bestFit="1"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8" tint="0.39997558519241921"/>
  </sheetPr>
  <dimension ref="A1"/>
  <sheetViews>
    <sheetView showGridLines="0" zoomScaleNormal="100" workbookViewId="0">
      <pane ySplit="1" topLeftCell="A2" activePane="bottomLeft" state="frozen"/>
      <selection pane="bottomLeft" activeCell="K17" sqref="K17"/>
    </sheetView>
  </sheetViews>
  <sheetFormatPr defaultColWidth="14.140625" defaultRowHeight="26.25" customHeight="1"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sheetPr>
  <dimension ref="A1:A11"/>
  <sheetViews>
    <sheetView workbookViewId="0"/>
  </sheetViews>
  <sheetFormatPr defaultRowHeight="15" x14ac:dyDescent="0.25"/>
  <cols>
    <col min="1" max="1" width="37.28515625" bestFit="1" customWidth="1"/>
  </cols>
  <sheetData>
    <row r="1" spans="1:1" x14ac:dyDescent="0.25">
      <c r="A1" t="s">
        <v>205</v>
      </c>
    </row>
    <row r="2" spans="1:1" x14ac:dyDescent="0.25">
      <c r="A2" t="s">
        <v>266</v>
      </c>
    </row>
    <row r="3" spans="1:1" s="1" customFormat="1" x14ac:dyDescent="0.25">
      <c r="A3" s="1" t="s">
        <v>284</v>
      </c>
    </row>
    <row r="4" spans="1:1" x14ac:dyDescent="0.25">
      <c r="A4" t="s">
        <v>267</v>
      </c>
    </row>
    <row r="5" spans="1:1" x14ac:dyDescent="0.25">
      <c r="A5" t="s">
        <v>302</v>
      </c>
    </row>
    <row r="6" spans="1:1" x14ac:dyDescent="0.25">
      <c r="A6" t="s">
        <v>268</v>
      </c>
    </row>
    <row r="7" spans="1:1" x14ac:dyDescent="0.25">
      <c r="A7" s="1" t="s">
        <v>270</v>
      </c>
    </row>
    <row r="8" spans="1:1" s="1" customFormat="1" x14ac:dyDescent="0.25">
      <c r="A8" s="1" t="s">
        <v>264</v>
      </c>
    </row>
    <row r="9" spans="1:1" x14ac:dyDescent="0.25">
      <c r="A9" t="s">
        <v>217</v>
      </c>
    </row>
    <row r="10" spans="1:1" x14ac:dyDescent="0.25">
      <c r="A10" t="s">
        <v>269</v>
      </c>
    </row>
    <row r="11" spans="1:1" x14ac:dyDescent="0.25">
      <c r="A11" t="s">
        <v>271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3:B99"/>
  <sheetViews>
    <sheetView workbookViewId="0">
      <selection activeCell="R175" sqref="R175"/>
    </sheetView>
  </sheetViews>
  <sheetFormatPr defaultRowHeight="15" x14ac:dyDescent="0.25"/>
  <cols>
    <col min="1" max="1" width="13.140625" bestFit="1" customWidth="1"/>
    <col min="2" max="2" width="19.140625" bestFit="1" customWidth="1"/>
    <col min="3" max="3" width="22.5703125" bestFit="1" customWidth="1"/>
  </cols>
  <sheetData>
    <row r="3" spans="1:2" x14ac:dyDescent="0.25">
      <c r="A3" s="27" t="s">
        <v>60</v>
      </c>
      <c r="B3" t="s">
        <v>207</v>
      </c>
    </row>
    <row r="4" spans="1:2" x14ac:dyDescent="0.25">
      <c r="A4" s="15">
        <v>9726394</v>
      </c>
      <c r="B4" s="28">
        <v>1</v>
      </c>
    </row>
    <row r="5" spans="1:2" x14ac:dyDescent="0.25">
      <c r="A5" s="15">
        <v>9743244</v>
      </c>
      <c r="B5" s="28">
        <v>1</v>
      </c>
    </row>
    <row r="6" spans="1:2" x14ac:dyDescent="0.25">
      <c r="A6" s="15">
        <v>9743245</v>
      </c>
      <c r="B6" s="28">
        <v>1</v>
      </c>
    </row>
    <row r="7" spans="1:2" x14ac:dyDescent="0.25">
      <c r="A7" s="15">
        <v>9743246</v>
      </c>
      <c r="B7" s="28">
        <v>1</v>
      </c>
    </row>
    <row r="8" spans="1:2" x14ac:dyDescent="0.25">
      <c r="A8" s="15">
        <v>9745212</v>
      </c>
      <c r="B8" s="28">
        <v>1</v>
      </c>
    </row>
    <row r="9" spans="1:2" x14ac:dyDescent="0.25">
      <c r="A9" s="15">
        <v>9745878</v>
      </c>
      <c r="B9" s="28">
        <v>1</v>
      </c>
    </row>
    <row r="10" spans="1:2" x14ac:dyDescent="0.25">
      <c r="A10" s="15">
        <v>9748839</v>
      </c>
      <c r="B10" s="28">
        <v>1</v>
      </c>
    </row>
    <row r="11" spans="1:2" x14ac:dyDescent="0.25">
      <c r="A11" s="15">
        <v>9749482</v>
      </c>
      <c r="B11" s="28">
        <v>1</v>
      </c>
    </row>
    <row r="12" spans="1:2" x14ac:dyDescent="0.25">
      <c r="A12" s="15">
        <v>9749787</v>
      </c>
      <c r="B12" s="28">
        <v>1</v>
      </c>
    </row>
    <row r="13" spans="1:2" x14ac:dyDescent="0.25">
      <c r="A13" s="15">
        <v>9749808</v>
      </c>
      <c r="B13" s="28">
        <v>2</v>
      </c>
    </row>
    <row r="14" spans="1:2" x14ac:dyDescent="0.25">
      <c r="A14" s="15">
        <v>9750306</v>
      </c>
      <c r="B14" s="28">
        <v>4</v>
      </c>
    </row>
    <row r="15" spans="1:2" x14ac:dyDescent="0.25">
      <c r="A15" s="15">
        <v>9750864</v>
      </c>
      <c r="B15" s="28">
        <v>1</v>
      </c>
    </row>
    <row r="16" spans="1:2" x14ac:dyDescent="0.25">
      <c r="A16" s="15">
        <v>9750889</v>
      </c>
      <c r="B16" s="28">
        <v>2</v>
      </c>
    </row>
    <row r="17" spans="1:2" x14ac:dyDescent="0.25">
      <c r="A17" s="15">
        <v>9751008</v>
      </c>
      <c r="B17" s="28">
        <v>1</v>
      </c>
    </row>
    <row r="18" spans="1:2" x14ac:dyDescent="0.25">
      <c r="A18" s="15">
        <v>9751017</v>
      </c>
      <c r="B18" s="28">
        <v>8</v>
      </c>
    </row>
    <row r="19" spans="1:2" x14ac:dyDescent="0.25">
      <c r="A19" s="15">
        <v>9751131</v>
      </c>
      <c r="B19" s="28">
        <v>3</v>
      </c>
    </row>
    <row r="20" spans="1:2" x14ac:dyDescent="0.25">
      <c r="A20" s="15">
        <v>9751232</v>
      </c>
      <c r="B20" s="28">
        <v>3</v>
      </c>
    </row>
    <row r="21" spans="1:2" x14ac:dyDescent="0.25">
      <c r="A21" s="15">
        <v>9751367</v>
      </c>
      <c r="B21" s="28">
        <v>2</v>
      </c>
    </row>
    <row r="22" spans="1:2" x14ac:dyDescent="0.25">
      <c r="A22" s="15">
        <v>9751368</v>
      </c>
      <c r="B22" s="28">
        <v>1</v>
      </c>
    </row>
    <row r="23" spans="1:2" x14ac:dyDescent="0.25">
      <c r="A23" s="15">
        <v>9751369</v>
      </c>
      <c r="B23" s="28">
        <v>2</v>
      </c>
    </row>
    <row r="24" spans="1:2" x14ac:dyDescent="0.25">
      <c r="A24" s="15">
        <v>9751497</v>
      </c>
      <c r="B24" s="28">
        <v>10</v>
      </c>
    </row>
    <row r="25" spans="1:2" x14ac:dyDescent="0.25">
      <c r="A25" s="15">
        <v>9751604</v>
      </c>
      <c r="B25" s="28">
        <v>1</v>
      </c>
    </row>
    <row r="26" spans="1:2" x14ac:dyDescent="0.25">
      <c r="A26" s="15">
        <v>9751606</v>
      </c>
      <c r="B26" s="28">
        <v>1</v>
      </c>
    </row>
    <row r="27" spans="1:2" x14ac:dyDescent="0.25">
      <c r="A27" s="15">
        <v>9751607</v>
      </c>
      <c r="B27" s="28">
        <v>3</v>
      </c>
    </row>
    <row r="28" spans="1:2" x14ac:dyDescent="0.25">
      <c r="A28" s="15">
        <v>9751608</v>
      </c>
      <c r="B28" s="28">
        <v>1</v>
      </c>
    </row>
    <row r="29" spans="1:2" x14ac:dyDescent="0.25">
      <c r="A29" s="15">
        <v>9751667</v>
      </c>
      <c r="B29" s="28">
        <v>1</v>
      </c>
    </row>
    <row r="30" spans="1:2" x14ac:dyDescent="0.25">
      <c r="A30" s="15">
        <v>9751868</v>
      </c>
      <c r="B30" s="28">
        <v>11</v>
      </c>
    </row>
    <row r="31" spans="1:2" x14ac:dyDescent="0.25">
      <c r="A31" s="15">
        <v>9751869</v>
      </c>
      <c r="B31" s="28">
        <v>11</v>
      </c>
    </row>
    <row r="32" spans="1:2" x14ac:dyDescent="0.25">
      <c r="A32" s="15">
        <v>9751932</v>
      </c>
      <c r="B32" s="28">
        <v>2</v>
      </c>
    </row>
    <row r="33" spans="1:2" x14ac:dyDescent="0.25">
      <c r="A33" s="15">
        <v>9751937</v>
      </c>
      <c r="B33" s="28">
        <v>1</v>
      </c>
    </row>
    <row r="34" spans="1:2" x14ac:dyDescent="0.25">
      <c r="A34" s="15">
        <v>9751976</v>
      </c>
      <c r="B34" s="28">
        <v>1</v>
      </c>
    </row>
    <row r="35" spans="1:2" x14ac:dyDescent="0.25">
      <c r="A35" s="15">
        <v>9751981</v>
      </c>
      <c r="B35" s="28">
        <v>1</v>
      </c>
    </row>
    <row r="36" spans="1:2" x14ac:dyDescent="0.25">
      <c r="A36" s="15">
        <v>9751982</v>
      </c>
      <c r="B36" s="28">
        <v>1</v>
      </c>
    </row>
    <row r="37" spans="1:2" x14ac:dyDescent="0.25">
      <c r="A37" s="15">
        <v>9752135</v>
      </c>
      <c r="B37" s="28">
        <v>8</v>
      </c>
    </row>
    <row r="38" spans="1:2" x14ac:dyDescent="0.25">
      <c r="A38" s="15">
        <v>9752140</v>
      </c>
      <c r="B38" s="28">
        <v>2</v>
      </c>
    </row>
    <row r="39" spans="1:2" x14ac:dyDescent="0.25">
      <c r="A39" s="15">
        <v>9752141</v>
      </c>
      <c r="B39" s="28">
        <v>1</v>
      </c>
    </row>
    <row r="40" spans="1:2" x14ac:dyDescent="0.25">
      <c r="A40" s="15">
        <v>9752241</v>
      </c>
      <c r="B40" s="28">
        <v>2</v>
      </c>
    </row>
    <row r="41" spans="1:2" x14ac:dyDescent="0.25">
      <c r="A41" s="15">
        <v>9752358</v>
      </c>
      <c r="B41" s="28">
        <v>4</v>
      </c>
    </row>
    <row r="42" spans="1:2" x14ac:dyDescent="0.25">
      <c r="A42" s="15">
        <v>9752369</v>
      </c>
      <c r="B42" s="28">
        <v>12</v>
      </c>
    </row>
    <row r="43" spans="1:2" x14ac:dyDescent="0.25">
      <c r="A43" s="15">
        <v>9752395</v>
      </c>
      <c r="B43" s="28">
        <v>1</v>
      </c>
    </row>
    <row r="44" spans="1:2" x14ac:dyDescent="0.25">
      <c r="A44" s="15">
        <v>9752590</v>
      </c>
      <c r="B44" s="28">
        <v>1</v>
      </c>
    </row>
    <row r="45" spans="1:2" x14ac:dyDescent="0.25">
      <c r="A45" s="15">
        <v>9752597</v>
      </c>
      <c r="B45" s="28">
        <v>1</v>
      </c>
    </row>
    <row r="46" spans="1:2" x14ac:dyDescent="0.25">
      <c r="A46" s="15">
        <v>9752651</v>
      </c>
      <c r="B46" s="28">
        <v>1</v>
      </c>
    </row>
    <row r="47" spans="1:2" x14ac:dyDescent="0.25">
      <c r="A47" s="15">
        <v>9752653</v>
      </c>
      <c r="B47" s="28">
        <v>2</v>
      </c>
    </row>
    <row r="48" spans="1:2" x14ac:dyDescent="0.25">
      <c r="A48" s="15">
        <v>9752798</v>
      </c>
      <c r="B48" s="28">
        <v>1</v>
      </c>
    </row>
    <row r="49" spans="1:2" x14ac:dyDescent="0.25">
      <c r="A49" s="15">
        <v>9752799</v>
      </c>
      <c r="B49" s="28">
        <v>1</v>
      </c>
    </row>
    <row r="50" spans="1:2" x14ac:dyDescent="0.25">
      <c r="A50" s="15">
        <v>9752897</v>
      </c>
      <c r="B50" s="28">
        <v>3</v>
      </c>
    </row>
    <row r="51" spans="1:2" x14ac:dyDescent="0.25">
      <c r="A51" s="15">
        <v>9752958</v>
      </c>
      <c r="B51" s="28">
        <v>1</v>
      </c>
    </row>
    <row r="52" spans="1:2" x14ac:dyDescent="0.25">
      <c r="A52" s="15">
        <v>9752959</v>
      </c>
      <c r="B52" s="28">
        <v>1</v>
      </c>
    </row>
    <row r="53" spans="1:2" x14ac:dyDescent="0.25">
      <c r="A53" s="15">
        <v>9753005</v>
      </c>
      <c r="B53" s="28">
        <v>2</v>
      </c>
    </row>
    <row r="54" spans="1:2" x14ac:dyDescent="0.25">
      <c r="A54" s="15">
        <v>9753082</v>
      </c>
      <c r="B54" s="28">
        <v>9</v>
      </c>
    </row>
    <row r="55" spans="1:2" x14ac:dyDescent="0.25">
      <c r="A55" s="15">
        <v>9753324</v>
      </c>
      <c r="B55" s="28">
        <v>2</v>
      </c>
    </row>
    <row r="56" spans="1:2" x14ac:dyDescent="0.25">
      <c r="A56" s="15">
        <v>9753344</v>
      </c>
      <c r="B56" s="28">
        <v>9</v>
      </c>
    </row>
    <row r="57" spans="1:2" x14ac:dyDescent="0.25">
      <c r="A57" s="15">
        <v>9753345</v>
      </c>
      <c r="B57" s="28">
        <v>2</v>
      </c>
    </row>
    <row r="58" spans="1:2" x14ac:dyDescent="0.25">
      <c r="A58" s="15">
        <v>9753363</v>
      </c>
      <c r="B58" s="28">
        <v>19</v>
      </c>
    </row>
    <row r="59" spans="1:2" x14ac:dyDescent="0.25">
      <c r="A59" s="15">
        <v>9753364</v>
      </c>
      <c r="B59" s="28">
        <v>12</v>
      </c>
    </row>
    <row r="60" spans="1:2" x14ac:dyDescent="0.25">
      <c r="A60" s="15">
        <v>9753390</v>
      </c>
      <c r="B60" s="28">
        <v>11</v>
      </c>
    </row>
    <row r="61" spans="1:2" x14ac:dyDescent="0.25">
      <c r="A61" s="15">
        <v>9753413</v>
      </c>
      <c r="B61" s="28">
        <v>1</v>
      </c>
    </row>
    <row r="62" spans="1:2" x14ac:dyDescent="0.25">
      <c r="A62" s="15">
        <v>9753492</v>
      </c>
      <c r="B62" s="28">
        <v>7</v>
      </c>
    </row>
    <row r="63" spans="1:2" x14ac:dyDescent="0.25">
      <c r="A63" s="15">
        <v>9753493</v>
      </c>
      <c r="B63" s="28">
        <v>1</v>
      </c>
    </row>
    <row r="64" spans="1:2" x14ac:dyDescent="0.25">
      <c r="A64" s="15">
        <v>9753494</v>
      </c>
      <c r="B64" s="28">
        <v>1</v>
      </c>
    </row>
    <row r="65" spans="1:2" x14ac:dyDescent="0.25">
      <c r="A65" s="15">
        <v>9753495</v>
      </c>
      <c r="B65" s="28">
        <v>1</v>
      </c>
    </row>
    <row r="66" spans="1:2" x14ac:dyDescent="0.25">
      <c r="A66" s="15">
        <v>9753496</v>
      </c>
      <c r="B66" s="28">
        <v>2</v>
      </c>
    </row>
    <row r="67" spans="1:2" x14ac:dyDescent="0.25">
      <c r="A67" s="15">
        <v>9753497</v>
      </c>
      <c r="B67" s="28">
        <v>1</v>
      </c>
    </row>
    <row r="68" spans="1:2" x14ac:dyDescent="0.25">
      <c r="A68" s="15">
        <v>9753498</v>
      </c>
      <c r="B68" s="28">
        <v>3</v>
      </c>
    </row>
    <row r="69" spans="1:2" x14ac:dyDescent="0.25">
      <c r="A69" s="15">
        <v>9753499</v>
      </c>
      <c r="B69" s="28">
        <v>2</v>
      </c>
    </row>
    <row r="70" spans="1:2" x14ac:dyDescent="0.25">
      <c r="A70" s="15">
        <v>9753500</v>
      </c>
      <c r="B70" s="28">
        <v>1</v>
      </c>
    </row>
    <row r="71" spans="1:2" x14ac:dyDescent="0.25">
      <c r="A71" s="15">
        <v>9753501</v>
      </c>
      <c r="B71" s="28">
        <v>2</v>
      </c>
    </row>
    <row r="72" spans="1:2" x14ac:dyDescent="0.25">
      <c r="A72" s="15">
        <v>9753502</v>
      </c>
      <c r="B72" s="28">
        <v>1</v>
      </c>
    </row>
    <row r="73" spans="1:2" x14ac:dyDescent="0.25">
      <c r="A73" s="15">
        <v>9753589</v>
      </c>
      <c r="B73" s="28">
        <v>1</v>
      </c>
    </row>
    <row r="74" spans="1:2" x14ac:dyDescent="0.25">
      <c r="A74" s="15">
        <v>9753629</v>
      </c>
      <c r="B74" s="28">
        <v>7</v>
      </c>
    </row>
    <row r="75" spans="1:2" x14ac:dyDescent="0.25">
      <c r="A75" s="15">
        <v>9753703</v>
      </c>
      <c r="B75" s="28">
        <v>1</v>
      </c>
    </row>
    <row r="76" spans="1:2" x14ac:dyDescent="0.25">
      <c r="A76" s="15">
        <v>9753704</v>
      </c>
      <c r="B76" s="28">
        <v>14</v>
      </c>
    </row>
    <row r="77" spans="1:2" x14ac:dyDescent="0.25">
      <c r="A77" s="15">
        <v>9753744</v>
      </c>
      <c r="B77" s="28">
        <v>15</v>
      </c>
    </row>
    <row r="78" spans="1:2" x14ac:dyDescent="0.25">
      <c r="A78" s="15">
        <v>9753745</v>
      </c>
      <c r="B78" s="28">
        <v>2</v>
      </c>
    </row>
    <row r="79" spans="1:2" x14ac:dyDescent="0.25">
      <c r="A79" s="15">
        <v>9753746</v>
      </c>
      <c r="B79" s="28">
        <v>1</v>
      </c>
    </row>
    <row r="80" spans="1:2" x14ac:dyDescent="0.25">
      <c r="A80" s="15">
        <v>9753747</v>
      </c>
      <c r="B80" s="28">
        <v>1</v>
      </c>
    </row>
    <row r="81" spans="1:2" x14ac:dyDescent="0.25">
      <c r="A81" s="15">
        <v>9753792</v>
      </c>
      <c r="B81" s="28">
        <v>5</v>
      </c>
    </row>
    <row r="82" spans="1:2" x14ac:dyDescent="0.25">
      <c r="A82" s="15">
        <v>9753793</v>
      </c>
      <c r="B82" s="28">
        <v>10</v>
      </c>
    </row>
    <row r="83" spans="1:2" x14ac:dyDescent="0.25">
      <c r="A83" s="15">
        <v>9753794</v>
      </c>
      <c r="B83" s="28">
        <v>17</v>
      </c>
    </row>
    <row r="84" spans="1:2" x14ac:dyDescent="0.25">
      <c r="A84" s="15">
        <v>9753795</v>
      </c>
      <c r="B84" s="28">
        <v>11</v>
      </c>
    </row>
    <row r="85" spans="1:2" x14ac:dyDescent="0.25">
      <c r="A85" s="15">
        <v>9753796</v>
      </c>
      <c r="B85" s="28">
        <v>1</v>
      </c>
    </row>
    <row r="86" spans="1:2" x14ac:dyDescent="0.25">
      <c r="A86" s="15">
        <v>9753811</v>
      </c>
      <c r="B86" s="28">
        <v>14</v>
      </c>
    </row>
    <row r="87" spans="1:2" x14ac:dyDescent="0.25">
      <c r="A87" s="15">
        <v>9753812</v>
      </c>
      <c r="B87" s="28">
        <v>1</v>
      </c>
    </row>
    <row r="88" spans="1:2" x14ac:dyDescent="0.25">
      <c r="A88" s="15">
        <v>9753813</v>
      </c>
      <c r="B88" s="28">
        <v>2</v>
      </c>
    </row>
    <row r="89" spans="1:2" x14ac:dyDescent="0.25">
      <c r="A89" s="15">
        <v>9753814</v>
      </c>
      <c r="B89" s="28">
        <v>1</v>
      </c>
    </row>
    <row r="90" spans="1:2" x14ac:dyDescent="0.25">
      <c r="A90" s="15">
        <v>9753815</v>
      </c>
      <c r="B90" s="28">
        <v>1</v>
      </c>
    </row>
    <row r="91" spans="1:2" x14ac:dyDescent="0.25">
      <c r="A91" s="15">
        <v>9753816</v>
      </c>
      <c r="B91" s="28">
        <v>1</v>
      </c>
    </row>
    <row r="92" spans="1:2" x14ac:dyDescent="0.25">
      <c r="A92" s="15">
        <v>9753837</v>
      </c>
      <c r="B92" s="28">
        <v>1</v>
      </c>
    </row>
    <row r="93" spans="1:2" x14ac:dyDescent="0.25">
      <c r="A93" s="15">
        <v>9753838</v>
      </c>
      <c r="B93" s="28">
        <v>1</v>
      </c>
    </row>
    <row r="94" spans="1:2" x14ac:dyDescent="0.25">
      <c r="A94" s="15">
        <v>9753839</v>
      </c>
      <c r="B94" s="28">
        <v>2</v>
      </c>
    </row>
    <row r="95" spans="1:2" x14ac:dyDescent="0.25">
      <c r="A95" s="15">
        <v>9753840</v>
      </c>
      <c r="B95" s="28">
        <v>2</v>
      </c>
    </row>
    <row r="96" spans="1:2" x14ac:dyDescent="0.25">
      <c r="A96" s="15">
        <v>9753841</v>
      </c>
      <c r="B96" s="28">
        <v>1</v>
      </c>
    </row>
    <row r="97" spans="1:2" x14ac:dyDescent="0.25">
      <c r="A97" s="15">
        <v>9753842</v>
      </c>
      <c r="B97" s="28">
        <v>1</v>
      </c>
    </row>
    <row r="98" spans="1:2" x14ac:dyDescent="0.25">
      <c r="A98" s="15">
        <v>9753843</v>
      </c>
      <c r="B98" s="28">
        <v>1</v>
      </c>
    </row>
    <row r="99" spans="1:2" x14ac:dyDescent="0.25">
      <c r="A99" s="15" t="s">
        <v>206</v>
      </c>
      <c r="B99" s="28"/>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0"/>
  </sheetPr>
  <dimension ref="A1:H614"/>
  <sheetViews>
    <sheetView workbookViewId="0">
      <selection sqref="A1:H3"/>
    </sheetView>
  </sheetViews>
  <sheetFormatPr defaultRowHeight="15" x14ac:dyDescent="0.25"/>
  <cols>
    <col min="1" max="1" width="12.28515625" customWidth="1"/>
    <col min="2" max="2" width="26.5703125" customWidth="1"/>
    <col min="3" max="3" width="26.85546875" customWidth="1"/>
    <col min="4" max="4" width="25.28515625" customWidth="1"/>
    <col min="5" max="5" width="29.42578125" customWidth="1"/>
    <col min="6" max="6" width="30.140625" customWidth="1"/>
    <col min="7" max="7" width="29.7109375" customWidth="1"/>
    <col min="8" max="8" width="31.7109375" customWidth="1"/>
    <col min="9" max="10" width="42.7109375" customWidth="1"/>
  </cols>
  <sheetData>
    <row r="1" spans="1:8" x14ac:dyDescent="0.25">
      <c r="A1" s="1" t="s">
        <v>344</v>
      </c>
      <c r="B1" s="1" t="s">
        <v>423</v>
      </c>
      <c r="C1" s="1" t="s">
        <v>424</v>
      </c>
      <c r="D1" s="1" t="s">
        <v>345</v>
      </c>
      <c r="E1" s="1"/>
      <c r="F1" s="31"/>
      <c r="G1" s="31"/>
      <c r="H1" s="1"/>
    </row>
    <row r="2" spans="1:8" x14ac:dyDescent="0.25">
      <c r="A2" s="42">
        <v>9751152</v>
      </c>
      <c r="B2" s="26"/>
      <c r="C2" s="25"/>
      <c r="D2" s="42"/>
      <c r="E2" s="42" t="s">
        <v>302</v>
      </c>
      <c r="F2" s="43"/>
      <c r="G2" s="42"/>
      <c r="H2" s="44">
        <v>42655.725682870368</v>
      </c>
    </row>
    <row r="3" spans="1:8" x14ac:dyDescent="0.25">
      <c r="A3" s="42">
        <v>9726394</v>
      </c>
      <c r="B3" s="26" t="s">
        <v>432</v>
      </c>
      <c r="C3" s="25"/>
      <c r="D3" s="42">
        <v>42656.66951388889</v>
      </c>
      <c r="E3" s="42"/>
      <c r="F3" s="43"/>
      <c r="G3" s="42"/>
      <c r="H3" s="1"/>
    </row>
    <row r="4" spans="1:8" x14ac:dyDescent="0.25">
      <c r="A4" s="42"/>
      <c r="B4" s="26"/>
      <c r="C4" s="25"/>
      <c r="D4" s="42"/>
      <c r="E4" s="42"/>
      <c r="F4" s="43"/>
      <c r="G4" s="42"/>
      <c r="H4" s="1"/>
    </row>
    <row r="5" spans="1:8" x14ac:dyDescent="0.25">
      <c r="A5" s="42"/>
      <c r="B5" s="26"/>
      <c r="C5" s="25"/>
      <c r="D5" s="42"/>
      <c r="E5" s="42"/>
      <c r="F5" s="43"/>
      <c r="G5" s="42"/>
      <c r="H5" s="1"/>
    </row>
    <row r="6" spans="1:8" x14ac:dyDescent="0.25">
      <c r="A6" s="42"/>
      <c r="B6" s="26"/>
      <c r="C6" s="25"/>
      <c r="D6" s="42"/>
      <c r="E6" s="42"/>
      <c r="F6" s="43"/>
      <c r="G6" s="42"/>
      <c r="H6" s="1"/>
    </row>
    <row r="7" spans="1:8" x14ac:dyDescent="0.25">
      <c r="A7" s="25"/>
      <c r="B7" s="26"/>
      <c r="C7" s="25"/>
      <c r="D7" s="42"/>
      <c r="E7" s="42"/>
      <c r="F7" s="43"/>
      <c r="G7" s="42"/>
      <c r="H7" s="1"/>
    </row>
    <row r="8" spans="1:8" x14ac:dyDescent="0.25">
      <c r="A8" s="42"/>
      <c r="B8" s="26"/>
      <c r="C8" s="25"/>
      <c r="D8" s="42"/>
      <c r="E8" s="42"/>
      <c r="F8" s="43"/>
      <c r="G8" s="42"/>
      <c r="H8" s="1"/>
    </row>
    <row r="9" spans="1:8" x14ac:dyDescent="0.25">
      <c r="A9" s="42"/>
      <c r="B9" s="26"/>
      <c r="C9" s="25"/>
      <c r="D9" s="42"/>
      <c r="E9" s="42"/>
      <c r="F9" s="43"/>
      <c r="G9" s="25"/>
      <c r="H9" s="1"/>
    </row>
    <row r="10" spans="1:8" x14ac:dyDescent="0.25">
      <c r="A10" s="42"/>
      <c r="B10" s="26"/>
      <c r="C10" s="25"/>
      <c r="D10" s="42"/>
      <c r="E10" s="42"/>
      <c r="F10" s="43"/>
      <c r="G10" s="25"/>
      <c r="H10" s="44"/>
    </row>
    <row r="11" spans="1:8" x14ac:dyDescent="0.25">
      <c r="A11" s="42"/>
      <c r="B11" s="26"/>
      <c r="C11" s="25"/>
      <c r="D11" s="42"/>
      <c r="E11" s="42"/>
      <c r="F11" s="43"/>
      <c r="G11" s="42"/>
      <c r="H11" s="44"/>
    </row>
    <row r="12" spans="1:8" x14ac:dyDescent="0.25">
      <c r="A12" s="42"/>
      <c r="B12" s="26"/>
      <c r="C12" s="25"/>
      <c r="D12" s="42"/>
      <c r="E12" s="42"/>
      <c r="F12" s="43"/>
      <c r="G12" s="42"/>
      <c r="H12" s="1"/>
    </row>
    <row r="13" spans="1:8" x14ac:dyDescent="0.25">
      <c r="A13" s="42"/>
      <c r="B13" s="26"/>
      <c r="C13" s="25"/>
      <c r="D13" s="42"/>
      <c r="E13" s="42"/>
      <c r="F13" s="43"/>
      <c r="G13" s="42"/>
      <c r="H13" s="1"/>
    </row>
    <row r="14" spans="1:8" x14ac:dyDescent="0.25">
      <c r="A14" s="42"/>
      <c r="B14" s="26"/>
      <c r="C14" s="25"/>
      <c r="D14" s="42"/>
      <c r="E14" s="42"/>
      <c r="F14" s="43"/>
      <c r="G14" s="42"/>
      <c r="H14" s="1"/>
    </row>
    <row r="15" spans="1:8" x14ac:dyDescent="0.25">
      <c r="A15" s="42"/>
      <c r="B15" s="26"/>
      <c r="C15" s="25"/>
      <c r="D15" s="42"/>
      <c r="E15" s="42"/>
      <c r="F15" s="43"/>
      <c r="G15" s="25"/>
      <c r="H15" s="1"/>
    </row>
    <row r="16" spans="1:8" x14ac:dyDescent="0.25">
      <c r="A16" s="42"/>
      <c r="B16" s="26"/>
      <c r="C16" s="25"/>
      <c r="D16" s="42"/>
      <c r="E16" s="42"/>
      <c r="F16" s="43"/>
      <c r="G16" s="25"/>
      <c r="H16" s="1"/>
    </row>
    <row r="17" spans="1:8" x14ac:dyDescent="0.25">
      <c r="A17" s="42"/>
      <c r="B17" s="26"/>
      <c r="C17" s="25"/>
      <c r="D17" s="42"/>
      <c r="E17" s="42"/>
      <c r="F17" s="43"/>
      <c r="G17" s="25"/>
      <c r="H17" s="1"/>
    </row>
    <row r="18" spans="1:8" x14ac:dyDescent="0.25">
      <c r="A18" s="42"/>
      <c r="B18" s="26"/>
      <c r="C18" s="25"/>
      <c r="D18" s="42"/>
      <c r="E18" s="42"/>
      <c r="F18" s="43"/>
      <c r="G18" s="25"/>
      <c r="H18" s="1"/>
    </row>
    <row r="19" spans="1:8" x14ac:dyDescent="0.25">
      <c r="A19" s="42"/>
      <c r="B19" s="26"/>
      <c r="C19" s="25"/>
      <c r="D19" s="42"/>
      <c r="E19" s="42"/>
      <c r="F19" s="43"/>
      <c r="G19" s="25"/>
      <c r="H19" s="1"/>
    </row>
    <row r="20" spans="1:8" x14ac:dyDescent="0.25">
      <c r="A20" s="42"/>
      <c r="B20" s="26"/>
      <c r="C20" s="25"/>
      <c r="D20" s="42"/>
      <c r="E20" s="42"/>
      <c r="F20" s="43"/>
      <c r="G20" s="25"/>
      <c r="H20" s="1"/>
    </row>
    <row r="21" spans="1:8" x14ac:dyDescent="0.25">
      <c r="A21" s="42"/>
      <c r="B21" s="26"/>
      <c r="C21" s="25"/>
      <c r="D21" s="42"/>
      <c r="E21" s="42"/>
      <c r="F21" s="43"/>
      <c r="G21" s="25"/>
      <c r="H21" s="1"/>
    </row>
    <row r="22" spans="1:8" x14ac:dyDescent="0.25">
      <c r="A22" s="42"/>
      <c r="B22" s="26"/>
      <c r="C22" s="25"/>
      <c r="D22" s="42"/>
      <c r="E22" s="42"/>
      <c r="F22" s="43"/>
      <c r="G22" s="25"/>
      <c r="H22" s="1"/>
    </row>
    <row r="23" spans="1:8" x14ac:dyDescent="0.25">
      <c r="A23" s="42"/>
      <c r="B23" s="26"/>
      <c r="C23" s="25"/>
      <c r="D23" s="42"/>
      <c r="E23" s="42"/>
      <c r="F23" s="43"/>
      <c r="G23" s="25"/>
      <c r="H23" s="1"/>
    </row>
    <row r="24" spans="1:8" x14ac:dyDescent="0.25">
      <c r="A24" s="42"/>
      <c r="B24" s="26"/>
      <c r="C24" s="25"/>
      <c r="D24" s="42"/>
      <c r="E24" s="42"/>
      <c r="F24" s="43"/>
      <c r="G24" s="25"/>
      <c r="H24" s="1"/>
    </row>
    <row r="25" spans="1:8" x14ac:dyDescent="0.25">
      <c r="A25" s="42"/>
      <c r="B25" s="26"/>
      <c r="C25" s="25"/>
      <c r="D25" s="42"/>
      <c r="E25" s="42"/>
      <c r="F25" s="43"/>
      <c r="G25" s="25"/>
      <c r="H25" s="1"/>
    </row>
    <row r="26" spans="1:8" x14ac:dyDescent="0.25">
      <c r="A26" s="42"/>
      <c r="B26" s="26"/>
      <c r="C26" s="25"/>
      <c r="D26" s="42"/>
      <c r="E26" s="42"/>
      <c r="F26" s="43"/>
      <c r="G26" s="25"/>
      <c r="H26" s="1"/>
    </row>
    <row r="27" spans="1:8" x14ac:dyDescent="0.25">
      <c r="A27" s="42"/>
      <c r="B27" s="26"/>
      <c r="C27" s="25"/>
      <c r="D27" s="42"/>
      <c r="E27" s="42"/>
      <c r="F27" s="43"/>
      <c r="G27" s="25"/>
      <c r="H27" s="44"/>
    </row>
    <row r="28" spans="1:8" x14ac:dyDescent="0.25">
      <c r="A28" s="42"/>
      <c r="B28" s="26"/>
      <c r="C28" s="25"/>
      <c r="D28" s="42"/>
      <c r="E28" s="42"/>
      <c r="F28" s="43"/>
      <c r="G28" s="25"/>
      <c r="H28" s="1"/>
    </row>
    <row r="29" spans="1:8" x14ac:dyDescent="0.25">
      <c r="A29" s="42"/>
      <c r="B29" s="26"/>
      <c r="C29" s="25"/>
      <c r="D29" s="42"/>
      <c r="E29" s="42"/>
      <c r="F29" s="43"/>
      <c r="G29" s="25"/>
      <c r="H29" s="1"/>
    </row>
    <row r="30" spans="1:8" x14ac:dyDescent="0.25">
      <c r="A30" s="42"/>
      <c r="B30" s="26"/>
      <c r="C30" s="25"/>
      <c r="D30" s="42"/>
      <c r="E30" s="42"/>
      <c r="F30" s="43"/>
      <c r="G30" s="25"/>
      <c r="H30" s="1"/>
    </row>
    <row r="31" spans="1:8" x14ac:dyDescent="0.25">
      <c r="A31" s="42"/>
      <c r="B31" s="26"/>
      <c r="C31" s="25"/>
      <c r="D31" s="42"/>
      <c r="E31" s="42"/>
      <c r="F31" s="43"/>
      <c r="G31" s="25"/>
      <c r="H31" s="1"/>
    </row>
    <row r="32" spans="1:8" x14ac:dyDescent="0.25">
      <c r="A32" s="42"/>
      <c r="B32" s="26"/>
      <c r="C32" s="25"/>
      <c r="D32" s="42"/>
      <c r="E32" s="42"/>
      <c r="F32" s="43"/>
      <c r="G32" s="25"/>
      <c r="H32" s="1"/>
    </row>
    <row r="33" spans="1:8" x14ac:dyDescent="0.25">
      <c r="A33" s="42"/>
      <c r="B33" s="26"/>
      <c r="C33" s="25"/>
      <c r="D33" s="42"/>
      <c r="E33" s="42"/>
      <c r="F33" s="43"/>
      <c r="G33" s="25"/>
      <c r="H33" s="1"/>
    </row>
    <row r="34" spans="1:8" x14ac:dyDescent="0.25">
      <c r="A34" s="42"/>
      <c r="B34" s="26"/>
      <c r="C34" s="25"/>
      <c r="D34" s="42"/>
      <c r="E34" s="42"/>
      <c r="F34" s="43"/>
      <c r="G34" s="25"/>
      <c r="H34" s="44"/>
    </row>
    <row r="35" spans="1:8" x14ac:dyDescent="0.25">
      <c r="A35" s="42"/>
      <c r="B35" s="26"/>
      <c r="C35" s="25"/>
      <c r="D35" s="42"/>
      <c r="E35" s="42"/>
      <c r="F35" s="43"/>
      <c r="G35" s="25"/>
      <c r="H35" s="44"/>
    </row>
    <row r="36" spans="1:8" x14ac:dyDescent="0.25">
      <c r="A36" s="42"/>
      <c r="B36" s="26"/>
      <c r="C36" s="25"/>
      <c r="D36" s="42"/>
      <c r="E36" s="42"/>
      <c r="F36" s="43"/>
      <c r="G36" s="25"/>
      <c r="H36" s="44"/>
    </row>
    <row r="37" spans="1:8" x14ac:dyDescent="0.25">
      <c r="A37" s="42"/>
      <c r="B37" s="26"/>
      <c r="C37" s="25"/>
      <c r="D37" s="42"/>
      <c r="E37" s="42"/>
      <c r="F37" s="43"/>
      <c r="G37" s="25"/>
      <c r="H37" s="1"/>
    </row>
    <row r="38" spans="1:8" x14ac:dyDescent="0.25">
      <c r="A38" s="42"/>
      <c r="B38" s="26"/>
      <c r="C38" s="25"/>
      <c r="D38" s="42"/>
      <c r="E38" s="42"/>
      <c r="F38" s="43"/>
      <c r="G38" s="25"/>
      <c r="H38" s="44"/>
    </row>
    <row r="39" spans="1:8" x14ac:dyDescent="0.25">
      <c r="A39" s="42"/>
      <c r="B39" s="26"/>
      <c r="C39" s="25"/>
      <c r="D39" s="42"/>
      <c r="E39" s="42"/>
      <c r="F39" s="43"/>
      <c r="G39" s="25"/>
      <c r="H39" s="1"/>
    </row>
    <row r="40" spans="1:8" x14ac:dyDescent="0.25">
      <c r="A40" s="42"/>
      <c r="B40" s="26"/>
      <c r="C40" s="25"/>
      <c r="D40" s="42"/>
      <c r="E40" s="42"/>
      <c r="F40" s="43"/>
      <c r="G40" s="25"/>
      <c r="H40" s="1"/>
    </row>
    <row r="41" spans="1:8" x14ac:dyDescent="0.25">
      <c r="A41" s="42"/>
      <c r="B41" s="26"/>
      <c r="C41" s="25"/>
      <c r="D41" s="42"/>
      <c r="E41" s="42"/>
      <c r="F41" s="43"/>
      <c r="G41" s="25"/>
      <c r="H41" s="1"/>
    </row>
    <row r="42" spans="1:8" x14ac:dyDescent="0.25">
      <c r="A42" s="42"/>
      <c r="B42" s="26"/>
      <c r="C42" s="25"/>
      <c r="D42" s="42"/>
      <c r="E42" s="42"/>
      <c r="F42" s="43"/>
      <c r="G42" s="25"/>
      <c r="H42" s="1"/>
    </row>
    <row r="43" spans="1:8" x14ac:dyDescent="0.25">
      <c r="A43" s="42"/>
      <c r="B43" s="26"/>
      <c r="C43" s="25"/>
      <c r="D43" s="42"/>
      <c r="E43" s="42"/>
      <c r="F43" s="43"/>
      <c r="G43" s="25"/>
      <c r="H43" s="1"/>
    </row>
    <row r="44" spans="1:8" x14ac:dyDescent="0.25">
      <c r="A44" s="42"/>
      <c r="B44" s="26"/>
      <c r="C44" s="25"/>
      <c r="D44" s="42"/>
      <c r="E44" s="42"/>
      <c r="F44" s="43"/>
      <c r="G44" s="25"/>
      <c r="H44" s="1"/>
    </row>
    <row r="45" spans="1:8" x14ac:dyDescent="0.25">
      <c r="A45" s="42"/>
      <c r="B45" s="26"/>
      <c r="C45" s="25"/>
      <c r="D45" s="42"/>
      <c r="E45" s="42"/>
      <c r="F45" s="43"/>
      <c r="G45" s="25"/>
      <c r="H45" s="1"/>
    </row>
    <row r="46" spans="1:8" x14ac:dyDescent="0.25">
      <c r="A46" s="42"/>
      <c r="B46" s="26"/>
      <c r="C46" s="25"/>
      <c r="D46" s="42"/>
      <c r="E46" s="42"/>
      <c r="F46" s="43"/>
      <c r="G46" s="25"/>
      <c r="H46" s="1"/>
    </row>
    <row r="47" spans="1:8" x14ac:dyDescent="0.25">
      <c r="A47" s="42"/>
      <c r="B47" s="26"/>
      <c r="C47" s="25"/>
      <c r="D47" s="42"/>
      <c r="E47" s="42"/>
      <c r="F47" s="43"/>
      <c r="G47" s="25"/>
      <c r="H47" s="44"/>
    </row>
    <row r="48" spans="1:8" x14ac:dyDescent="0.25">
      <c r="A48" s="42"/>
      <c r="B48" s="26"/>
      <c r="C48" s="25"/>
      <c r="D48" s="42"/>
      <c r="E48" s="42"/>
      <c r="F48" s="43"/>
      <c r="G48" s="42"/>
      <c r="H48" s="1"/>
    </row>
    <row r="49" spans="1:8" x14ac:dyDescent="0.25">
      <c r="A49" s="42"/>
      <c r="B49" s="26"/>
      <c r="C49" s="25"/>
      <c r="D49" s="42"/>
      <c r="E49" s="42"/>
      <c r="F49" s="43"/>
      <c r="G49" s="42"/>
      <c r="H49" s="1"/>
    </row>
    <row r="50" spans="1:8" x14ac:dyDescent="0.25">
      <c r="A50" s="42"/>
      <c r="B50" s="26"/>
      <c r="C50" s="25"/>
      <c r="D50" s="42"/>
      <c r="E50" s="42"/>
      <c r="F50" s="43"/>
      <c r="G50" s="42"/>
      <c r="H50" s="1"/>
    </row>
    <row r="51" spans="1:8" x14ac:dyDescent="0.25">
      <c r="A51" s="42"/>
      <c r="B51" s="26"/>
      <c r="C51" s="25"/>
      <c r="D51" s="42"/>
      <c r="E51" s="42"/>
      <c r="F51" s="43"/>
      <c r="G51" s="42"/>
      <c r="H51" s="1"/>
    </row>
    <row r="52" spans="1:8" x14ac:dyDescent="0.25">
      <c r="A52" s="42"/>
      <c r="B52" s="26"/>
      <c r="C52" s="25"/>
      <c r="D52" s="42"/>
      <c r="E52" s="42"/>
      <c r="F52" s="43"/>
      <c r="G52" s="42"/>
      <c r="H52" s="1"/>
    </row>
    <row r="53" spans="1:8" x14ac:dyDescent="0.25">
      <c r="A53" s="42"/>
      <c r="B53" s="26"/>
      <c r="C53" s="25"/>
      <c r="D53" s="42"/>
      <c r="E53" s="42"/>
      <c r="F53" s="43"/>
      <c r="G53" s="42"/>
      <c r="H53" s="1"/>
    </row>
    <row r="54" spans="1:8" x14ac:dyDescent="0.25">
      <c r="A54" s="42"/>
      <c r="B54" s="26"/>
      <c r="C54" s="25"/>
      <c r="D54" s="42"/>
      <c r="E54" s="42"/>
      <c r="F54" s="43"/>
      <c r="G54" s="42"/>
      <c r="H54" s="1"/>
    </row>
    <row r="55" spans="1:8" x14ac:dyDescent="0.25">
      <c r="A55" s="42"/>
      <c r="B55" s="26"/>
      <c r="C55" s="25"/>
      <c r="D55" s="42"/>
      <c r="E55" s="42"/>
      <c r="F55" s="43"/>
      <c r="G55" s="42"/>
      <c r="H55" s="1"/>
    </row>
    <row r="56" spans="1:8" x14ac:dyDescent="0.25">
      <c r="A56" s="42"/>
      <c r="B56" s="26"/>
      <c r="C56" s="25"/>
      <c r="D56" s="42"/>
      <c r="E56" s="42"/>
      <c r="F56" s="43"/>
      <c r="G56" s="42"/>
      <c r="H56" s="1"/>
    </row>
    <row r="57" spans="1:8" x14ac:dyDescent="0.25">
      <c r="A57" s="42"/>
      <c r="B57" s="26"/>
      <c r="C57" s="25"/>
      <c r="D57" s="42"/>
      <c r="E57" s="42"/>
      <c r="F57" s="43"/>
      <c r="G57" s="42"/>
      <c r="H57" s="1"/>
    </row>
    <row r="58" spans="1:8" x14ac:dyDescent="0.25">
      <c r="A58" s="42"/>
      <c r="B58" s="26"/>
      <c r="C58" s="25"/>
      <c r="D58" s="42"/>
      <c r="E58" s="42"/>
      <c r="F58" s="43"/>
      <c r="G58" s="25"/>
      <c r="H58" s="1"/>
    </row>
    <row r="59" spans="1:8" x14ac:dyDescent="0.25">
      <c r="A59" s="42"/>
      <c r="B59" s="26"/>
      <c r="C59" s="25"/>
      <c r="D59" s="42"/>
      <c r="E59" s="42"/>
      <c r="F59" s="43"/>
      <c r="G59" s="25"/>
      <c r="H59" s="1"/>
    </row>
    <row r="60" spans="1:8" x14ac:dyDescent="0.25">
      <c r="A60" s="42"/>
      <c r="B60" s="26"/>
      <c r="C60" s="25"/>
      <c r="D60" s="42"/>
      <c r="E60" s="42"/>
      <c r="F60" s="43"/>
      <c r="G60" s="25"/>
      <c r="H60" s="1"/>
    </row>
    <row r="61" spans="1:8" x14ac:dyDescent="0.25">
      <c r="A61" s="42"/>
      <c r="B61" s="26"/>
      <c r="C61" s="25"/>
      <c r="D61" s="42"/>
      <c r="E61" s="42"/>
      <c r="F61" s="43"/>
      <c r="G61" s="25"/>
      <c r="H61" s="1"/>
    </row>
    <row r="62" spans="1:8" x14ac:dyDescent="0.25">
      <c r="A62" s="42"/>
      <c r="B62" s="26"/>
      <c r="C62" s="25"/>
      <c r="D62" s="42"/>
      <c r="E62" s="42"/>
      <c r="F62" s="43"/>
      <c r="G62" s="25"/>
      <c r="H62" s="1"/>
    </row>
    <row r="63" spans="1:8" x14ac:dyDescent="0.25">
      <c r="A63" s="42"/>
      <c r="B63" s="26"/>
      <c r="C63" s="25"/>
      <c r="D63" s="42"/>
      <c r="E63" s="42"/>
      <c r="F63" s="43"/>
      <c r="G63" s="25"/>
      <c r="H63" s="1"/>
    </row>
    <row r="64" spans="1:8" x14ac:dyDescent="0.25">
      <c r="A64" s="42"/>
      <c r="B64" s="26"/>
      <c r="C64" s="25"/>
      <c r="D64" s="42"/>
      <c r="E64" s="42"/>
      <c r="F64" s="43"/>
      <c r="G64" s="42"/>
      <c r="H64" s="1"/>
    </row>
    <row r="65" spans="1:8" x14ac:dyDescent="0.25">
      <c r="A65" s="42"/>
      <c r="B65" s="26"/>
      <c r="C65" s="25"/>
      <c r="D65" s="42"/>
      <c r="E65" s="42"/>
      <c r="F65" s="43"/>
      <c r="G65" s="42"/>
      <c r="H65" s="1"/>
    </row>
    <row r="66" spans="1:8" x14ac:dyDescent="0.25">
      <c r="A66" s="42"/>
      <c r="B66" s="26"/>
      <c r="C66" s="25"/>
      <c r="D66" s="42"/>
      <c r="E66" s="42"/>
      <c r="F66" s="43"/>
      <c r="G66" s="25"/>
      <c r="H66" s="1"/>
    </row>
    <row r="67" spans="1:8" x14ac:dyDescent="0.25">
      <c r="A67" s="42"/>
      <c r="B67" s="26"/>
      <c r="C67" s="25"/>
      <c r="D67" s="42"/>
      <c r="E67" s="42"/>
      <c r="F67" s="43"/>
      <c r="G67" s="42"/>
      <c r="H67" s="1"/>
    </row>
    <row r="68" spans="1:8" x14ac:dyDescent="0.25">
      <c r="A68" s="42"/>
      <c r="B68" s="26"/>
      <c r="C68" s="25"/>
      <c r="D68" s="42"/>
      <c r="E68" s="42"/>
      <c r="F68" s="43"/>
      <c r="G68" s="25"/>
      <c r="H68" s="1"/>
    </row>
    <row r="69" spans="1:8" x14ac:dyDescent="0.25">
      <c r="A69" s="42"/>
      <c r="B69" s="26"/>
      <c r="C69" s="25"/>
      <c r="D69" s="42"/>
      <c r="E69" s="42"/>
      <c r="F69" s="43"/>
      <c r="G69" s="25"/>
      <c r="H69" s="1"/>
    </row>
    <row r="70" spans="1:8" x14ac:dyDescent="0.25">
      <c r="A70" s="42"/>
      <c r="B70" s="26"/>
      <c r="C70" s="25"/>
      <c r="D70" s="42"/>
      <c r="E70" s="42"/>
      <c r="F70" s="43"/>
      <c r="G70" s="25"/>
      <c r="H70" s="1"/>
    </row>
    <row r="71" spans="1:8" x14ac:dyDescent="0.25">
      <c r="A71" s="42"/>
      <c r="B71" s="26"/>
      <c r="C71" s="25"/>
      <c r="D71" s="42"/>
      <c r="E71" s="42"/>
      <c r="F71" s="43"/>
      <c r="G71" s="25"/>
      <c r="H71" s="1"/>
    </row>
    <row r="72" spans="1:8" x14ac:dyDescent="0.25">
      <c r="A72" s="42"/>
      <c r="B72" s="26"/>
      <c r="C72" s="25"/>
      <c r="D72" s="42"/>
      <c r="E72" s="42"/>
      <c r="F72" s="43"/>
      <c r="G72" s="25"/>
      <c r="H72" s="1"/>
    </row>
    <row r="73" spans="1:8" x14ac:dyDescent="0.25">
      <c r="A73" s="42"/>
      <c r="B73" s="26"/>
      <c r="C73" s="25"/>
      <c r="D73" s="42"/>
      <c r="E73" s="42"/>
      <c r="F73" s="43"/>
      <c r="G73" s="25"/>
      <c r="H73" s="1"/>
    </row>
    <row r="74" spans="1:8" x14ac:dyDescent="0.25">
      <c r="A74" s="42"/>
      <c r="B74" s="26"/>
      <c r="C74" s="25"/>
      <c r="D74" s="42"/>
      <c r="E74" s="42"/>
      <c r="F74" s="43"/>
      <c r="G74" s="25"/>
      <c r="H74" s="1"/>
    </row>
    <row r="75" spans="1:8" x14ac:dyDescent="0.25">
      <c r="A75" s="42"/>
      <c r="B75" s="26"/>
      <c r="C75" s="25"/>
      <c r="D75" s="42"/>
      <c r="E75" s="42"/>
      <c r="F75" s="43"/>
      <c r="G75" s="25"/>
      <c r="H75" s="1"/>
    </row>
    <row r="76" spans="1:8" x14ac:dyDescent="0.25">
      <c r="A76" s="42"/>
      <c r="B76" s="26"/>
      <c r="C76" s="25"/>
      <c r="D76" s="42"/>
      <c r="E76" s="42"/>
      <c r="F76" s="43"/>
      <c r="G76" s="25"/>
      <c r="H76" s="1"/>
    </row>
    <row r="77" spans="1:8" x14ac:dyDescent="0.25">
      <c r="A77" s="42"/>
      <c r="B77" s="26"/>
      <c r="C77" s="25"/>
      <c r="D77" s="42"/>
      <c r="E77" s="42"/>
      <c r="F77" s="43"/>
      <c r="G77" s="25"/>
      <c r="H77" s="1"/>
    </row>
    <row r="78" spans="1:8" x14ac:dyDescent="0.25">
      <c r="A78" s="42"/>
      <c r="B78" s="26"/>
      <c r="C78" s="25"/>
      <c r="D78" s="42"/>
      <c r="E78" s="42"/>
      <c r="F78" s="43"/>
      <c r="G78" s="25"/>
      <c r="H78" s="1"/>
    </row>
    <row r="79" spans="1:8" x14ac:dyDescent="0.25">
      <c r="A79" s="42"/>
      <c r="B79" s="26"/>
      <c r="C79" s="25"/>
      <c r="D79" s="42"/>
      <c r="E79" s="42"/>
      <c r="F79" s="43"/>
      <c r="G79" s="25"/>
      <c r="H79" s="1"/>
    </row>
    <row r="80" spans="1:8" x14ac:dyDescent="0.25">
      <c r="A80" s="42"/>
      <c r="B80" s="26"/>
      <c r="C80" s="25"/>
      <c r="D80" s="42"/>
      <c r="E80" s="42"/>
      <c r="F80" s="43"/>
      <c r="G80" s="25"/>
      <c r="H80" s="1"/>
    </row>
    <row r="81" spans="1:8" x14ac:dyDescent="0.25">
      <c r="A81" s="42"/>
      <c r="B81" s="26"/>
      <c r="C81" s="25"/>
      <c r="D81" s="42"/>
      <c r="E81" s="42"/>
      <c r="F81" s="43"/>
      <c r="G81" s="25"/>
      <c r="H81" s="1"/>
    </row>
    <row r="82" spans="1:8" x14ac:dyDescent="0.25">
      <c r="A82" s="42"/>
      <c r="B82" s="26"/>
      <c r="C82" s="25"/>
      <c r="D82" s="42"/>
      <c r="E82" s="42"/>
      <c r="F82" s="43"/>
      <c r="G82" s="25"/>
      <c r="H82" s="1"/>
    </row>
    <row r="83" spans="1:8" x14ac:dyDescent="0.25">
      <c r="A83" s="42"/>
      <c r="B83" s="26"/>
      <c r="C83" s="25"/>
      <c r="D83" s="42"/>
      <c r="E83" s="42"/>
      <c r="F83" s="43"/>
      <c r="G83" s="25"/>
      <c r="H83" s="1"/>
    </row>
    <row r="84" spans="1:8" x14ac:dyDescent="0.25">
      <c r="A84" s="42"/>
      <c r="B84" s="26"/>
      <c r="C84" s="25"/>
      <c r="D84" s="42"/>
      <c r="E84" s="42"/>
      <c r="F84" s="43"/>
      <c r="G84" s="25"/>
      <c r="H84" s="1"/>
    </row>
    <row r="85" spans="1:8" x14ac:dyDescent="0.25">
      <c r="A85" s="42"/>
      <c r="B85" s="26"/>
      <c r="C85" s="25"/>
      <c r="D85" s="42"/>
      <c r="E85" s="42"/>
      <c r="F85" s="43"/>
      <c r="G85" s="25"/>
      <c r="H85" s="1"/>
    </row>
    <row r="86" spans="1:8" x14ac:dyDescent="0.25">
      <c r="A86" s="25"/>
      <c r="B86" s="26"/>
      <c r="C86" s="25"/>
      <c r="D86" s="42"/>
      <c r="E86" s="42"/>
      <c r="F86" s="43"/>
      <c r="G86" s="25"/>
      <c r="H86" s="1"/>
    </row>
    <row r="87" spans="1:8" x14ac:dyDescent="0.25">
      <c r="A87" s="42"/>
      <c r="B87" s="26"/>
      <c r="C87" s="25"/>
      <c r="D87" s="42"/>
      <c r="E87" s="42"/>
      <c r="F87" s="43"/>
      <c r="G87" s="25"/>
      <c r="H87" s="1"/>
    </row>
    <row r="88" spans="1:8" x14ac:dyDescent="0.25">
      <c r="A88" s="42"/>
      <c r="B88" s="26"/>
      <c r="C88" s="26"/>
      <c r="D88" s="42"/>
      <c r="E88" s="42"/>
      <c r="F88" s="43"/>
      <c r="G88" s="25"/>
      <c r="H88" s="1"/>
    </row>
    <row r="89" spans="1:8" x14ac:dyDescent="0.25">
      <c r="A89" s="42"/>
      <c r="B89" s="26"/>
      <c r="C89" s="26"/>
      <c r="D89" s="42"/>
      <c r="E89" s="42"/>
      <c r="F89" s="43"/>
      <c r="G89" s="25"/>
      <c r="H89" s="1"/>
    </row>
    <row r="90" spans="1:8" x14ac:dyDescent="0.25">
      <c r="A90" s="42"/>
      <c r="B90" s="26"/>
      <c r="C90" s="25"/>
      <c r="D90" s="42"/>
      <c r="E90" s="42"/>
      <c r="F90" s="43"/>
      <c r="G90" s="25"/>
      <c r="H90" s="1"/>
    </row>
    <row r="91" spans="1:8" x14ac:dyDescent="0.25">
      <c r="A91" s="42"/>
      <c r="B91" s="26"/>
      <c r="C91" s="25"/>
      <c r="D91" s="42"/>
      <c r="E91" s="42"/>
      <c r="F91" s="43"/>
      <c r="G91" s="25"/>
      <c r="H91" s="1"/>
    </row>
    <row r="92" spans="1:8" x14ac:dyDescent="0.25">
      <c r="A92" s="42"/>
      <c r="B92" s="26"/>
      <c r="C92" s="25"/>
      <c r="D92" s="42"/>
      <c r="E92" s="42"/>
      <c r="F92" s="43"/>
      <c r="G92" s="25"/>
      <c r="H92" s="1"/>
    </row>
    <row r="93" spans="1:8" x14ac:dyDescent="0.25">
      <c r="A93" s="42"/>
      <c r="B93" s="26"/>
      <c r="C93" s="25"/>
      <c r="D93" s="42"/>
      <c r="E93" s="42"/>
      <c r="F93" s="43"/>
      <c r="G93" s="25"/>
      <c r="H93" s="1"/>
    </row>
    <row r="94" spans="1:8" x14ac:dyDescent="0.25">
      <c r="A94" s="42"/>
      <c r="B94" s="26"/>
      <c r="C94" s="25"/>
      <c r="D94" s="42"/>
      <c r="E94" s="42"/>
      <c r="F94" s="43"/>
      <c r="G94" s="25"/>
      <c r="H94" s="1"/>
    </row>
    <row r="95" spans="1:8" x14ac:dyDescent="0.25">
      <c r="A95" s="42"/>
      <c r="B95" s="26"/>
      <c r="C95" s="25"/>
      <c r="D95" s="42"/>
      <c r="E95" s="42"/>
      <c r="F95" s="43"/>
      <c r="G95" s="25"/>
      <c r="H95" s="1"/>
    </row>
    <row r="96" spans="1:8" x14ac:dyDescent="0.25">
      <c r="A96" s="42"/>
      <c r="B96" s="26"/>
      <c r="C96" s="25"/>
      <c r="D96" s="42"/>
      <c r="E96" s="42"/>
      <c r="F96" s="43"/>
      <c r="G96" s="25"/>
      <c r="H96" s="1"/>
    </row>
    <row r="97" spans="1:8" x14ac:dyDescent="0.25">
      <c r="A97" s="42"/>
      <c r="B97" s="26"/>
      <c r="C97" s="25"/>
      <c r="D97" s="42"/>
      <c r="E97" s="42"/>
      <c r="F97" s="43"/>
      <c r="G97" s="25"/>
      <c r="H97" s="1"/>
    </row>
    <row r="98" spans="1:8" x14ac:dyDescent="0.25">
      <c r="A98" s="42"/>
      <c r="B98" s="26"/>
      <c r="C98" s="25"/>
      <c r="D98" s="42"/>
      <c r="E98" s="42"/>
      <c r="F98" s="43"/>
      <c r="G98" s="25"/>
      <c r="H98" s="1"/>
    </row>
    <row r="99" spans="1:8" x14ac:dyDescent="0.25">
      <c r="A99" s="42"/>
      <c r="B99" s="26"/>
      <c r="C99" s="25"/>
      <c r="D99" s="42"/>
      <c r="E99" s="42"/>
      <c r="F99" s="43"/>
      <c r="G99" s="25"/>
      <c r="H99" s="1"/>
    </row>
    <row r="100" spans="1:8" x14ac:dyDescent="0.25">
      <c r="A100" s="42"/>
      <c r="B100" s="26"/>
      <c r="C100" s="25"/>
      <c r="D100" s="42"/>
      <c r="E100" s="42"/>
      <c r="F100" s="43"/>
      <c r="G100" s="25"/>
      <c r="H100" s="1"/>
    </row>
    <row r="101" spans="1:8" x14ac:dyDescent="0.25">
      <c r="A101" s="42"/>
      <c r="B101" s="26"/>
      <c r="C101" s="25"/>
      <c r="D101" s="42"/>
      <c r="E101" s="42"/>
      <c r="F101" s="43"/>
      <c r="G101" s="25"/>
      <c r="H101" s="1"/>
    </row>
    <row r="102" spans="1:8" x14ac:dyDescent="0.25">
      <c r="A102" s="42"/>
      <c r="B102" s="26"/>
      <c r="C102" s="25"/>
      <c r="D102" s="42"/>
      <c r="E102" s="42"/>
      <c r="F102" s="43"/>
      <c r="G102" s="25"/>
      <c r="H102" s="1"/>
    </row>
    <row r="103" spans="1:8" x14ac:dyDescent="0.25">
      <c r="A103" s="42"/>
      <c r="B103" s="26"/>
      <c r="C103" s="25"/>
      <c r="D103" s="42"/>
      <c r="E103" s="42"/>
      <c r="F103" s="43"/>
      <c r="G103" s="25"/>
      <c r="H103" s="1"/>
    </row>
    <row r="104" spans="1:8" x14ac:dyDescent="0.25">
      <c r="A104" s="42"/>
      <c r="B104" s="26"/>
      <c r="C104" s="25"/>
      <c r="D104" s="42"/>
      <c r="E104" s="42"/>
      <c r="F104" s="43"/>
      <c r="G104" s="25"/>
      <c r="H104" s="1"/>
    </row>
    <row r="105" spans="1:8" x14ac:dyDescent="0.25">
      <c r="A105" s="42"/>
      <c r="B105" s="26"/>
      <c r="C105" s="26"/>
      <c r="D105" s="42"/>
      <c r="E105" s="42"/>
      <c r="F105" s="43"/>
      <c r="G105" s="25"/>
      <c r="H105" s="1"/>
    </row>
    <row r="106" spans="1:8" x14ac:dyDescent="0.25">
      <c r="A106" s="42"/>
      <c r="B106" s="26"/>
      <c r="C106" s="25"/>
      <c r="D106" s="42"/>
      <c r="E106" s="42"/>
      <c r="F106" s="43"/>
      <c r="G106" s="25"/>
      <c r="H106" s="1"/>
    </row>
    <row r="107" spans="1:8" x14ac:dyDescent="0.25">
      <c r="A107" s="42"/>
      <c r="B107" s="26"/>
      <c r="C107" s="25"/>
      <c r="D107" s="42"/>
      <c r="E107" s="42"/>
      <c r="F107" s="43"/>
      <c r="G107" s="25"/>
      <c r="H107" s="1"/>
    </row>
    <row r="108" spans="1:8" x14ac:dyDescent="0.25">
      <c r="A108" s="42"/>
      <c r="B108" s="26"/>
      <c r="C108" s="25"/>
      <c r="D108" s="42"/>
      <c r="E108" s="42"/>
      <c r="F108" s="43"/>
      <c r="G108" s="25"/>
      <c r="H108" s="1"/>
    </row>
    <row r="109" spans="1:8" x14ac:dyDescent="0.25">
      <c r="A109" s="42"/>
      <c r="B109" s="26"/>
      <c r="C109" s="25"/>
      <c r="D109" s="42"/>
      <c r="E109" s="42"/>
      <c r="F109" s="43"/>
      <c r="G109" s="25"/>
      <c r="H109" s="1"/>
    </row>
    <row r="110" spans="1:8" x14ac:dyDescent="0.25">
      <c r="A110" s="42"/>
      <c r="B110" s="26"/>
      <c r="C110" s="25"/>
      <c r="D110" s="42"/>
      <c r="E110" s="42"/>
      <c r="F110" s="43"/>
      <c r="G110" s="25"/>
      <c r="H110" s="1"/>
    </row>
    <row r="111" spans="1:8" x14ac:dyDescent="0.25">
      <c r="A111" s="25"/>
      <c r="B111" s="26"/>
      <c r="C111" s="26"/>
      <c r="D111" s="42"/>
      <c r="E111" s="42"/>
      <c r="F111" s="43"/>
      <c r="G111" s="25"/>
      <c r="H111" s="1"/>
    </row>
    <row r="112" spans="1:8" x14ac:dyDescent="0.25">
      <c r="A112" s="42"/>
      <c r="B112" s="26"/>
      <c r="C112" s="26"/>
      <c r="D112" s="42"/>
      <c r="E112" s="42"/>
      <c r="F112" s="43"/>
      <c r="G112" s="25"/>
      <c r="H112" s="1"/>
    </row>
    <row r="113" spans="1:8" x14ac:dyDescent="0.25">
      <c r="A113" s="42"/>
      <c r="B113" s="26"/>
      <c r="C113" s="25"/>
      <c r="D113" s="42"/>
      <c r="E113" s="42"/>
      <c r="F113" s="43"/>
      <c r="G113" s="25"/>
      <c r="H113" s="1"/>
    </row>
    <row r="114" spans="1:8" x14ac:dyDescent="0.25">
      <c r="A114" s="42"/>
      <c r="B114" s="26"/>
      <c r="C114" s="25"/>
      <c r="D114" s="42"/>
      <c r="E114" s="42"/>
      <c r="F114" s="43"/>
      <c r="G114" s="25"/>
      <c r="H114" s="1"/>
    </row>
    <row r="115" spans="1:8" x14ac:dyDescent="0.25">
      <c r="A115" s="42"/>
      <c r="B115" s="26"/>
      <c r="C115" s="25"/>
      <c r="D115" s="42"/>
      <c r="E115" s="42"/>
      <c r="F115" s="43"/>
      <c r="G115" s="25"/>
      <c r="H115" s="1"/>
    </row>
    <row r="116" spans="1:8" x14ac:dyDescent="0.25">
      <c r="A116" s="42"/>
      <c r="B116" s="26"/>
      <c r="C116" s="25"/>
      <c r="D116" s="42"/>
      <c r="E116" s="42"/>
      <c r="F116" s="43"/>
      <c r="G116" s="25"/>
      <c r="H116" s="1"/>
    </row>
    <row r="117" spans="1:8" x14ac:dyDescent="0.25">
      <c r="A117" s="42"/>
      <c r="B117" s="26"/>
      <c r="C117" s="26"/>
      <c r="D117" s="42"/>
      <c r="E117" s="42"/>
      <c r="F117" s="43"/>
      <c r="G117" s="25"/>
      <c r="H117" s="1"/>
    </row>
    <row r="118" spans="1:8" x14ac:dyDescent="0.25">
      <c r="A118" s="42"/>
      <c r="B118" s="26"/>
      <c r="C118" s="25"/>
      <c r="D118" s="42"/>
      <c r="E118" s="42"/>
      <c r="F118" s="43"/>
      <c r="G118" s="25"/>
      <c r="H118" s="1"/>
    </row>
    <row r="119" spans="1:8" x14ac:dyDescent="0.25">
      <c r="A119" s="42"/>
      <c r="B119" s="26"/>
      <c r="C119" s="25"/>
      <c r="D119" s="42"/>
      <c r="E119" s="42"/>
      <c r="F119" s="43"/>
      <c r="G119" s="25"/>
      <c r="H119" s="1"/>
    </row>
    <row r="120" spans="1:8" x14ac:dyDescent="0.25">
      <c r="A120" s="42"/>
      <c r="B120" s="26"/>
      <c r="C120" s="25"/>
      <c r="D120" s="42"/>
      <c r="E120" s="42"/>
      <c r="F120" s="43"/>
      <c r="G120" s="25"/>
      <c r="H120" s="1"/>
    </row>
    <row r="121" spans="1:8" x14ac:dyDescent="0.25">
      <c r="A121" s="42"/>
      <c r="B121" s="26"/>
      <c r="C121" s="25"/>
      <c r="D121" s="42"/>
      <c r="E121" s="42"/>
      <c r="F121" s="43"/>
      <c r="G121" s="25"/>
      <c r="H121" s="1"/>
    </row>
    <row r="122" spans="1:8" x14ac:dyDescent="0.25">
      <c r="A122" s="42"/>
      <c r="B122" s="26"/>
      <c r="C122" s="25"/>
      <c r="D122" s="42"/>
      <c r="E122" s="42"/>
      <c r="F122" s="43"/>
      <c r="G122" s="25"/>
      <c r="H122" s="1"/>
    </row>
    <row r="123" spans="1:8" x14ac:dyDescent="0.25">
      <c r="A123" s="42"/>
      <c r="B123" s="26"/>
      <c r="C123" s="25"/>
      <c r="D123" s="42"/>
      <c r="E123" s="42"/>
      <c r="F123" s="43"/>
      <c r="G123" s="25"/>
      <c r="H123" s="1"/>
    </row>
    <row r="124" spans="1:8" x14ac:dyDescent="0.25">
      <c r="A124" s="42"/>
      <c r="B124" s="26"/>
      <c r="C124" s="25"/>
      <c r="D124" s="42"/>
      <c r="E124" s="42"/>
      <c r="F124" s="43"/>
      <c r="G124" s="25"/>
      <c r="H124" s="1"/>
    </row>
    <row r="125" spans="1:8" x14ac:dyDescent="0.25">
      <c r="A125" s="42"/>
      <c r="B125" s="26"/>
      <c r="C125" s="25"/>
      <c r="D125" s="42"/>
      <c r="E125" s="42"/>
      <c r="F125" s="43"/>
      <c r="G125" s="25"/>
      <c r="H125" s="1"/>
    </row>
    <row r="126" spans="1:8" x14ac:dyDescent="0.25">
      <c r="A126" s="42"/>
      <c r="B126" s="26"/>
      <c r="C126" s="25"/>
      <c r="D126" s="42"/>
      <c r="E126" s="42"/>
      <c r="F126" s="43"/>
      <c r="G126" s="25"/>
      <c r="H126" s="1"/>
    </row>
    <row r="127" spans="1:8" x14ac:dyDescent="0.25">
      <c r="A127" s="42"/>
      <c r="B127" s="26"/>
      <c r="C127" s="25"/>
      <c r="D127" s="42"/>
      <c r="E127" s="42"/>
      <c r="F127" s="43"/>
      <c r="G127" s="25"/>
      <c r="H127" s="1"/>
    </row>
    <row r="128" spans="1:8" x14ac:dyDescent="0.25">
      <c r="A128" s="42"/>
      <c r="B128" s="26"/>
      <c r="C128" s="25"/>
      <c r="D128" s="42"/>
      <c r="E128" s="42"/>
      <c r="F128" s="43"/>
      <c r="G128" s="25"/>
      <c r="H128" s="1"/>
    </row>
    <row r="129" spans="1:8" x14ac:dyDescent="0.25">
      <c r="A129" s="42"/>
      <c r="B129" s="26"/>
      <c r="C129" s="25"/>
      <c r="D129" s="42"/>
      <c r="E129" s="42"/>
      <c r="F129" s="43"/>
      <c r="G129" s="25"/>
      <c r="H129" s="1"/>
    </row>
    <row r="130" spans="1:8" x14ac:dyDescent="0.25">
      <c r="A130" s="42"/>
      <c r="B130" s="26"/>
      <c r="C130" s="25"/>
      <c r="D130" s="42"/>
      <c r="E130" s="42"/>
      <c r="F130" s="43"/>
      <c r="G130" s="25"/>
      <c r="H130" s="1"/>
    </row>
    <row r="131" spans="1:8" x14ac:dyDescent="0.25">
      <c r="A131" s="42"/>
      <c r="B131" s="26"/>
      <c r="C131" s="25"/>
      <c r="D131" s="42"/>
      <c r="E131" s="42"/>
      <c r="F131" s="43"/>
      <c r="G131" s="25"/>
      <c r="H131" s="1"/>
    </row>
    <row r="132" spans="1:8" x14ac:dyDescent="0.25">
      <c r="A132" s="42"/>
      <c r="B132" s="26"/>
      <c r="C132" s="25"/>
      <c r="D132" s="42"/>
      <c r="E132" s="42"/>
      <c r="F132" s="43"/>
      <c r="G132" s="25"/>
      <c r="H132" s="1"/>
    </row>
    <row r="133" spans="1:8" x14ac:dyDescent="0.25">
      <c r="A133" s="42"/>
      <c r="B133" s="26"/>
      <c r="C133" s="26"/>
      <c r="D133" s="42"/>
      <c r="E133" s="42"/>
      <c r="F133" s="43"/>
      <c r="G133" s="25"/>
      <c r="H133" s="1"/>
    </row>
    <row r="134" spans="1:8" x14ac:dyDescent="0.25">
      <c r="A134" s="42"/>
      <c r="B134" s="26"/>
      <c r="C134" s="26"/>
      <c r="D134" s="42"/>
      <c r="E134" s="42"/>
      <c r="F134" s="43"/>
      <c r="G134" s="25"/>
      <c r="H134" s="1"/>
    </row>
    <row r="135" spans="1:8" x14ac:dyDescent="0.25">
      <c r="A135" s="42"/>
      <c r="B135" s="26"/>
      <c r="C135" s="25"/>
      <c r="D135" s="42"/>
      <c r="E135" s="42"/>
      <c r="F135" s="43"/>
      <c r="G135" s="25"/>
      <c r="H135" s="1"/>
    </row>
    <row r="136" spans="1:8" x14ac:dyDescent="0.25">
      <c r="A136" s="42"/>
      <c r="B136" s="26"/>
      <c r="C136" s="25"/>
      <c r="D136" s="42"/>
      <c r="E136" s="42"/>
      <c r="F136" s="43"/>
      <c r="G136" s="25"/>
      <c r="H136" s="1"/>
    </row>
    <row r="137" spans="1:8" x14ac:dyDescent="0.25">
      <c r="A137" s="42"/>
      <c r="B137" s="26"/>
      <c r="C137" s="25"/>
      <c r="D137" s="42"/>
      <c r="E137" s="42"/>
      <c r="F137" s="43"/>
      <c r="G137" s="25"/>
      <c r="H137" s="1"/>
    </row>
    <row r="138" spans="1:8" x14ac:dyDescent="0.25">
      <c r="A138" s="42"/>
      <c r="B138" s="26"/>
      <c r="C138" s="25"/>
      <c r="D138" s="42"/>
      <c r="E138" s="42"/>
      <c r="F138" s="43"/>
      <c r="G138" s="25"/>
      <c r="H138" s="1"/>
    </row>
    <row r="139" spans="1:8" x14ac:dyDescent="0.25">
      <c r="A139" s="42"/>
      <c r="B139" s="26"/>
      <c r="C139" s="26"/>
      <c r="D139" s="42"/>
      <c r="E139" s="42"/>
      <c r="F139" s="43"/>
      <c r="G139" s="25"/>
      <c r="H139" s="1"/>
    </row>
    <row r="140" spans="1:8" x14ac:dyDescent="0.25">
      <c r="A140" s="42"/>
      <c r="B140" s="26"/>
      <c r="C140" s="25"/>
      <c r="D140" s="42"/>
      <c r="E140" s="42"/>
      <c r="F140" s="43"/>
      <c r="G140" s="25"/>
      <c r="H140" s="1"/>
    </row>
    <row r="141" spans="1:8" x14ac:dyDescent="0.25">
      <c r="A141" s="42"/>
      <c r="B141" s="26"/>
      <c r="C141" s="25"/>
      <c r="D141" s="42"/>
      <c r="E141" s="42"/>
      <c r="F141" s="43"/>
      <c r="G141" s="25"/>
      <c r="H141" s="1"/>
    </row>
    <row r="142" spans="1:8" x14ac:dyDescent="0.25">
      <c r="A142" s="42"/>
      <c r="B142" s="26"/>
      <c r="C142" s="25"/>
      <c r="D142" s="42"/>
      <c r="E142" s="42"/>
      <c r="F142" s="43"/>
      <c r="G142" s="25"/>
      <c r="H142" s="1"/>
    </row>
    <row r="143" spans="1:8" x14ac:dyDescent="0.25">
      <c r="A143" s="42"/>
      <c r="B143" s="26"/>
      <c r="C143" s="25"/>
      <c r="D143" s="42"/>
      <c r="E143" s="42"/>
      <c r="F143" s="43"/>
      <c r="G143" s="25"/>
      <c r="H143" s="1"/>
    </row>
    <row r="144" spans="1:8" x14ac:dyDescent="0.25">
      <c r="A144" s="42"/>
      <c r="B144" s="26"/>
      <c r="C144" s="25"/>
      <c r="D144" s="42"/>
      <c r="E144" s="42"/>
      <c r="F144" s="43"/>
      <c r="G144" s="25"/>
      <c r="H144" s="1"/>
    </row>
    <row r="145" spans="1:8" x14ac:dyDescent="0.25">
      <c r="A145" s="42"/>
      <c r="B145" s="26"/>
      <c r="C145" s="25"/>
      <c r="D145" s="42"/>
      <c r="E145" s="42"/>
      <c r="F145" s="43"/>
      <c r="G145" s="25"/>
      <c r="H145" s="1"/>
    </row>
    <row r="146" spans="1:8" x14ac:dyDescent="0.25">
      <c r="A146" s="42"/>
      <c r="B146" s="26"/>
      <c r="C146" s="25"/>
      <c r="D146" s="42"/>
      <c r="E146" s="42"/>
      <c r="F146" s="43"/>
      <c r="G146" s="25"/>
      <c r="H146" s="1"/>
    </row>
    <row r="147" spans="1:8" x14ac:dyDescent="0.25">
      <c r="A147" s="42"/>
      <c r="B147" s="26"/>
      <c r="C147" s="25"/>
      <c r="D147" s="42"/>
      <c r="E147" s="42"/>
      <c r="F147" s="43"/>
      <c r="G147" s="25"/>
      <c r="H147" s="1"/>
    </row>
    <row r="148" spans="1:8" x14ac:dyDescent="0.25">
      <c r="A148" s="42"/>
      <c r="B148" s="26"/>
      <c r="C148" s="25"/>
      <c r="D148" s="42"/>
      <c r="E148" s="42"/>
      <c r="F148" s="43"/>
      <c r="G148" s="25"/>
      <c r="H148" s="1"/>
    </row>
    <row r="149" spans="1:8" x14ac:dyDescent="0.25">
      <c r="A149" s="42"/>
      <c r="B149" s="26"/>
      <c r="C149" s="25"/>
      <c r="D149" s="42"/>
      <c r="E149" s="42"/>
      <c r="F149" s="43"/>
      <c r="G149" s="25"/>
      <c r="H149" s="1"/>
    </row>
    <row r="150" spans="1:8" x14ac:dyDescent="0.25">
      <c r="A150" s="42"/>
      <c r="B150" s="26"/>
      <c r="C150" s="25"/>
      <c r="D150" s="42"/>
      <c r="E150" s="42"/>
      <c r="F150" s="43"/>
      <c r="G150" s="25"/>
      <c r="H150" s="1"/>
    </row>
    <row r="151" spans="1:8" x14ac:dyDescent="0.25">
      <c r="A151" s="42"/>
      <c r="B151" s="26"/>
      <c r="C151" s="25"/>
      <c r="D151" s="42"/>
      <c r="E151" s="42"/>
      <c r="F151" s="43"/>
      <c r="G151" s="25"/>
      <c r="H151" s="1"/>
    </row>
    <row r="152" spans="1:8" x14ac:dyDescent="0.25">
      <c r="A152" s="42"/>
      <c r="B152" s="26"/>
      <c r="C152" s="25"/>
      <c r="D152" s="42"/>
      <c r="E152" s="42"/>
      <c r="F152" s="43"/>
      <c r="G152" s="25"/>
      <c r="H152" s="1"/>
    </row>
    <row r="153" spans="1:8" x14ac:dyDescent="0.25">
      <c r="A153" s="42"/>
      <c r="B153" s="26"/>
      <c r="C153" s="25"/>
      <c r="D153" s="42"/>
      <c r="E153" s="42"/>
      <c r="F153" s="43"/>
      <c r="G153" s="25"/>
      <c r="H153" s="1"/>
    </row>
    <row r="154" spans="1:8" x14ac:dyDescent="0.25">
      <c r="A154" s="42"/>
      <c r="B154" s="26"/>
      <c r="C154" s="25"/>
      <c r="D154" s="42"/>
      <c r="E154" s="42"/>
      <c r="F154" s="43"/>
      <c r="G154" s="25"/>
      <c r="H154" s="1"/>
    </row>
    <row r="155" spans="1:8" x14ac:dyDescent="0.25">
      <c r="A155" s="42"/>
      <c r="B155" s="26"/>
      <c r="C155" s="25"/>
      <c r="D155" s="42"/>
      <c r="E155" s="42"/>
      <c r="F155" s="43"/>
      <c r="G155" s="25"/>
      <c r="H155" s="1"/>
    </row>
    <row r="156" spans="1:8" x14ac:dyDescent="0.25">
      <c r="A156" s="42"/>
      <c r="B156" s="26"/>
      <c r="C156" s="25"/>
      <c r="D156" s="42"/>
      <c r="E156" s="42"/>
      <c r="F156" s="43"/>
      <c r="G156" s="25"/>
      <c r="H156" s="1"/>
    </row>
    <row r="157" spans="1:8" x14ac:dyDescent="0.25">
      <c r="A157" s="42"/>
      <c r="B157" s="26"/>
      <c r="C157" s="25"/>
      <c r="D157" s="42"/>
      <c r="E157" s="42"/>
      <c r="F157" s="43"/>
      <c r="G157" s="25"/>
      <c r="H157" s="1"/>
    </row>
    <row r="158" spans="1:8" x14ac:dyDescent="0.25">
      <c r="A158" s="42"/>
      <c r="B158" s="26"/>
      <c r="C158" s="25"/>
      <c r="D158" s="42"/>
      <c r="E158" s="42"/>
      <c r="F158" s="43"/>
      <c r="G158" s="25"/>
      <c r="H158" s="1"/>
    </row>
    <row r="159" spans="1:8" x14ac:dyDescent="0.25">
      <c r="A159" s="42"/>
      <c r="B159" s="26"/>
      <c r="C159" s="25"/>
      <c r="D159" s="42"/>
      <c r="E159" s="42"/>
      <c r="F159" s="43"/>
      <c r="G159" s="25"/>
      <c r="H159" s="1"/>
    </row>
    <row r="160" spans="1:8" x14ac:dyDescent="0.25">
      <c r="A160" s="42"/>
      <c r="B160" s="26"/>
      <c r="C160" s="25"/>
      <c r="D160" s="42"/>
      <c r="E160" s="42"/>
      <c r="F160" s="43"/>
      <c r="G160" s="25"/>
      <c r="H160" s="1"/>
    </row>
    <row r="161" spans="1:8" x14ac:dyDescent="0.25">
      <c r="A161" s="42"/>
      <c r="B161" s="26"/>
      <c r="C161" s="25"/>
      <c r="D161" s="42"/>
      <c r="E161" s="42"/>
      <c r="F161" s="43"/>
      <c r="G161" s="25"/>
      <c r="H161" s="1"/>
    </row>
    <row r="162" spans="1:8" x14ac:dyDescent="0.25">
      <c r="A162" s="42"/>
      <c r="B162" s="26"/>
      <c r="C162" s="25"/>
      <c r="D162" s="42"/>
      <c r="E162" s="42"/>
      <c r="F162" s="43"/>
      <c r="G162" s="25"/>
      <c r="H162" s="1"/>
    </row>
    <row r="163" spans="1:8" x14ac:dyDescent="0.25">
      <c r="A163" s="42"/>
      <c r="B163" s="26"/>
      <c r="C163" s="25"/>
      <c r="D163" s="42"/>
      <c r="E163" s="42"/>
      <c r="F163" s="43"/>
      <c r="G163" s="25"/>
      <c r="H163" s="1"/>
    </row>
    <row r="164" spans="1:8" x14ac:dyDescent="0.25">
      <c r="A164" s="42"/>
      <c r="B164" s="26"/>
      <c r="C164" s="26"/>
      <c r="D164" s="42"/>
      <c r="E164" s="42"/>
      <c r="F164" s="43"/>
      <c r="G164" s="25"/>
      <c r="H164" s="1"/>
    </row>
    <row r="165" spans="1:8" x14ac:dyDescent="0.25">
      <c r="A165" s="42"/>
      <c r="B165" s="26"/>
      <c r="C165" s="25"/>
      <c r="D165" s="42"/>
      <c r="E165" s="42"/>
      <c r="F165" s="43"/>
      <c r="G165" s="25"/>
      <c r="H165" s="1"/>
    </row>
    <row r="166" spans="1:8" x14ac:dyDescent="0.25">
      <c r="A166" s="42"/>
      <c r="B166" s="26"/>
      <c r="C166" s="25"/>
      <c r="D166" s="42"/>
      <c r="E166" s="42"/>
      <c r="F166" s="43"/>
      <c r="G166" s="25"/>
      <c r="H166" s="1"/>
    </row>
    <row r="167" spans="1:8" x14ac:dyDescent="0.25">
      <c r="A167" s="42"/>
      <c r="B167" s="26"/>
      <c r="C167" s="25"/>
      <c r="D167" s="42"/>
      <c r="E167" s="42"/>
      <c r="F167" s="43"/>
      <c r="G167" s="25"/>
      <c r="H167" s="1"/>
    </row>
    <row r="168" spans="1:8" x14ac:dyDescent="0.25">
      <c r="A168" s="42"/>
      <c r="B168" s="26"/>
      <c r="C168" s="25"/>
      <c r="D168" s="42"/>
      <c r="E168" s="42"/>
      <c r="F168" s="43"/>
      <c r="G168" s="25"/>
      <c r="H168" s="1"/>
    </row>
    <row r="169" spans="1:8" x14ac:dyDescent="0.25">
      <c r="A169" s="42"/>
      <c r="B169" s="26"/>
      <c r="C169" s="25"/>
      <c r="D169" s="42"/>
      <c r="E169" s="42"/>
      <c r="F169" s="43"/>
      <c r="G169" s="25"/>
      <c r="H169" s="1"/>
    </row>
    <row r="170" spans="1:8" x14ac:dyDescent="0.25">
      <c r="A170" s="42"/>
      <c r="B170" s="26"/>
      <c r="C170" s="25"/>
      <c r="D170" s="42"/>
      <c r="E170" s="42"/>
      <c r="F170" s="43"/>
      <c r="G170" s="25"/>
      <c r="H170" s="1"/>
    </row>
    <row r="171" spans="1:8" x14ac:dyDescent="0.25">
      <c r="A171" s="42"/>
      <c r="B171" s="26"/>
      <c r="C171" s="25"/>
      <c r="D171" s="42"/>
      <c r="E171" s="42"/>
      <c r="F171" s="43"/>
      <c r="G171" s="25"/>
      <c r="H171" s="1"/>
    </row>
    <row r="172" spans="1:8" x14ac:dyDescent="0.25">
      <c r="A172" s="42"/>
      <c r="B172" s="26"/>
      <c r="C172" s="25"/>
      <c r="D172" s="42"/>
      <c r="E172" s="42"/>
      <c r="F172" s="43"/>
      <c r="G172" s="25"/>
      <c r="H172" s="1"/>
    </row>
    <row r="173" spans="1:8" x14ac:dyDescent="0.25">
      <c r="A173" s="42"/>
      <c r="B173" s="26"/>
      <c r="C173" s="25"/>
      <c r="D173" s="42"/>
      <c r="E173" s="42"/>
      <c r="F173" s="43"/>
      <c r="G173" s="25"/>
      <c r="H173" s="1"/>
    </row>
    <row r="174" spans="1:8" x14ac:dyDescent="0.25">
      <c r="A174" s="42"/>
      <c r="B174" s="26"/>
      <c r="C174" s="25"/>
      <c r="D174" s="42"/>
      <c r="E174" s="42"/>
      <c r="F174" s="43"/>
      <c r="G174" s="25"/>
      <c r="H174" s="1"/>
    </row>
    <row r="175" spans="1:8" x14ac:dyDescent="0.25">
      <c r="A175" s="42"/>
      <c r="B175" s="26"/>
      <c r="C175" s="25"/>
      <c r="D175" s="42"/>
      <c r="E175" s="42"/>
      <c r="F175" s="43"/>
      <c r="G175" s="25"/>
      <c r="H175" s="1"/>
    </row>
    <row r="176" spans="1:8" x14ac:dyDescent="0.25">
      <c r="A176" s="42"/>
      <c r="B176" s="26"/>
      <c r="C176" s="25"/>
      <c r="D176" s="42"/>
      <c r="E176" s="42"/>
      <c r="F176" s="43"/>
      <c r="G176" s="25"/>
      <c r="H176" s="1"/>
    </row>
    <row r="177" spans="1:8" x14ac:dyDescent="0.25">
      <c r="A177" s="42"/>
      <c r="B177" s="26"/>
      <c r="C177" s="25"/>
      <c r="D177" s="42"/>
      <c r="E177" s="42"/>
      <c r="F177" s="43"/>
      <c r="G177" s="25"/>
      <c r="H177" s="1"/>
    </row>
    <row r="178" spans="1:8" x14ac:dyDescent="0.25">
      <c r="A178" s="42"/>
      <c r="B178" s="26"/>
      <c r="C178" s="25"/>
      <c r="D178" s="42"/>
      <c r="E178" s="42"/>
      <c r="F178" s="43"/>
      <c r="G178" s="25"/>
      <c r="H178" s="1"/>
    </row>
    <row r="179" spans="1:8" x14ac:dyDescent="0.25">
      <c r="A179" s="42"/>
      <c r="B179" s="26"/>
      <c r="C179" s="25"/>
      <c r="D179" s="42"/>
      <c r="E179" s="42"/>
      <c r="F179" s="43"/>
      <c r="G179" s="25"/>
      <c r="H179" s="1"/>
    </row>
    <row r="180" spans="1:8" x14ac:dyDescent="0.25">
      <c r="A180" s="42"/>
      <c r="B180" s="26"/>
      <c r="C180" s="25"/>
      <c r="D180" s="42"/>
      <c r="E180" s="42"/>
      <c r="F180" s="43"/>
      <c r="G180" s="25"/>
      <c r="H180" s="1"/>
    </row>
    <row r="181" spans="1:8" x14ac:dyDescent="0.25">
      <c r="A181" s="42"/>
      <c r="B181" s="26"/>
      <c r="C181" s="25"/>
      <c r="D181" s="42"/>
      <c r="E181" s="42"/>
      <c r="F181" s="43"/>
      <c r="G181" s="25"/>
      <c r="H181" s="1"/>
    </row>
    <row r="182" spans="1:8" x14ac:dyDescent="0.25">
      <c r="A182" s="42"/>
      <c r="B182" s="26"/>
      <c r="C182" s="25"/>
      <c r="D182" s="42"/>
      <c r="E182" s="42"/>
      <c r="F182" s="43"/>
      <c r="G182" s="25"/>
      <c r="H182" s="1"/>
    </row>
    <row r="183" spans="1:8" x14ac:dyDescent="0.25">
      <c r="A183" s="42"/>
      <c r="B183" s="26"/>
      <c r="C183" s="25"/>
      <c r="D183" s="42"/>
      <c r="E183" s="42"/>
      <c r="F183" s="43"/>
      <c r="G183" s="25"/>
      <c r="H183" s="1"/>
    </row>
    <row r="184" spans="1:8" x14ac:dyDescent="0.25">
      <c r="A184" s="42"/>
      <c r="B184" s="26"/>
      <c r="C184" s="25"/>
      <c r="D184" s="42"/>
      <c r="E184" s="42"/>
      <c r="F184" s="43"/>
      <c r="G184" s="25"/>
      <c r="H184" s="1"/>
    </row>
    <row r="185" spans="1:8" x14ac:dyDescent="0.25">
      <c r="A185" s="42"/>
      <c r="B185" s="26"/>
      <c r="C185" s="25"/>
      <c r="D185" s="42"/>
      <c r="E185" s="42"/>
      <c r="F185" s="43"/>
      <c r="G185" s="25"/>
      <c r="H185" s="1"/>
    </row>
    <row r="186" spans="1:8" x14ac:dyDescent="0.25">
      <c r="A186" s="42"/>
      <c r="B186" s="26"/>
      <c r="C186" s="25"/>
      <c r="D186" s="42"/>
      <c r="E186" s="42"/>
      <c r="F186" s="43"/>
      <c r="G186" s="25"/>
      <c r="H186" s="1"/>
    </row>
    <row r="187" spans="1:8" x14ac:dyDescent="0.25">
      <c r="A187" s="42"/>
      <c r="B187" s="26"/>
      <c r="C187" s="25"/>
      <c r="D187" s="42"/>
      <c r="E187" s="42"/>
      <c r="F187" s="43"/>
      <c r="G187" s="25"/>
      <c r="H187" s="1"/>
    </row>
    <row r="188" spans="1:8" x14ac:dyDescent="0.25">
      <c r="A188" s="42"/>
      <c r="B188" s="26"/>
      <c r="C188" s="25"/>
      <c r="D188" s="42"/>
      <c r="E188" s="42"/>
      <c r="F188" s="43"/>
      <c r="G188" s="25"/>
      <c r="H188" s="1"/>
    </row>
    <row r="189" spans="1:8" x14ac:dyDescent="0.25">
      <c r="A189" s="42"/>
      <c r="B189" s="26"/>
      <c r="C189" s="25"/>
      <c r="D189" s="42"/>
      <c r="E189" s="42"/>
      <c r="F189" s="43"/>
      <c r="G189" s="25"/>
      <c r="H189" s="1"/>
    </row>
    <row r="190" spans="1:8" x14ac:dyDescent="0.25">
      <c r="A190" s="42"/>
      <c r="B190" s="26"/>
      <c r="C190" s="25"/>
      <c r="D190" s="42"/>
      <c r="E190" s="42"/>
      <c r="F190" s="43"/>
      <c r="G190" s="25"/>
      <c r="H190" s="1"/>
    </row>
    <row r="191" spans="1:8" x14ac:dyDescent="0.25">
      <c r="A191" s="42"/>
      <c r="B191" s="26"/>
      <c r="C191" s="25"/>
      <c r="D191" s="42"/>
      <c r="E191" s="42"/>
      <c r="F191" s="43"/>
      <c r="G191" s="25"/>
      <c r="H191" s="1"/>
    </row>
    <row r="192" spans="1:8" x14ac:dyDescent="0.25">
      <c r="A192" s="42"/>
      <c r="B192" s="26"/>
      <c r="C192" s="25"/>
      <c r="D192" s="42"/>
      <c r="E192" s="42"/>
      <c r="F192" s="43"/>
      <c r="G192" s="25"/>
      <c r="H192" s="1"/>
    </row>
    <row r="193" spans="1:8" x14ac:dyDescent="0.25">
      <c r="A193" s="42"/>
      <c r="B193" s="26"/>
      <c r="C193" s="25"/>
      <c r="D193" s="42"/>
      <c r="E193" s="42"/>
      <c r="F193" s="43"/>
      <c r="G193" s="25"/>
      <c r="H193" s="1"/>
    </row>
    <row r="194" spans="1:8" x14ac:dyDescent="0.25">
      <c r="A194" s="42"/>
      <c r="B194" s="26"/>
      <c r="C194" s="25"/>
      <c r="D194" s="42"/>
      <c r="E194" s="42"/>
      <c r="F194" s="43"/>
      <c r="G194" s="25"/>
      <c r="H194" s="1"/>
    </row>
    <row r="195" spans="1:8" x14ac:dyDescent="0.25">
      <c r="A195" s="42"/>
      <c r="B195" s="26"/>
      <c r="C195" s="25"/>
      <c r="D195" s="42"/>
      <c r="E195" s="42"/>
      <c r="F195" s="43"/>
      <c r="G195" s="25"/>
      <c r="H195" s="1"/>
    </row>
    <row r="196" spans="1:8" x14ac:dyDescent="0.25">
      <c r="A196" s="42"/>
      <c r="B196" s="26"/>
      <c r="C196" s="25"/>
      <c r="D196" s="42"/>
      <c r="E196" s="42"/>
      <c r="F196" s="43"/>
      <c r="G196" s="25"/>
      <c r="H196" s="1"/>
    </row>
    <row r="197" spans="1:8" x14ac:dyDescent="0.25">
      <c r="A197" s="42"/>
      <c r="B197" s="26"/>
      <c r="C197" s="25"/>
      <c r="D197" s="42"/>
      <c r="E197" s="42"/>
      <c r="F197" s="43"/>
      <c r="G197" s="25"/>
      <c r="H197" s="1"/>
    </row>
    <row r="198" spans="1:8" x14ac:dyDescent="0.25">
      <c r="A198" s="42"/>
      <c r="B198" s="26"/>
      <c r="C198" s="25"/>
      <c r="D198" s="42"/>
      <c r="E198" s="42"/>
      <c r="F198" s="43"/>
      <c r="G198" s="25"/>
      <c r="H198" s="1"/>
    </row>
    <row r="199" spans="1:8" x14ac:dyDescent="0.25">
      <c r="A199" s="42"/>
      <c r="B199" s="26"/>
      <c r="C199" s="25"/>
      <c r="D199" s="42"/>
      <c r="E199" s="42"/>
      <c r="F199" s="43"/>
      <c r="G199" s="25"/>
      <c r="H199" s="1"/>
    </row>
    <row r="200" spans="1:8" x14ac:dyDescent="0.25">
      <c r="A200" s="42"/>
      <c r="B200" s="26"/>
      <c r="C200" s="25"/>
      <c r="D200" s="42"/>
      <c r="E200" s="42"/>
      <c r="F200" s="43"/>
      <c r="G200" s="25"/>
      <c r="H200" s="44"/>
    </row>
    <row r="201" spans="1:8" x14ac:dyDescent="0.25">
      <c r="A201" s="42"/>
      <c r="B201" s="26"/>
      <c r="C201" s="25"/>
      <c r="D201" s="42"/>
      <c r="E201" s="42"/>
      <c r="F201" s="43"/>
      <c r="G201" s="25"/>
      <c r="H201" s="1"/>
    </row>
    <row r="202" spans="1:8" x14ac:dyDescent="0.25">
      <c r="A202" s="42"/>
      <c r="B202" s="26"/>
      <c r="C202" s="25"/>
      <c r="D202" s="42"/>
      <c r="E202" s="42"/>
      <c r="F202" s="43"/>
      <c r="G202" s="25"/>
      <c r="H202" s="1"/>
    </row>
    <row r="203" spans="1:8" x14ac:dyDescent="0.25">
      <c r="A203" s="42"/>
      <c r="B203" s="26"/>
      <c r="C203" s="25"/>
      <c r="D203" s="42"/>
      <c r="E203" s="42"/>
      <c r="F203" s="43"/>
      <c r="G203" s="25"/>
      <c r="H203" s="1"/>
    </row>
    <row r="204" spans="1:8" x14ac:dyDescent="0.25">
      <c r="A204" s="42"/>
      <c r="B204" s="26"/>
      <c r="C204" s="25"/>
      <c r="D204" s="42"/>
      <c r="E204" s="42"/>
      <c r="F204" s="43"/>
      <c r="G204" s="25"/>
      <c r="H204" s="1"/>
    </row>
    <row r="205" spans="1:8" x14ac:dyDescent="0.25">
      <c r="A205" s="42"/>
      <c r="B205" s="26"/>
      <c r="C205" s="25"/>
      <c r="D205" s="42"/>
      <c r="E205" s="42"/>
      <c r="F205" s="43"/>
      <c r="G205" s="25"/>
      <c r="H205" s="1"/>
    </row>
    <row r="206" spans="1:8" x14ac:dyDescent="0.25">
      <c r="A206" s="42"/>
      <c r="B206" s="26"/>
      <c r="C206" s="25"/>
      <c r="D206" s="42"/>
      <c r="E206" s="42"/>
      <c r="F206" s="43"/>
      <c r="G206" s="25"/>
      <c r="H206" s="44"/>
    </row>
    <row r="207" spans="1:8" x14ac:dyDescent="0.25">
      <c r="A207" s="42"/>
      <c r="B207" s="26"/>
      <c r="C207" s="25"/>
      <c r="D207" s="42"/>
      <c r="E207" s="42"/>
      <c r="F207" s="43"/>
      <c r="G207" s="25"/>
      <c r="H207" s="1"/>
    </row>
    <row r="208" spans="1:8" x14ac:dyDescent="0.25">
      <c r="A208" s="42"/>
      <c r="B208" s="26"/>
      <c r="C208" s="25"/>
      <c r="D208" s="42"/>
      <c r="E208" s="42"/>
      <c r="F208" s="43"/>
      <c r="G208" s="25"/>
      <c r="H208" s="1"/>
    </row>
    <row r="209" spans="1:8" x14ac:dyDescent="0.25">
      <c r="A209" s="42"/>
      <c r="B209" s="26"/>
      <c r="C209" s="25"/>
      <c r="D209" s="42"/>
      <c r="E209" s="42"/>
      <c r="F209" s="43"/>
      <c r="G209" s="25"/>
      <c r="H209" s="1"/>
    </row>
    <row r="210" spans="1:8" x14ac:dyDescent="0.25">
      <c r="A210" s="42"/>
      <c r="B210" s="26"/>
      <c r="C210" s="25"/>
      <c r="D210" s="42"/>
      <c r="E210" s="42"/>
      <c r="F210" s="43"/>
      <c r="G210" s="25"/>
      <c r="H210" s="1"/>
    </row>
    <row r="211" spans="1:8" x14ac:dyDescent="0.25">
      <c r="A211" s="42"/>
      <c r="B211" s="26"/>
      <c r="C211" s="25"/>
      <c r="D211" s="42"/>
      <c r="E211" s="42"/>
      <c r="F211" s="43"/>
      <c r="G211" s="25"/>
      <c r="H211" s="1"/>
    </row>
    <row r="212" spans="1:8" x14ac:dyDescent="0.25">
      <c r="A212" s="42"/>
      <c r="B212" s="26"/>
      <c r="C212" s="25"/>
      <c r="D212" s="42"/>
      <c r="E212" s="42"/>
      <c r="F212" s="43"/>
      <c r="G212" s="25"/>
      <c r="H212" s="1"/>
    </row>
    <row r="213" spans="1:8" x14ac:dyDescent="0.25">
      <c r="A213" s="42"/>
      <c r="B213" s="26"/>
      <c r="C213" s="25"/>
      <c r="D213" s="42"/>
      <c r="E213" s="42"/>
      <c r="F213" s="43"/>
      <c r="G213" s="25"/>
      <c r="H213" s="1"/>
    </row>
    <row r="214" spans="1:8" x14ac:dyDescent="0.25">
      <c r="A214" s="42"/>
      <c r="B214" s="26"/>
      <c r="C214" s="25"/>
      <c r="D214" s="42"/>
      <c r="E214" s="42"/>
      <c r="F214" s="43"/>
      <c r="G214" s="25"/>
      <c r="H214" s="1"/>
    </row>
    <row r="215" spans="1:8" x14ac:dyDescent="0.25">
      <c r="A215" s="42"/>
      <c r="B215" s="26"/>
      <c r="C215" s="25"/>
      <c r="D215" s="42"/>
      <c r="E215" s="42"/>
      <c r="F215" s="43"/>
      <c r="G215" s="25"/>
      <c r="H215" s="1"/>
    </row>
    <row r="216" spans="1:8" x14ac:dyDescent="0.25">
      <c r="A216" s="42"/>
      <c r="B216" s="26"/>
      <c r="C216" s="25"/>
      <c r="D216" s="42"/>
      <c r="E216" s="42"/>
      <c r="F216" s="43"/>
      <c r="G216" s="25"/>
      <c r="H216" s="1"/>
    </row>
    <row r="217" spans="1:8" x14ac:dyDescent="0.25">
      <c r="A217" s="42"/>
      <c r="B217" s="26"/>
      <c r="C217" s="25"/>
      <c r="D217" s="42"/>
      <c r="E217" s="42"/>
      <c r="F217" s="43"/>
      <c r="G217" s="25"/>
      <c r="H217" s="1"/>
    </row>
    <row r="218" spans="1:8" x14ac:dyDescent="0.25">
      <c r="A218" s="42"/>
      <c r="B218" s="26"/>
      <c r="C218" s="25"/>
      <c r="D218" s="42"/>
      <c r="E218" s="42"/>
      <c r="F218" s="43"/>
      <c r="G218" s="25"/>
      <c r="H218" s="1"/>
    </row>
    <row r="219" spans="1:8" x14ac:dyDescent="0.25">
      <c r="A219" s="42"/>
      <c r="B219" s="26"/>
      <c r="C219" s="25"/>
      <c r="D219" s="42"/>
      <c r="E219" s="42"/>
      <c r="F219" s="43"/>
      <c r="G219" s="25"/>
      <c r="H219" s="1"/>
    </row>
    <row r="220" spans="1:8" x14ac:dyDescent="0.25">
      <c r="A220" s="42"/>
      <c r="B220" s="26"/>
      <c r="C220" s="25"/>
      <c r="D220" s="42"/>
      <c r="E220" s="42"/>
      <c r="F220" s="43"/>
      <c r="G220" s="25"/>
      <c r="H220" s="1"/>
    </row>
    <row r="221" spans="1:8" x14ac:dyDescent="0.25">
      <c r="A221" s="42"/>
      <c r="B221" s="26"/>
      <c r="C221" s="25"/>
      <c r="D221" s="42"/>
      <c r="E221" s="42"/>
      <c r="F221" s="43"/>
      <c r="G221" s="25"/>
      <c r="H221" s="1"/>
    </row>
    <row r="222" spans="1:8" x14ac:dyDescent="0.25">
      <c r="A222" s="42"/>
      <c r="B222" s="26"/>
      <c r="C222" s="25"/>
      <c r="D222" s="42"/>
      <c r="E222" s="42"/>
      <c r="F222" s="43"/>
      <c r="G222" s="42"/>
      <c r="H222" s="1"/>
    </row>
    <row r="223" spans="1:8" x14ac:dyDescent="0.25">
      <c r="A223" s="42"/>
      <c r="B223" s="26"/>
      <c r="C223" s="25"/>
      <c r="D223" s="42"/>
      <c r="E223" s="42"/>
      <c r="F223" s="43"/>
      <c r="G223" s="42"/>
      <c r="H223" s="1"/>
    </row>
    <row r="224" spans="1:8" x14ac:dyDescent="0.25">
      <c r="A224" s="42"/>
      <c r="B224" s="26"/>
      <c r="C224" s="25"/>
      <c r="D224" s="42"/>
      <c r="E224" s="42"/>
      <c r="F224" s="43"/>
      <c r="G224" s="42"/>
      <c r="H224" s="1"/>
    </row>
    <row r="225" spans="1:8" x14ac:dyDescent="0.25">
      <c r="A225" s="42"/>
      <c r="B225" s="26"/>
      <c r="C225" s="25"/>
      <c r="D225" s="42"/>
      <c r="E225" s="42"/>
      <c r="F225" s="43"/>
      <c r="G225" s="42"/>
      <c r="H225" s="1"/>
    </row>
    <row r="226" spans="1:8" x14ac:dyDescent="0.25">
      <c r="A226" s="42"/>
      <c r="B226" s="26"/>
      <c r="C226" s="25"/>
      <c r="D226" s="42"/>
      <c r="E226" s="42"/>
      <c r="F226" s="43"/>
      <c r="G226" s="42"/>
      <c r="H226" s="1"/>
    </row>
    <row r="227" spans="1:8" x14ac:dyDescent="0.25">
      <c r="A227" s="42"/>
      <c r="B227" s="26"/>
      <c r="C227" s="25"/>
      <c r="D227" s="42"/>
      <c r="E227" s="42"/>
      <c r="F227" s="43"/>
      <c r="G227" s="42"/>
      <c r="H227" s="1"/>
    </row>
    <row r="228" spans="1:8" x14ac:dyDescent="0.25">
      <c r="A228" s="42"/>
      <c r="B228" s="26"/>
      <c r="C228" s="25"/>
      <c r="D228" s="42"/>
      <c r="E228" s="42"/>
      <c r="F228" s="43"/>
      <c r="G228" s="42"/>
      <c r="H228" s="1"/>
    </row>
    <row r="229" spans="1:8" x14ac:dyDescent="0.25">
      <c r="A229" s="42"/>
      <c r="B229" s="26"/>
      <c r="C229" s="25"/>
      <c r="D229" s="42"/>
      <c r="E229" s="42"/>
      <c r="F229" s="43"/>
      <c r="G229" s="25"/>
      <c r="H229" s="44"/>
    </row>
    <row r="230" spans="1:8" x14ac:dyDescent="0.25">
      <c r="A230" s="42"/>
      <c r="B230" s="26"/>
      <c r="C230" s="25"/>
      <c r="D230" s="42"/>
      <c r="E230" s="42"/>
      <c r="F230" s="43"/>
      <c r="G230" s="25"/>
      <c r="H230" s="1"/>
    </row>
    <row r="231" spans="1:8" x14ac:dyDescent="0.25">
      <c r="A231" s="42"/>
      <c r="B231" s="26"/>
      <c r="C231" s="25"/>
      <c r="D231" s="42"/>
      <c r="E231" s="42"/>
      <c r="F231" s="43"/>
      <c r="G231" s="25"/>
      <c r="H231" s="1"/>
    </row>
    <row r="232" spans="1:8" x14ac:dyDescent="0.25">
      <c r="A232" s="42"/>
      <c r="B232" s="26"/>
      <c r="C232" s="25"/>
      <c r="D232" s="42"/>
      <c r="E232" s="42"/>
      <c r="F232" s="43"/>
      <c r="G232" s="25"/>
      <c r="H232" s="1"/>
    </row>
    <row r="233" spans="1:8" x14ac:dyDescent="0.25">
      <c r="A233" s="42"/>
      <c r="B233" s="26"/>
      <c r="C233" s="25"/>
      <c r="D233" s="42"/>
      <c r="E233" s="42"/>
      <c r="F233" s="43"/>
      <c r="G233" s="25"/>
      <c r="H233" s="1"/>
    </row>
    <row r="234" spans="1:8" x14ac:dyDescent="0.25">
      <c r="A234" s="42"/>
      <c r="B234" s="26"/>
      <c r="C234" s="25"/>
      <c r="D234" s="42"/>
      <c r="E234" s="42"/>
      <c r="F234" s="43"/>
      <c r="G234" s="25"/>
      <c r="H234" s="1"/>
    </row>
    <row r="235" spans="1:8" x14ac:dyDescent="0.25">
      <c r="A235" s="42"/>
      <c r="B235" s="26"/>
      <c r="C235" s="25"/>
      <c r="D235" s="42"/>
      <c r="E235" s="42"/>
      <c r="F235" s="43"/>
      <c r="G235" s="25"/>
      <c r="H235" s="1"/>
    </row>
    <row r="236" spans="1:8" x14ac:dyDescent="0.25">
      <c r="A236" s="42"/>
      <c r="B236" s="26"/>
      <c r="C236" s="25"/>
      <c r="D236" s="42"/>
      <c r="E236" s="42"/>
      <c r="F236" s="43"/>
      <c r="G236" s="25"/>
      <c r="H236" s="1"/>
    </row>
    <row r="237" spans="1:8" x14ac:dyDescent="0.25">
      <c r="A237" s="42"/>
      <c r="B237" s="26"/>
      <c r="C237" s="25"/>
      <c r="D237" s="42"/>
      <c r="E237" s="42"/>
      <c r="F237" s="43"/>
      <c r="G237" s="25"/>
      <c r="H237" s="1"/>
    </row>
    <row r="238" spans="1:8" x14ac:dyDescent="0.25">
      <c r="A238" s="42"/>
      <c r="B238" s="26"/>
      <c r="C238" s="25"/>
      <c r="D238" s="42"/>
      <c r="E238" s="42"/>
      <c r="F238" s="43"/>
      <c r="G238" s="25"/>
      <c r="H238" s="1"/>
    </row>
    <row r="239" spans="1:8" x14ac:dyDescent="0.25">
      <c r="A239" s="25"/>
      <c r="B239" s="26"/>
      <c r="C239" s="25"/>
      <c r="D239" s="42"/>
      <c r="E239" s="42"/>
      <c r="F239" s="43"/>
      <c r="G239" s="25"/>
      <c r="H239" s="1"/>
    </row>
    <row r="240" spans="1:8" x14ac:dyDescent="0.25">
      <c r="A240" s="42"/>
      <c r="B240" s="26"/>
      <c r="C240" s="25"/>
      <c r="D240" s="42"/>
      <c r="E240" s="42"/>
      <c r="F240" s="43"/>
      <c r="G240" s="25"/>
      <c r="H240" s="1"/>
    </row>
    <row r="241" spans="1:8" x14ac:dyDescent="0.25">
      <c r="A241" s="42"/>
      <c r="B241" s="26"/>
      <c r="C241" s="25"/>
      <c r="D241" s="42"/>
      <c r="E241" s="42"/>
      <c r="F241" s="43"/>
      <c r="G241" s="25"/>
      <c r="H241" s="1"/>
    </row>
    <row r="242" spans="1:8" x14ac:dyDescent="0.25">
      <c r="A242" s="42"/>
      <c r="B242" s="26"/>
      <c r="C242" s="25"/>
      <c r="D242" s="42"/>
      <c r="E242" s="42"/>
      <c r="F242" s="43"/>
      <c r="G242" s="25"/>
      <c r="H242" s="1"/>
    </row>
    <row r="243" spans="1:8" x14ac:dyDescent="0.25">
      <c r="A243" s="42"/>
      <c r="B243" s="26"/>
      <c r="C243" s="26"/>
      <c r="D243" s="42"/>
      <c r="E243" s="42"/>
      <c r="F243" s="43"/>
      <c r="G243" s="25"/>
      <c r="H243" s="1"/>
    </row>
    <row r="244" spans="1:8" x14ac:dyDescent="0.25">
      <c r="A244" s="42"/>
      <c r="B244" s="26"/>
      <c r="C244" s="25"/>
      <c r="D244" s="42"/>
      <c r="E244" s="42"/>
      <c r="F244" s="43"/>
      <c r="G244" s="25"/>
      <c r="H244" s="1"/>
    </row>
    <row r="245" spans="1:8" x14ac:dyDescent="0.25">
      <c r="A245" s="42"/>
      <c r="B245" s="26"/>
      <c r="C245" s="25"/>
      <c r="D245" s="42"/>
      <c r="E245" s="42"/>
      <c r="F245" s="43"/>
      <c r="G245" s="25"/>
      <c r="H245" s="1"/>
    </row>
    <row r="246" spans="1:8" x14ac:dyDescent="0.25">
      <c r="A246" s="42"/>
      <c r="B246" s="26"/>
      <c r="C246" s="25"/>
      <c r="D246" s="42"/>
      <c r="E246" s="42"/>
      <c r="F246" s="43"/>
      <c r="G246" s="25"/>
      <c r="H246" s="1"/>
    </row>
    <row r="247" spans="1:8" x14ac:dyDescent="0.25">
      <c r="A247" s="42"/>
      <c r="B247" s="26"/>
      <c r="C247" s="25"/>
      <c r="D247" s="42"/>
      <c r="E247" s="42"/>
      <c r="F247" s="43"/>
      <c r="G247" s="25"/>
      <c r="H247" s="1"/>
    </row>
    <row r="248" spans="1:8" x14ac:dyDescent="0.25">
      <c r="A248" s="42"/>
      <c r="B248" s="26"/>
      <c r="C248" s="25"/>
      <c r="D248" s="42"/>
      <c r="E248" s="42"/>
      <c r="F248" s="43"/>
      <c r="G248" s="25"/>
      <c r="H248" s="1"/>
    </row>
    <row r="249" spans="1:8" x14ac:dyDescent="0.25">
      <c r="A249" s="42"/>
      <c r="B249" s="26"/>
      <c r="C249" s="25"/>
      <c r="D249" s="42"/>
      <c r="E249" s="42"/>
      <c r="F249" s="43"/>
      <c r="G249" s="25"/>
      <c r="H249" s="1"/>
    </row>
    <row r="250" spans="1:8" x14ac:dyDescent="0.25">
      <c r="A250" s="42"/>
      <c r="B250" s="26"/>
      <c r="C250" s="25"/>
      <c r="D250" s="42"/>
      <c r="E250" s="42"/>
      <c r="F250" s="43"/>
      <c r="G250" s="25"/>
      <c r="H250" s="1"/>
    </row>
    <row r="251" spans="1:8" x14ac:dyDescent="0.25">
      <c r="A251" s="42"/>
      <c r="B251" s="26"/>
      <c r="C251" s="25"/>
      <c r="D251" s="42"/>
      <c r="E251" s="42"/>
      <c r="F251" s="43"/>
      <c r="G251" s="25"/>
      <c r="H251" s="1"/>
    </row>
    <row r="252" spans="1:8" x14ac:dyDescent="0.25">
      <c r="A252" s="42"/>
      <c r="B252" s="26"/>
      <c r="C252" s="25"/>
      <c r="D252" s="42"/>
      <c r="E252" s="42"/>
      <c r="F252" s="43"/>
      <c r="G252" s="25"/>
      <c r="H252" s="1"/>
    </row>
    <row r="253" spans="1:8" x14ac:dyDescent="0.25">
      <c r="A253" s="42"/>
      <c r="B253" s="26"/>
      <c r="C253" s="25"/>
      <c r="D253" s="42"/>
      <c r="E253" s="42"/>
      <c r="F253" s="43"/>
      <c r="G253" s="25"/>
      <c r="H253" s="1"/>
    </row>
    <row r="254" spans="1:8" x14ac:dyDescent="0.25">
      <c r="A254" s="42"/>
      <c r="B254" s="26"/>
      <c r="C254" s="25"/>
      <c r="D254" s="42"/>
      <c r="E254" s="42"/>
      <c r="F254" s="43"/>
      <c r="G254" s="25"/>
      <c r="H254" s="1"/>
    </row>
    <row r="255" spans="1:8" x14ac:dyDescent="0.25">
      <c r="A255" s="42"/>
      <c r="B255" s="26"/>
      <c r="C255" s="25"/>
      <c r="D255" s="42"/>
      <c r="E255" s="42"/>
      <c r="F255" s="43"/>
      <c r="G255" s="25"/>
      <c r="H255" s="1"/>
    </row>
    <row r="256" spans="1:8" x14ac:dyDescent="0.25">
      <c r="A256" s="42"/>
      <c r="B256" s="26"/>
      <c r="C256" s="25"/>
      <c r="D256" s="42"/>
      <c r="E256" s="42"/>
      <c r="F256" s="43"/>
      <c r="G256" s="25"/>
      <c r="H256" s="1"/>
    </row>
    <row r="257" spans="1:8" x14ac:dyDescent="0.25">
      <c r="A257" s="42"/>
      <c r="B257" s="26"/>
      <c r="C257" s="25"/>
      <c r="D257" s="42"/>
      <c r="E257" s="42"/>
      <c r="F257" s="43"/>
      <c r="G257" s="25"/>
      <c r="H257" s="1"/>
    </row>
    <row r="258" spans="1:8" x14ac:dyDescent="0.25">
      <c r="A258" s="42"/>
      <c r="B258" s="26"/>
      <c r="C258" s="25"/>
      <c r="D258" s="42"/>
      <c r="E258" s="42"/>
      <c r="F258" s="43"/>
      <c r="G258" s="25"/>
      <c r="H258" s="1"/>
    </row>
    <row r="259" spans="1:8" x14ac:dyDescent="0.25">
      <c r="A259" s="42"/>
      <c r="B259" s="26"/>
      <c r="C259" s="25"/>
      <c r="D259" s="42"/>
      <c r="E259" s="42"/>
      <c r="F259" s="43"/>
      <c r="G259" s="25"/>
      <c r="H259" s="1"/>
    </row>
    <row r="260" spans="1:8" x14ac:dyDescent="0.25">
      <c r="A260" s="42"/>
      <c r="B260" s="26"/>
      <c r="C260" s="25"/>
      <c r="D260" s="42"/>
      <c r="E260" s="42"/>
      <c r="F260" s="43"/>
      <c r="G260" s="25"/>
      <c r="H260" s="1"/>
    </row>
    <row r="261" spans="1:8" x14ac:dyDescent="0.25">
      <c r="A261" s="42"/>
      <c r="B261" s="26"/>
      <c r="C261" s="25"/>
      <c r="D261" s="42"/>
      <c r="E261" s="42"/>
      <c r="F261" s="43"/>
      <c r="G261" s="25"/>
      <c r="H261" s="1"/>
    </row>
    <row r="262" spans="1:8" x14ac:dyDescent="0.25">
      <c r="A262" s="42"/>
      <c r="B262" s="26"/>
      <c r="C262" s="25"/>
      <c r="D262" s="42"/>
      <c r="E262" s="42"/>
      <c r="F262" s="43"/>
      <c r="G262" s="25"/>
      <c r="H262" s="1"/>
    </row>
    <row r="263" spans="1:8" x14ac:dyDescent="0.25">
      <c r="A263" s="42"/>
      <c r="B263" s="26"/>
      <c r="C263" s="25"/>
      <c r="D263" s="42"/>
      <c r="E263" s="42"/>
      <c r="F263" s="43"/>
      <c r="G263" s="25"/>
      <c r="H263" s="1"/>
    </row>
    <row r="264" spans="1:8" x14ac:dyDescent="0.25">
      <c r="A264" s="42"/>
      <c r="B264" s="26"/>
      <c r="C264" s="25"/>
      <c r="D264" s="42"/>
      <c r="E264" s="42"/>
      <c r="F264" s="43"/>
      <c r="G264" s="25"/>
      <c r="H264" s="1"/>
    </row>
    <row r="265" spans="1:8" x14ac:dyDescent="0.25">
      <c r="A265" s="25"/>
      <c r="B265" s="26"/>
      <c r="C265" s="25"/>
      <c r="D265" s="42"/>
      <c r="E265" s="42"/>
      <c r="F265" s="43"/>
      <c r="G265" s="25"/>
      <c r="H265" s="1"/>
    </row>
    <row r="266" spans="1:8" x14ac:dyDescent="0.25">
      <c r="A266" s="42"/>
      <c r="B266" s="26"/>
      <c r="C266" s="26"/>
      <c r="D266" s="42"/>
      <c r="E266" s="42"/>
      <c r="F266" s="43"/>
      <c r="G266" s="25"/>
      <c r="H266" s="1"/>
    </row>
    <row r="267" spans="1:8" x14ac:dyDescent="0.25">
      <c r="A267" s="42"/>
      <c r="B267" s="26"/>
      <c r="C267" s="26"/>
      <c r="D267" s="42"/>
      <c r="E267" s="42"/>
      <c r="F267" s="43"/>
      <c r="G267" s="25"/>
      <c r="H267" s="1"/>
    </row>
    <row r="268" spans="1:8" x14ac:dyDescent="0.25">
      <c r="A268" s="42"/>
      <c r="B268" s="26"/>
      <c r="C268" s="25"/>
      <c r="D268" s="42"/>
      <c r="E268" s="42"/>
      <c r="F268" s="43"/>
      <c r="G268" s="25"/>
      <c r="H268" s="1"/>
    </row>
    <row r="269" spans="1:8" x14ac:dyDescent="0.25">
      <c r="A269" s="42"/>
      <c r="B269" s="26"/>
      <c r="C269" s="25"/>
      <c r="D269" s="42"/>
      <c r="E269" s="42"/>
      <c r="F269" s="43"/>
      <c r="G269" s="25"/>
      <c r="H269" s="1"/>
    </row>
    <row r="270" spans="1:8" x14ac:dyDescent="0.25">
      <c r="A270" s="42"/>
      <c r="B270" s="26"/>
      <c r="C270" s="25"/>
      <c r="D270" s="42"/>
      <c r="E270" s="42"/>
      <c r="F270" s="43"/>
      <c r="G270" s="25"/>
      <c r="H270" s="1"/>
    </row>
    <row r="271" spans="1:8" x14ac:dyDescent="0.25">
      <c r="A271" s="42"/>
      <c r="B271" s="26"/>
      <c r="C271" s="25"/>
      <c r="D271" s="42"/>
      <c r="E271" s="42"/>
      <c r="F271" s="43"/>
      <c r="G271" s="25"/>
      <c r="H271" s="1"/>
    </row>
    <row r="272" spans="1:8" x14ac:dyDescent="0.25">
      <c r="A272" s="42"/>
      <c r="B272" s="26"/>
      <c r="C272" s="25"/>
      <c r="D272" s="42"/>
      <c r="E272" s="42"/>
      <c r="F272" s="43"/>
      <c r="G272" s="25"/>
      <c r="H272" s="1"/>
    </row>
    <row r="273" spans="1:8" x14ac:dyDescent="0.25">
      <c r="A273" s="42"/>
      <c r="B273" s="26"/>
      <c r="C273" s="25"/>
      <c r="D273" s="42"/>
      <c r="E273" s="42"/>
      <c r="F273" s="43"/>
      <c r="G273" s="25"/>
      <c r="H273" s="1"/>
    </row>
    <row r="274" spans="1:8" x14ac:dyDescent="0.25">
      <c r="A274" s="42"/>
      <c r="B274" s="26"/>
      <c r="C274" s="26"/>
      <c r="D274" s="42"/>
      <c r="E274" s="42"/>
      <c r="F274" s="43"/>
      <c r="G274" s="25"/>
      <c r="H274" s="1"/>
    </row>
    <row r="275" spans="1:8" x14ac:dyDescent="0.25">
      <c r="A275" s="42"/>
      <c r="B275" s="26"/>
      <c r="C275" s="25"/>
      <c r="D275" s="42"/>
      <c r="E275" s="42"/>
      <c r="F275" s="43"/>
      <c r="G275" s="25"/>
      <c r="H275" s="1"/>
    </row>
    <row r="276" spans="1:8" x14ac:dyDescent="0.25">
      <c r="A276" s="42"/>
      <c r="B276" s="26"/>
      <c r="C276" s="25"/>
      <c r="D276" s="42"/>
      <c r="E276" s="42"/>
      <c r="F276" s="43"/>
      <c r="G276" s="25"/>
      <c r="H276" s="1"/>
    </row>
    <row r="277" spans="1:8" x14ac:dyDescent="0.25">
      <c r="A277" s="42"/>
      <c r="B277" s="26"/>
      <c r="C277" s="25"/>
      <c r="D277" s="42"/>
      <c r="E277" s="42"/>
      <c r="F277" s="43"/>
      <c r="G277" s="25"/>
      <c r="H277" s="1"/>
    </row>
    <row r="278" spans="1:8" x14ac:dyDescent="0.25">
      <c r="A278" s="42"/>
      <c r="B278" s="26"/>
      <c r="C278" s="25"/>
      <c r="D278" s="42"/>
      <c r="E278" s="42"/>
      <c r="F278" s="43"/>
      <c r="G278" s="25"/>
      <c r="H278" s="1"/>
    </row>
    <row r="279" spans="1:8" x14ac:dyDescent="0.25">
      <c r="A279" s="42"/>
      <c r="B279" s="26"/>
      <c r="C279" s="25"/>
      <c r="D279" s="42"/>
      <c r="E279" s="42"/>
      <c r="F279" s="43"/>
      <c r="G279" s="25"/>
      <c r="H279" s="1"/>
    </row>
    <row r="280" spans="1:8" x14ac:dyDescent="0.25">
      <c r="A280" s="42"/>
      <c r="B280" s="26"/>
      <c r="C280" s="25"/>
      <c r="D280" s="42"/>
      <c r="E280" s="42"/>
      <c r="F280" s="43"/>
      <c r="G280" s="25"/>
      <c r="H280" s="1"/>
    </row>
    <row r="281" spans="1:8" x14ac:dyDescent="0.25">
      <c r="A281" s="42"/>
      <c r="B281" s="26"/>
      <c r="C281" s="25"/>
      <c r="D281" s="42"/>
      <c r="E281" s="42"/>
      <c r="F281" s="43"/>
      <c r="G281" s="25"/>
      <c r="H281" s="1"/>
    </row>
    <row r="282" spans="1:8" x14ac:dyDescent="0.25">
      <c r="A282" s="25"/>
      <c r="B282" s="26"/>
      <c r="C282" s="26"/>
      <c r="D282" s="42"/>
      <c r="E282" s="42"/>
      <c r="F282" s="43"/>
      <c r="G282" s="25"/>
      <c r="H282" s="1"/>
    </row>
    <row r="283" spans="1:8" x14ac:dyDescent="0.25">
      <c r="A283" s="42"/>
      <c r="B283" s="26"/>
      <c r="C283" s="25"/>
      <c r="D283" s="42"/>
      <c r="E283" s="42"/>
      <c r="F283" s="43"/>
      <c r="G283" s="25"/>
      <c r="H283" s="1"/>
    </row>
    <row r="284" spans="1:8" x14ac:dyDescent="0.25">
      <c r="A284" s="42"/>
      <c r="B284" s="26"/>
      <c r="C284" s="25"/>
      <c r="D284" s="42"/>
      <c r="E284" s="42"/>
      <c r="F284" s="43"/>
      <c r="G284" s="25"/>
      <c r="H284" s="1"/>
    </row>
    <row r="285" spans="1:8" x14ac:dyDescent="0.25">
      <c r="A285" s="42"/>
      <c r="B285" s="26"/>
      <c r="C285" s="25"/>
      <c r="D285" s="42"/>
      <c r="E285" s="42"/>
      <c r="F285" s="43"/>
      <c r="G285" s="25"/>
      <c r="H285" s="1"/>
    </row>
    <row r="286" spans="1:8" x14ac:dyDescent="0.25">
      <c r="A286" s="42"/>
      <c r="B286" s="26"/>
      <c r="C286" s="25"/>
      <c r="D286" s="42"/>
      <c r="E286" s="42"/>
      <c r="F286" s="43"/>
      <c r="G286" s="25"/>
      <c r="H286" s="1"/>
    </row>
    <row r="287" spans="1:8" x14ac:dyDescent="0.25">
      <c r="A287" s="42"/>
      <c r="B287" s="26"/>
      <c r="C287" s="25"/>
      <c r="D287" s="42"/>
      <c r="E287" s="42"/>
      <c r="F287" s="43"/>
      <c r="G287" s="25"/>
      <c r="H287" s="1"/>
    </row>
    <row r="288" spans="1:8" x14ac:dyDescent="0.25">
      <c r="A288" s="42"/>
      <c r="B288" s="26"/>
      <c r="C288" s="25"/>
      <c r="D288" s="42"/>
      <c r="E288" s="42"/>
      <c r="F288" s="43"/>
      <c r="G288" s="25"/>
      <c r="H288" s="1"/>
    </row>
    <row r="289" spans="1:8" x14ac:dyDescent="0.25">
      <c r="A289" s="42"/>
      <c r="B289" s="26"/>
      <c r="C289" s="25"/>
      <c r="D289" s="42"/>
      <c r="E289" s="42"/>
      <c r="F289" s="43"/>
      <c r="G289" s="25"/>
      <c r="H289" s="1"/>
    </row>
    <row r="290" spans="1:8" x14ac:dyDescent="0.25">
      <c r="A290" s="42"/>
      <c r="B290" s="26"/>
      <c r="C290" s="25"/>
      <c r="D290" s="42"/>
      <c r="E290" s="42"/>
      <c r="F290" s="43"/>
      <c r="G290" s="25"/>
      <c r="H290" s="1"/>
    </row>
    <row r="291" spans="1:8" x14ac:dyDescent="0.25">
      <c r="A291" s="42"/>
      <c r="B291" s="26"/>
      <c r="C291" s="25"/>
      <c r="D291" s="42"/>
      <c r="E291" s="42"/>
      <c r="F291" s="43"/>
      <c r="G291" s="25"/>
      <c r="H291" s="1"/>
    </row>
    <row r="292" spans="1:8" x14ac:dyDescent="0.25">
      <c r="A292" s="42"/>
      <c r="B292" s="26"/>
      <c r="C292" s="25"/>
      <c r="D292" s="42"/>
      <c r="E292" s="42"/>
      <c r="F292" s="43"/>
      <c r="G292" s="25"/>
      <c r="H292" s="1"/>
    </row>
    <row r="293" spans="1:8" x14ac:dyDescent="0.25">
      <c r="A293" s="42"/>
      <c r="B293" s="26"/>
      <c r="C293" s="25"/>
      <c r="D293" s="42"/>
      <c r="E293" s="42"/>
      <c r="F293" s="43"/>
      <c r="G293" s="25"/>
      <c r="H293" s="1"/>
    </row>
    <row r="294" spans="1:8" x14ac:dyDescent="0.25">
      <c r="A294" s="42"/>
      <c r="B294" s="26"/>
      <c r="C294" s="25"/>
      <c r="D294" s="42"/>
      <c r="E294" s="42"/>
      <c r="F294" s="43"/>
      <c r="G294" s="25"/>
      <c r="H294" s="1"/>
    </row>
    <row r="295" spans="1:8" x14ac:dyDescent="0.25">
      <c r="A295" s="42"/>
      <c r="B295" s="26"/>
      <c r="C295" s="25"/>
      <c r="D295" s="42"/>
      <c r="E295" s="42"/>
      <c r="F295" s="43"/>
      <c r="G295" s="25"/>
      <c r="H295" s="1"/>
    </row>
    <row r="296" spans="1:8" x14ac:dyDescent="0.25">
      <c r="A296" s="42"/>
      <c r="B296" s="26"/>
      <c r="C296" s="25"/>
      <c r="D296" s="42"/>
      <c r="E296" s="42"/>
      <c r="F296" s="43"/>
      <c r="G296" s="25"/>
      <c r="H296" s="1"/>
    </row>
    <row r="297" spans="1:8" x14ac:dyDescent="0.25">
      <c r="A297" s="42"/>
      <c r="B297" s="26"/>
      <c r="C297" s="25"/>
      <c r="D297" s="42"/>
      <c r="E297" s="42"/>
      <c r="F297" s="43"/>
      <c r="G297" s="25"/>
      <c r="H297" s="1"/>
    </row>
    <row r="298" spans="1:8" x14ac:dyDescent="0.25">
      <c r="A298" s="42"/>
      <c r="B298" s="26"/>
      <c r="C298" s="25"/>
      <c r="D298" s="42"/>
      <c r="E298" s="42"/>
      <c r="F298" s="43"/>
      <c r="G298" s="25"/>
      <c r="H298" s="1"/>
    </row>
    <row r="299" spans="1:8" x14ac:dyDescent="0.25">
      <c r="A299" s="42"/>
      <c r="B299" s="26"/>
      <c r="C299" s="25"/>
      <c r="D299" s="42"/>
      <c r="E299" s="42"/>
      <c r="F299" s="43"/>
      <c r="G299" s="25"/>
      <c r="H299" s="1"/>
    </row>
    <row r="300" spans="1:8" x14ac:dyDescent="0.25">
      <c r="A300" s="42"/>
      <c r="B300" s="26"/>
      <c r="C300" s="25"/>
      <c r="D300" s="42"/>
      <c r="E300" s="42"/>
      <c r="F300" s="43"/>
      <c r="G300" s="25"/>
      <c r="H300" s="1"/>
    </row>
    <row r="301" spans="1:8" x14ac:dyDescent="0.25">
      <c r="A301" s="42"/>
      <c r="B301" s="26"/>
      <c r="C301" s="25"/>
      <c r="D301" s="42"/>
      <c r="E301" s="42"/>
      <c r="F301" s="43"/>
      <c r="G301" s="25"/>
      <c r="H301" s="1"/>
    </row>
    <row r="302" spans="1:8" x14ac:dyDescent="0.25">
      <c r="A302" s="42"/>
      <c r="B302" s="26"/>
      <c r="C302" s="25"/>
      <c r="D302" s="42"/>
      <c r="E302" s="42"/>
      <c r="F302" s="43"/>
      <c r="G302" s="25"/>
      <c r="H302" s="44"/>
    </row>
    <row r="303" spans="1:8" x14ac:dyDescent="0.25">
      <c r="A303" s="42"/>
      <c r="B303" s="26"/>
      <c r="C303" s="25"/>
      <c r="D303" s="42"/>
      <c r="E303" s="42"/>
      <c r="F303" s="43"/>
      <c r="G303" s="25"/>
      <c r="H303" s="1"/>
    </row>
    <row r="304" spans="1:8" x14ac:dyDescent="0.25">
      <c r="A304" s="42"/>
      <c r="B304" s="26"/>
      <c r="C304" s="26"/>
      <c r="D304" s="42"/>
      <c r="E304" s="42"/>
      <c r="F304" s="43"/>
      <c r="G304" s="25"/>
      <c r="H304" s="1"/>
    </row>
    <row r="305" spans="1:8" x14ac:dyDescent="0.25">
      <c r="A305" s="42"/>
      <c r="B305" s="26"/>
      <c r="C305" s="26"/>
      <c r="D305" s="42"/>
      <c r="E305" s="42"/>
      <c r="F305" s="43"/>
      <c r="G305" s="25"/>
      <c r="H305" s="1"/>
    </row>
    <row r="306" spans="1:8" x14ac:dyDescent="0.25">
      <c r="A306" s="42"/>
      <c r="B306" s="26"/>
      <c r="C306" s="26"/>
      <c r="D306" s="42"/>
      <c r="E306" s="42"/>
      <c r="F306" s="43"/>
      <c r="G306" s="25"/>
      <c r="H306" s="1"/>
    </row>
    <row r="307" spans="1:8" x14ac:dyDescent="0.25">
      <c r="A307" s="42"/>
      <c r="B307" s="26"/>
      <c r="C307" s="25"/>
      <c r="D307" s="42"/>
      <c r="E307" s="42"/>
      <c r="F307" s="43"/>
      <c r="G307" s="25"/>
      <c r="H307" s="1"/>
    </row>
    <row r="308" spans="1:8" x14ac:dyDescent="0.25">
      <c r="A308" s="42"/>
      <c r="B308" s="26"/>
      <c r="C308" s="25"/>
      <c r="D308" s="42"/>
      <c r="E308" s="42"/>
      <c r="F308" s="43"/>
      <c r="G308" s="25"/>
      <c r="H308" s="1"/>
    </row>
    <row r="309" spans="1:8" x14ac:dyDescent="0.25">
      <c r="A309" s="42"/>
      <c r="B309" s="26"/>
      <c r="C309" s="25"/>
      <c r="D309" s="42"/>
      <c r="E309" s="42"/>
      <c r="F309" s="43"/>
      <c r="G309" s="25"/>
      <c r="H309" s="1"/>
    </row>
    <row r="310" spans="1:8" x14ac:dyDescent="0.25">
      <c r="A310" s="42"/>
      <c r="B310" s="26"/>
      <c r="C310" s="25"/>
      <c r="D310" s="42"/>
      <c r="E310" s="42"/>
      <c r="F310" s="43"/>
      <c r="G310" s="25"/>
      <c r="H310" s="1"/>
    </row>
    <row r="311" spans="1:8" x14ac:dyDescent="0.25">
      <c r="A311" s="42"/>
      <c r="B311" s="26"/>
      <c r="C311" s="25"/>
      <c r="D311" s="42"/>
      <c r="E311" s="42"/>
      <c r="F311" s="43"/>
      <c r="G311" s="25"/>
      <c r="H311" s="1"/>
    </row>
    <row r="312" spans="1:8" x14ac:dyDescent="0.25">
      <c r="A312" s="42"/>
      <c r="B312" s="26"/>
      <c r="C312" s="25"/>
      <c r="D312" s="42"/>
      <c r="E312" s="42"/>
      <c r="F312" s="43"/>
      <c r="G312" s="25"/>
      <c r="H312" s="1"/>
    </row>
    <row r="313" spans="1:8" x14ac:dyDescent="0.25">
      <c r="A313" s="42"/>
      <c r="B313" s="26"/>
      <c r="C313" s="25"/>
      <c r="D313" s="42"/>
      <c r="E313" s="42"/>
      <c r="F313" s="43"/>
      <c r="G313" s="25"/>
      <c r="H313" s="1"/>
    </row>
    <row r="314" spans="1:8" x14ac:dyDescent="0.25">
      <c r="A314" s="42"/>
      <c r="B314" s="26"/>
      <c r="C314" s="25"/>
      <c r="D314" s="42"/>
      <c r="E314" s="42"/>
      <c r="F314" s="43"/>
      <c r="G314" s="25"/>
      <c r="H314" s="1"/>
    </row>
    <row r="315" spans="1:8" x14ac:dyDescent="0.25">
      <c r="A315" s="42"/>
      <c r="B315" s="26"/>
      <c r="C315" s="25"/>
      <c r="D315" s="42"/>
      <c r="E315" s="42"/>
      <c r="F315" s="43"/>
      <c r="G315" s="25"/>
      <c r="H315" s="1"/>
    </row>
    <row r="316" spans="1:8" x14ac:dyDescent="0.25">
      <c r="A316" s="42"/>
      <c r="B316" s="26"/>
      <c r="C316" s="25"/>
      <c r="D316" s="42"/>
      <c r="E316" s="42"/>
      <c r="F316" s="43"/>
      <c r="G316" s="25"/>
      <c r="H316" s="1"/>
    </row>
    <row r="317" spans="1:8" x14ac:dyDescent="0.25">
      <c r="A317" s="42"/>
      <c r="B317" s="26"/>
      <c r="C317" s="25"/>
      <c r="D317" s="42"/>
      <c r="E317" s="42"/>
      <c r="F317" s="43"/>
      <c r="G317" s="25"/>
      <c r="H317" s="1"/>
    </row>
    <row r="318" spans="1:8" x14ac:dyDescent="0.25">
      <c r="A318" s="42"/>
      <c r="B318" s="26"/>
      <c r="C318" s="25"/>
      <c r="D318" s="42"/>
      <c r="E318" s="42"/>
      <c r="F318" s="43"/>
      <c r="G318" s="25"/>
      <c r="H318" s="1"/>
    </row>
    <row r="319" spans="1:8" x14ac:dyDescent="0.25">
      <c r="A319" s="42"/>
      <c r="B319" s="26"/>
      <c r="C319" s="25"/>
      <c r="D319" s="42"/>
      <c r="E319" s="42"/>
      <c r="F319" s="43"/>
      <c r="G319" s="25"/>
      <c r="H319" s="1"/>
    </row>
    <row r="320" spans="1:8" x14ac:dyDescent="0.25">
      <c r="A320" s="42"/>
      <c r="B320" s="26"/>
      <c r="C320" s="25"/>
      <c r="D320" s="42"/>
      <c r="E320" s="42"/>
      <c r="F320" s="43"/>
      <c r="G320" s="25"/>
      <c r="H320" s="1"/>
    </row>
    <row r="321" spans="1:8" x14ac:dyDescent="0.25">
      <c r="A321" s="42"/>
      <c r="B321" s="26"/>
      <c r="C321" s="25"/>
      <c r="D321" s="42"/>
      <c r="E321" s="42"/>
      <c r="F321" s="43"/>
      <c r="G321" s="25"/>
      <c r="H321" s="1"/>
    </row>
    <row r="322" spans="1:8" x14ac:dyDescent="0.25">
      <c r="A322" s="42"/>
      <c r="B322" s="26"/>
      <c r="C322" s="26"/>
      <c r="D322" s="42"/>
      <c r="E322" s="42"/>
      <c r="F322" s="43"/>
      <c r="G322" s="25"/>
      <c r="H322" s="1"/>
    </row>
    <row r="323" spans="1:8" x14ac:dyDescent="0.25">
      <c r="A323" s="42"/>
      <c r="B323" s="26"/>
      <c r="C323" s="25"/>
      <c r="D323" s="42"/>
      <c r="E323" s="42"/>
      <c r="F323" s="43"/>
      <c r="G323" s="25"/>
      <c r="H323" s="1"/>
    </row>
    <row r="324" spans="1:8" x14ac:dyDescent="0.25">
      <c r="A324" s="42"/>
      <c r="B324" s="26"/>
      <c r="C324" s="25"/>
      <c r="D324" s="42"/>
      <c r="E324" s="42"/>
      <c r="F324" s="43"/>
      <c r="G324" s="25"/>
      <c r="H324" s="1"/>
    </row>
    <row r="325" spans="1:8" x14ac:dyDescent="0.25">
      <c r="A325" s="42"/>
      <c r="B325" s="26"/>
      <c r="C325" s="25"/>
      <c r="D325" s="42"/>
      <c r="E325" s="42"/>
      <c r="F325" s="43"/>
      <c r="G325" s="25"/>
      <c r="H325" s="1"/>
    </row>
    <row r="326" spans="1:8" x14ac:dyDescent="0.25">
      <c r="A326" s="42"/>
      <c r="B326" s="26"/>
      <c r="C326" s="25"/>
      <c r="D326" s="42"/>
      <c r="E326" s="42"/>
      <c r="F326" s="43"/>
      <c r="G326" s="25"/>
      <c r="H326" s="1"/>
    </row>
    <row r="327" spans="1:8" x14ac:dyDescent="0.25">
      <c r="A327" s="42"/>
      <c r="B327" s="26"/>
      <c r="C327" s="25"/>
      <c r="D327" s="26"/>
      <c r="E327" s="26"/>
      <c r="F327" s="43"/>
      <c r="G327" s="25"/>
      <c r="H327" s="1"/>
    </row>
    <row r="328" spans="1:8" x14ac:dyDescent="0.25">
      <c r="A328" s="42"/>
      <c r="B328" s="26"/>
      <c r="C328" s="25"/>
      <c r="D328" s="42"/>
      <c r="E328" s="42"/>
      <c r="F328" s="43"/>
      <c r="G328" s="25"/>
      <c r="H328" s="1"/>
    </row>
    <row r="329" spans="1:8" x14ac:dyDescent="0.25">
      <c r="A329" s="42"/>
      <c r="B329" s="26"/>
      <c r="C329" s="25"/>
      <c r="D329" s="42"/>
      <c r="E329" s="42"/>
      <c r="F329" s="43"/>
      <c r="G329" s="25"/>
      <c r="H329" s="1"/>
    </row>
    <row r="330" spans="1:8" x14ac:dyDescent="0.25">
      <c r="A330" s="42"/>
      <c r="B330" s="26"/>
      <c r="C330" s="25"/>
      <c r="D330" s="42"/>
      <c r="E330" s="42"/>
      <c r="F330" s="43"/>
      <c r="G330" s="25"/>
      <c r="H330" s="1"/>
    </row>
    <row r="331" spans="1:8" x14ac:dyDescent="0.25">
      <c r="A331" s="25"/>
      <c r="B331" s="26"/>
      <c r="C331" s="25"/>
      <c r="D331" s="42"/>
      <c r="E331" s="42"/>
      <c r="F331" s="43"/>
      <c r="G331" s="25"/>
      <c r="H331" s="1"/>
    </row>
    <row r="332" spans="1:8" x14ac:dyDescent="0.25">
      <c r="A332" s="42"/>
      <c r="B332" s="26"/>
      <c r="C332" s="25"/>
      <c r="D332" s="42"/>
      <c r="E332" s="42"/>
      <c r="F332" s="43"/>
      <c r="G332" s="25"/>
      <c r="H332" s="1"/>
    </row>
    <row r="333" spans="1:8" x14ac:dyDescent="0.25">
      <c r="A333" s="42"/>
      <c r="B333" s="26"/>
      <c r="C333" s="25"/>
      <c r="D333" s="42"/>
      <c r="E333" s="42"/>
      <c r="F333" s="43"/>
      <c r="G333" s="25"/>
      <c r="H333" s="1"/>
    </row>
    <row r="334" spans="1:8" x14ac:dyDescent="0.25">
      <c r="A334" s="42"/>
      <c r="B334" s="26"/>
      <c r="C334" s="25"/>
      <c r="D334" s="42"/>
      <c r="E334" s="42"/>
      <c r="F334" s="43"/>
      <c r="G334" s="25"/>
      <c r="H334" s="1"/>
    </row>
    <row r="335" spans="1:8" x14ac:dyDescent="0.25">
      <c r="A335" s="42"/>
      <c r="B335" s="26"/>
      <c r="C335" s="25"/>
      <c r="D335" s="42"/>
      <c r="E335" s="42"/>
      <c r="F335" s="43"/>
      <c r="G335" s="25"/>
      <c r="H335" s="1"/>
    </row>
    <row r="336" spans="1:8" x14ac:dyDescent="0.25">
      <c r="A336" s="42"/>
      <c r="B336" s="26"/>
      <c r="C336" s="25"/>
      <c r="D336" s="42"/>
      <c r="E336" s="42"/>
      <c r="F336" s="43"/>
      <c r="G336" s="25"/>
      <c r="H336" s="1"/>
    </row>
    <row r="337" spans="1:8" x14ac:dyDescent="0.25">
      <c r="A337" s="42"/>
      <c r="B337" s="26"/>
      <c r="C337" s="25"/>
      <c r="D337" s="42"/>
      <c r="E337" s="42"/>
      <c r="F337" s="43"/>
      <c r="G337" s="25"/>
      <c r="H337" s="1"/>
    </row>
    <row r="338" spans="1:8" x14ac:dyDescent="0.25">
      <c r="A338" s="42"/>
      <c r="B338" s="26"/>
      <c r="C338" s="25"/>
      <c r="D338" s="42"/>
      <c r="E338" s="42"/>
      <c r="F338" s="43"/>
      <c r="G338" s="42"/>
      <c r="H338" s="1"/>
    </row>
    <row r="339" spans="1:8" x14ac:dyDescent="0.25">
      <c r="A339" s="42"/>
      <c r="B339" s="26"/>
      <c r="C339" s="25"/>
      <c r="D339" s="42"/>
      <c r="E339" s="42"/>
      <c r="F339" s="43"/>
      <c r="G339" s="42"/>
      <c r="H339" s="44"/>
    </row>
    <row r="340" spans="1:8" x14ac:dyDescent="0.25">
      <c r="A340" s="42"/>
      <c r="B340" s="26"/>
      <c r="C340" s="25"/>
      <c r="D340" s="42"/>
      <c r="E340" s="42"/>
      <c r="F340" s="43"/>
      <c r="G340" s="42"/>
      <c r="H340" s="1"/>
    </row>
    <row r="341" spans="1:8" x14ac:dyDescent="0.25">
      <c r="A341" s="42"/>
      <c r="B341" s="26"/>
      <c r="C341" s="25"/>
      <c r="D341" s="42"/>
      <c r="E341" s="42"/>
      <c r="F341" s="43"/>
      <c r="G341" s="42"/>
      <c r="H341" s="1"/>
    </row>
    <row r="342" spans="1:8" x14ac:dyDescent="0.25">
      <c r="A342" s="42"/>
      <c r="B342" s="26"/>
      <c r="C342" s="25"/>
      <c r="D342" s="42"/>
      <c r="E342" s="42"/>
      <c r="F342" s="43"/>
      <c r="G342" s="42"/>
      <c r="H342" s="1"/>
    </row>
    <row r="343" spans="1:8" x14ac:dyDescent="0.25">
      <c r="A343" s="42"/>
      <c r="B343" s="26"/>
      <c r="C343" s="25"/>
      <c r="D343" s="42"/>
      <c r="E343" s="42"/>
      <c r="F343" s="43"/>
      <c r="G343" s="42"/>
      <c r="H343" s="1"/>
    </row>
    <row r="344" spans="1:8" x14ac:dyDescent="0.25">
      <c r="A344" s="42"/>
      <c r="B344" s="26"/>
      <c r="C344" s="25"/>
      <c r="D344" s="42"/>
      <c r="E344" s="42"/>
      <c r="F344" s="43"/>
      <c r="G344" s="42"/>
      <c r="H344" s="1"/>
    </row>
    <row r="345" spans="1:8" x14ac:dyDescent="0.25">
      <c r="A345" s="42"/>
      <c r="B345" s="26"/>
      <c r="C345" s="25"/>
      <c r="D345" s="42"/>
      <c r="E345" s="42"/>
      <c r="F345" s="43"/>
      <c r="G345" s="42"/>
      <c r="H345" s="1"/>
    </row>
    <row r="346" spans="1:8" x14ac:dyDescent="0.25">
      <c r="A346" s="42"/>
      <c r="B346" s="26"/>
      <c r="C346" s="25"/>
      <c r="D346" s="42"/>
      <c r="E346" s="42"/>
      <c r="F346" s="43"/>
      <c r="G346" s="42"/>
      <c r="H346" s="1"/>
    </row>
    <row r="347" spans="1:8" ht="15.75" thickBot="1" x14ac:dyDescent="0.3">
      <c r="A347" s="42"/>
      <c r="B347" s="26"/>
      <c r="C347" s="25"/>
      <c r="D347" s="42"/>
      <c r="E347" s="42"/>
      <c r="F347" s="43"/>
      <c r="G347" s="42"/>
      <c r="H347" s="1"/>
    </row>
    <row r="348" spans="1:8" ht="15.75" thickBot="1" x14ac:dyDescent="0.3">
      <c r="A348" s="10"/>
      <c r="B348" s="8"/>
      <c r="C348" s="6"/>
      <c r="D348" s="10"/>
      <c r="E348" s="10"/>
      <c r="F348" s="80"/>
      <c r="G348" s="10"/>
      <c r="H348" s="1"/>
    </row>
    <row r="349" spans="1:8" ht="15.75" thickBot="1" x14ac:dyDescent="0.3">
      <c r="A349" s="10"/>
      <c r="B349" s="8"/>
      <c r="C349" s="6"/>
      <c r="D349" s="10"/>
      <c r="E349" s="10"/>
      <c r="F349" s="80"/>
      <c r="G349" s="10"/>
      <c r="H349" s="1"/>
    </row>
    <row r="350" spans="1:8" ht="15.75" thickBot="1" x14ac:dyDescent="0.3">
      <c r="A350" s="10"/>
      <c r="B350" s="8"/>
      <c r="C350" s="6"/>
      <c r="D350" s="10"/>
      <c r="E350" s="10"/>
      <c r="F350" s="80"/>
      <c r="G350" s="10"/>
      <c r="H350" s="1"/>
    </row>
    <row r="351" spans="1:8" ht="15.75" thickBot="1" x14ac:dyDescent="0.3">
      <c r="A351" s="10"/>
      <c r="B351" s="8"/>
      <c r="C351" s="6"/>
      <c r="D351" s="10"/>
      <c r="E351" s="10"/>
      <c r="F351" s="80"/>
      <c r="G351" s="10"/>
      <c r="H351" s="44"/>
    </row>
    <row r="352" spans="1:8" ht="15.75" thickBot="1" x14ac:dyDescent="0.3">
      <c r="A352" s="10"/>
      <c r="B352" s="8"/>
      <c r="C352" s="6"/>
      <c r="D352" s="10"/>
      <c r="E352" s="10"/>
      <c r="F352" s="80"/>
      <c r="G352" s="10"/>
      <c r="H352" s="44"/>
    </row>
    <row r="353" spans="1:8" ht="15.75" thickBot="1" x14ac:dyDescent="0.3">
      <c r="A353" s="10"/>
      <c r="B353" s="8"/>
      <c r="C353" s="6"/>
      <c r="D353" s="10"/>
      <c r="E353" s="10"/>
      <c r="F353" s="80"/>
      <c r="G353" s="10"/>
      <c r="H353" s="1"/>
    </row>
    <row r="354" spans="1:8" ht="15.75" thickBot="1" x14ac:dyDescent="0.3">
      <c r="A354" s="10"/>
      <c r="B354" s="8"/>
      <c r="C354" s="6"/>
      <c r="D354" s="10"/>
      <c r="E354" s="10"/>
      <c r="F354" s="80"/>
      <c r="G354" s="10"/>
      <c r="H354" s="1"/>
    </row>
    <row r="355" spans="1:8" ht="15.75" thickBot="1" x14ac:dyDescent="0.3">
      <c r="A355" s="10"/>
      <c r="B355" s="8"/>
      <c r="C355" s="6"/>
      <c r="D355" s="10"/>
      <c r="E355" s="10"/>
      <c r="F355" s="80"/>
      <c r="G355" s="10"/>
      <c r="H355" s="1"/>
    </row>
    <row r="356" spans="1:8" ht="15.75" thickBot="1" x14ac:dyDescent="0.3">
      <c r="A356" s="10"/>
      <c r="B356" s="8"/>
      <c r="C356" s="6"/>
      <c r="D356" s="10"/>
      <c r="E356" s="10"/>
      <c r="F356" s="80"/>
      <c r="G356" s="10"/>
      <c r="H356" s="1"/>
    </row>
    <row r="357" spans="1:8" ht="15.75" thickBot="1" x14ac:dyDescent="0.3">
      <c r="A357" s="10"/>
      <c r="B357" s="8"/>
      <c r="C357" s="6"/>
      <c r="D357" s="10"/>
      <c r="E357" s="10"/>
      <c r="F357" s="80"/>
      <c r="G357" s="10"/>
      <c r="H357" s="1"/>
    </row>
    <row r="358" spans="1:8" ht="15.75" thickBot="1" x14ac:dyDescent="0.3">
      <c r="A358" s="10"/>
      <c r="B358" s="8"/>
      <c r="C358" s="6"/>
      <c r="D358" s="10"/>
      <c r="E358" s="10"/>
      <c r="F358" s="80"/>
      <c r="G358" s="10"/>
      <c r="H358" s="1"/>
    </row>
    <row r="359" spans="1:8" ht="15.75" thickBot="1" x14ac:dyDescent="0.3">
      <c r="A359" s="10"/>
      <c r="B359" s="8"/>
      <c r="C359" s="6"/>
      <c r="D359" s="10"/>
      <c r="E359" s="10"/>
      <c r="F359" s="80"/>
      <c r="G359" s="10"/>
      <c r="H359" s="1"/>
    </row>
    <row r="360" spans="1:8" ht="15.75" thickBot="1" x14ac:dyDescent="0.3">
      <c r="A360" s="10"/>
      <c r="B360" s="8"/>
      <c r="C360" s="6"/>
      <c r="D360" s="10"/>
      <c r="E360" s="10"/>
      <c r="F360" s="80"/>
      <c r="G360" s="10"/>
      <c r="H360" s="1"/>
    </row>
    <row r="361" spans="1:8" ht="15.75" thickBot="1" x14ac:dyDescent="0.3">
      <c r="A361" s="10"/>
      <c r="B361" s="8"/>
      <c r="C361" s="6"/>
      <c r="D361" s="10"/>
      <c r="E361" s="10"/>
      <c r="F361" s="80"/>
      <c r="G361" s="10"/>
      <c r="H361" s="1"/>
    </row>
    <row r="362" spans="1:8" ht="15.75" thickBot="1" x14ac:dyDescent="0.3">
      <c r="A362" s="10"/>
      <c r="B362" s="8"/>
      <c r="C362" s="6"/>
      <c r="D362" s="10"/>
      <c r="E362" s="10"/>
      <c r="F362" s="80"/>
      <c r="G362" s="10"/>
      <c r="H362" s="1"/>
    </row>
    <row r="363" spans="1:8" ht="15.75" thickBot="1" x14ac:dyDescent="0.3">
      <c r="A363" s="10"/>
      <c r="B363" s="8"/>
      <c r="C363" s="6"/>
      <c r="D363" s="10"/>
      <c r="E363" s="10"/>
      <c r="F363" s="80"/>
      <c r="G363" s="10"/>
      <c r="H363" s="1"/>
    </row>
    <row r="364" spans="1:8" ht="15.75" thickBot="1" x14ac:dyDescent="0.3">
      <c r="A364" s="10"/>
      <c r="B364" s="8"/>
      <c r="C364" s="6"/>
      <c r="D364" s="10"/>
      <c r="E364" s="10"/>
      <c r="F364" s="80"/>
      <c r="G364" s="10"/>
      <c r="H364" s="1"/>
    </row>
    <row r="365" spans="1:8" ht="15.75" thickBot="1" x14ac:dyDescent="0.3">
      <c r="A365" s="10"/>
      <c r="B365" s="8"/>
      <c r="C365" s="6"/>
      <c r="D365" s="10"/>
      <c r="E365" s="10"/>
      <c r="F365" s="80"/>
      <c r="G365" s="10"/>
      <c r="H365" s="44"/>
    </row>
    <row r="366" spans="1:8" ht="15.75" thickBot="1" x14ac:dyDescent="0.3">
      <c r="A366" s="10"/>
      <c r="B366" s="8"/>
      <c r="C366" s="6"/>
      <c r="D366" s="10"/>
      <c r="E366" s="10"/>
      <c r="F366" s="80"/>
      <c r="G366" s="10"/>
      <c r="H366" s="1"/>
    </row>
    <row r="367" spans="1:8" x14ac:dyDescent="0.25">
      <c r="A367" s="1"/>
      <c r="B367" s="1"/>
      <c r="C367" s="1"/>
      <c r="D367" s="1"/>
      <c r="E367" s="1"/>
      <c r="F367" s="31"/>
      <c r="G367" s="1"/>
      <c r="H367" s="44"/>
    </row>
    <row r="368" spans="1:8" x14ac:dyDescent="0.25">
      <c r="A368" s="1"/>
      <c r="B368" s="1"/>
      <c r="C368" s="1"/>
      <c r="D368" s="1"/>
      <c r="E368" s="1"/>
      <c r="F368" s="1"/>
      <c r="G368" s="1"/>
      <c r="H368" s="44"/>
    </row>
    <row r="369" spans="1:8" x14ac:dyDescent="0.25">
      <c r="A369" s="1"/>
      <c r="B369" s="1"/>
      <c r="C369" s="1"/>
      <c r="D369" s="1"/>
      <c r="E369" s="1"/>
      <c r="F369" s="1"/>
      <c r="G369" s="1"/>
      <c r="H369" s="44"/>
    </row>
    <row r="370" spans="1:8" ht="15.75" thickBot="1" x14ac:dyDescent="0.3">
      <c r="A370" s="1"/>
      <c r="B370" s="1"/>
      <c r="C370" s="1"/>
      <c r="D370" s="1"/>
      <c r="E370" s="1"/>
      <c r="F370" s="1"/>
      <c r="G370" s="1"/>
      <c r="H370" s="44"/>
    </row>
    <row r="371" spans="1:8" ht="15.75" thickBot="1" x14ac:dyDescent="0.3">
      <c r="A371" s="10"/>
      <c r="B371" s="1"/>
      <c r="C371" s="1"/>
      <c r="D371" s="1"/>
      <c r="E371" s="10"/>
      <c r="F371" s="80"/>
      <c r="G371" s="6"/>
      <c r="H371" s="44"/>
    </row>
    <row r="372" spans="1:8" ht="15.75" thickBot="1" x14ac:dyDescent="0.3">
      <c r="A372" s="10"/>
      <c r="B372" s="1"/>
      <c r="C372" s="1"/>
      <c r="D372" s="1"/>
      <c r="E372" s="10"/>
      <c r="F372" s="80"/>
      <c r="G372" s="6"/>
      <c r="H372" s="44"/>
    </row>
    <row r="373" spans="1:8" ht="15.75" thickBot="1" x14ac:dyDescent="0.3">
      <c r="A373" s="10"/>
      <c r="B373" s="1"/>
      <c r="C373" s="1"/>
      <c r="D373" s="1"/>
      <c r="E373" s="10"/>
      <c r="F373" s="80"/>
      <c r="G373" s="6"/>
      <c r="H373" s="44"/>
    </row>
    <row r="374" spans="1:8" ht="15.75" thickBot="1" x14ac:dyDescent="0.3">
      <c r="A374" s="10"/>
      <c r="B374" s="1"/>
      <c r="C374" s="1"/>
      <c r="D374" s="1"/>
      <c r="E374" s="10"/>
      <c r="F374" s="80"/>
      <c r="G374" s="6"/>
      <c r="H374" s="1"/>
    </row>
    <row r="375" spans="1:8" ht="15.75" thickBot="1" x14ac:dyDescent="0.3">
      <c r="A375" s="10"/>
      <c r="B375" s="1"/>
      <c r="C375" s="1"/>
      <c r="D375" s="1"/>
      <c r="E375" s="10"/>
      <c r="F375" s="80"/>
      <c r="G375" s="6"/>
      <c r="H375" s="1"/>
    </row>
    <row r="376" spans="1:8" ht="15.75" thickBot="1" x14ac:dyDescent="0.3">
      <c r="A376" s="10"/>
      <c r="B376" s="1"/>
      <c r="C376" s="1"/>
      <c r="D376" s="1"/>
      <c r="E376" s="10"/>
      <c r="F376" s="80"/>
      <c r="G376" s="6"/>
      <c r="H376" s="1"/>
    </row>
    <row r="377" spans="1:8" ht="15.75" thickBot="1" x14ac:dyDescent="0.3">
      <c r="A377" s="10"/>
      <c r="B377" s="1"/>
      <c r="C377" s="1"/>
      <c r="D377" s="1"/>
      <c r="E377" s="10"/>
      <c r="F377" s="80"/>
      <c r="G377" s="6"/>
      <c r="H377" s="1"/>
    </row>
    <row r="378" spans="1:8" ht="15.75" thickBot="1" x14ac:dyDescent="0.3">
      <c r="A378" s="10"/>
      <c r="B378" s="1"/>
      <c r="C378" s="1"/>
      <c r="D378" s="1"/>
      <c r="E378" s="10"/>
      <c r="F378" s="80"/>
      <c r="G378" s="6"/>
      <c r="H378" s="1"/>
    </row>
    <row r="379" spans="1:8" ht="15.75" thickBot="1" x14ac:dyDescent="0.3">
      <c r="A379" s="10"/>
      <c r="B379" s="1"/>
      <c r="C379" s="1"/>
      <c r="D379" s="1"/>
      <c r="E379" s="10"/>
      <c r="F379" s="80"/>
      <c r="G379" s="6"/>
      <c r="H379" s="1"/>
    </row>
    <row r="380" spans="1:8" ht="15.75" thickBot="1" x14ac:dyDescent="0.3">
      <c r="A380" s="10"/>
      <c r="B380" s="1"/>
      <c r="C380" s="1"/>
      <c r="D380" s="1"/>
      <c r="E380" s="10"/>
      <c r="F380" s="80"/>
      <c r="G380" s="6"/>
      <c r="H380" s="1"/>
    </row>
    <row r="381" spans="1:8" ht="15.75" thickBot="1" x14ac:dyDescent="0.3">
      <c r="A381" s="10"/>
      <c r="B381" s="1"/>
      <c r="C381" s="1"/>
      <c r="D381" s="1"/>
      <c r="E381" s="10"/>
      <c r="F381" s="80"/>
      <c r="G381" s="6"/>
      <c r="H381" s="1"/>
    </row>
    <row r="382" spans="1:8" ht="15.75" thickBot="1" x14ac:dyDescent="0.3">
      <c r="A382" s="10"/>
      <c r="B382" s="1"/>
      <c r="C382" s="1"/>
      <c r="D382" s="1"/>
      <c r="E382" s="10"/>
      <c r="F382" s="80"/>
      <c r="G382" s="6"/>
      <c r="H382" s="1"/>
    </row>
    <row r="383" spans="1:8" ht="15.75" thickBot="1" x14ac:dyDescent="0.3">
      <c r="A383" s="10"/>
      <c r="B383" s="1"/>
      <c r="C383" s="1"/>
      <c r="D383" s="1"/>
      <c r="E383" s="10"/>
      <c r="F383" s="80"/>
      <c r="G383" s="6"/>
      <c r="H383" s="1"/>
    </row>
    <row r="384" spans="1:8" ht="15.75" thickBot="1" x14ac:dyDescent="0.3">
      <c r="A384" s="10"/>
      <c r="B384" s="1"/>
      <c r="C384" s="1"/>
      <c r="D384" s="1"/>
      <c r="E384" s="10"/>
      <c r="F384" s="80"/>
      <c r="G384" s="6"/>
      <c r="H384" s="1"/>
    </row>
    <row r="385" spans="1:8" ht="15.75" thickBot="1" x14ac:dyDescent="0.3">
      <c r="A385" s="10"/>
      <c r="B385" s="1"/>
      <c r="C385" s="1"/>
      <c r="D385" s="1"/>
      <c r="E385" s="10"/>
      <c r="F385" s="80"/>
      <c r="G385" s="6"/>
      <c r="H385" s="1"/>
    </row>
    <row r="386" spans="1:8" ht="15.75" thickBot="1" x14ac:dyDescent="0.3">
      <c r="A386" s="10"/>
      <c r="B386" s="1"/>
      <c r="C386" s="1"/>
      <c r="D386" s="1"/>
      <c r="E386" s="10"/>
      <c r="F386" s="80"/>
      <c r="G386" s="6"/>
      <c r="H386" s="1"/>
    </row>
    <row r="387" spans="1:8" ht="15.75" thickBot="1" x14ac:dyDescent="0.3">
      <c r="A387" s="10"/>
      <c r="B387" s="1"/>
      <c r="C387" s="1"/>
      <c r="D387" s="1"/>
      <c r="E387" s="10"/>
      <c r="F387" s="80"/>
      <c r="G387" s="6"/>
      <c r="H387" s="1"/>
    </row>
    <row r="388" spans="1:8" ht="15.75" thickBot="1" x14ac:dyDescent="0.3">
      <c r="A388" s="10"/>
      <c r="B388" s="1"/>
      <c r="C388" s="1"/>
      <c r="D388" s="1"/>
      <c r="E388" s="1"/>
      <c r="F388" s="80"/>
      <c r="G388" s="6"/>
      <c r="H388" s="1"/>
    </row>
    <row r="389" spans="1:8" ht="15.75" thickBot="1" x14ac:dyDescent="0.3">
      <c r="A389" s="10"/>
      <c r="B389" s="1"/>
      <c r="C389" s="1"/>
      <c r="D389" s="1"/>
      <c r="E389" s="1"/>
      <c r="F389" s="80"/>
      <c r="G389" s="6"/>
      <c r="H389" s="1"/>
    </row>
    <row r="390" spans="1:8" ht="15.75" thickBot="1" x14ac:dyDescent="0.3">
      <c r="A390" s="10"/>
      <c r="B390" s="1"/>
      <c r="C390" s="1"/>
      <c r="D390" s="1"/>
      <c r="E390" s="1"/>
      <c r="F390" s="80"/>
      <c r="G390" s="6"/>
      <c r="H390" s="1"/>
    </row>
    <row r="391" spans="1:8" ht="15.75" thickBot="1" x14ac:dyDescent="0.3">
      <c r="A391" s="10"/>
      <c r="B391" s="1"/>
      <c r="C391" s="1"/>
      <c r="D391" s="1"/>
      <c r="E391" s="1"/>
      <c r="F391" s="80"/>
      <c r="G391" s="6"/>
      <c r="H391" s="1"/>
    </row>
    <row r="392" spans="1:8" ht="15.75" thickBot="1" x14ac:dyDescent="0.3">
      <c r="A392" s="10"/>
      <c r="B392" s="1"/>
      <c r="C392" s="1"/>
      <c r="D392" s="1"/>
      <c r="E392" s="1"/>
      <c r="F392" s="80"/>
      <c r="G392" s="6"/>
      <c r="H392" s="1"/>
    </row>
    <row r="393" spans="1:8" ht="15.75" thickBot="1" x14ac:dyDescent="0.3">
      <c r="A393" s="10"/>
      <c r="B393" s="1"/>
      <c r="C393" s="1"/>
      <c r="D393" s="1"/>
      <c r="E393" s="1"/>
      <c r="F393" s="80"/>
      <c r="G393" s="6"/>
      <c r="H393" s="1"/>
    </row>
    <row r="394" spans="1:8" ht="15.75" thickBot="1" x14ac:dyDescent="0.3">
      <c r="A394" s="10"/>
      <c r="B394" s="1"/>
      <c r="C394" s="1"/>
      <c r="D394" s="1"/>
      <c r="E394" s="1"/>
      <c r="F394" s="80"/>
      <c r="G394" s="6"/>
      <c r="H394" s="1"/>
    </row>
    <row r="395" spans="1:8" ht="15.75" thickBot="1" x14ac:dyDescent="0.3">
      <c r="A395" s="10"/>
      <c r="B395" s="1"/>
      <c r="C395" s="1"/>
      <c r="D395" s="1"/>
      <c r="E395" s="1"/>
      <c r="F395" s="80"/>
      <c r="G395" s="6"/>
      <c r="H395" s="1"/>
    </row>
    <row r="396" spans="1:8" ht="15.75" thickBot="1" x14ac:dyDescent="0.3">
      <c r="A396" s="10"/>
      <c r="B396" s="1"/>
      <c r="C396" s="1"/>
      <c r="D396" s="1"/>
      <c r="E396" s="1"/>
      <c r="F396" s="80"/>
      <c r="G396" s="6"/>
      <c r="H396" s="1"/>
    </row>
    <row r="397" spans="1:8" ht="15.75" thickBot="1" x14ac:dyDescent="0.3">
      <c r="A397" s="10"/>
      <c r="B397" s="1"/>
      <c r="C397" s="1"/>
      <c r="D397" s="1"/>
      <c r="E397" s="1"/>
      <c r="F397" s="80"/>
      <c r="G397" s="6"/>
      <c r="H397" s="44"/>
    </row>
    <row r="398" spans="1:8" ht="15.75" thickBot="1" x14ac:dyDescent="0.3">
      <c r="A398" s="10"/>
      <c r="B398" s="1"/>
      <c r="C398" s="1"/>
      <c r="D398" s="1"/>
      <c r="E398" s="1"/>
      <c r="F398" s="80"/>
      <c r="G398" s="6"/>
      <c r="H398" s="1"/>
    </row>
    <row r="399" spans="1:8" ht="15.75" thickBot="1" x14ac:dyDescent="0.3">
      <c r="A399" s="6"/>
      <c r="B399" s="1"/>
      <c r="C399" s="1"/>
      <c r="D399" s="1"/>
      <c r="E399" s="1"/>
      <c r="F399" s="80"/>
      <c r="G399" s="6"/>
      <c r="H399" s="1"/>
    </row>
    <row r="400" spans="1:8" ht="15.75" thickBot="1" x14ac:dyDescent="0.3">
      <c r="A400" s="10"/>
      <c r="B400" s="1"/>
      <c r="C400" s="1"/>
      <c r="D400" s="1"/>
      <c r="E400" s="1"/>
      <c r="F400" s="80"/>
      <c r="G400" s="6"/>
      <c r="H400" s="1"/>
    </row>
    <row r="401" spans="1:8" ht="15.75" thickBot="1" x14ac:dyDescent="0.3">
      <c r="A401" s="10"/>
      <c r="B401" s="1"/>
      <c r="C401" s="1"/>
      <c r="D401" s="1"/>
      <c r="E401" s="1"/>
      <c r="F401" s="80"/>
      <c r="G401" s="6"/>
      <c r="H401" s="1"/>
    </row>
    <row r="402" spans="1:8" ht="15.75" thickBot="1" x14ac:dyDescent="0.3">
      <c r="A402" s="10"/>
      <c r="B402" s="1"/>
      <c r="C402" s="1"/>
      <c r="D402" s="1"/>
      <c r="E402" s="1"/>
      <c r="F402" s="80"/>
      <c r="G402" s="6"/>
      <c r="H402" s="1"/>
    </row>
    <row r="403" spans="1:8" ht="15.75" thickBot="1" x14ac:dyDescent="0.3">
      <c r="A403" s="10"/>
      <c r="B403" s="1"/>
      <c r="C403" s="1"/>
      <c r="D403" s="1"/>
      <c r="E403" s="1"/>
      <c r="F403" s="80"/>
      <c r="G403" s="6"/>
      <c r="H403" s="1"/>
    </row>
    <row r="404" spans="1:8" ht="15.75" thickBot="1" x14ac:dyDescent="0.3">
      <c r="A404" s="10"/>
      <c r="B404" s="1"/>
      <c r="C404" s="1"/>
      <c r="D404" s="1"/>
      <c r="E404" s="1"/>
      <c r="F404" s="80"/>
      <c r="G404" s="6"/>
      <c r="H404" s="1"/>
    </row>
    <row r="405" spans="1:8" ht="15.75" thickBot="1" x14ac:dyDescent="0.3">
      <c r="A405" s="10"/>
      <c r="B405" s="1"/>
      <c r="C405" s="1"/>
      <c r="D405" s="1"/>
      <c r="E405" s="1"/>
      <c r="F405" s="80"/>
      <c r="G405" s="6"/>
      <c r="H405" s="1"/>
    </row>
    <row r="406" spans="1:8" ht="15.75" thickBot="1" x14ac:dyDescent="0.3">
      <c r="A406" s="10"/>
      <c r="B406" s="1"/>
      <c r="C406" s="1"/>
      <c r="D406" s="1"/>
      <c r="E406" s="1"/>
      <c r="F406" s="80"/>
      <c r="G406" s="6"/>
      <c r="H406" s="1"/>
    </row>
    <row r="407" spans="1:8" ht="15.75" thickBot="1" x14ac:dyDescent="0.3">
      <c r="A407" s="10"/>
      <c r="B407" s="1"/>
      <c r="C407" s="1"/>
      <c r="D407" s="1"/>
      <c r="E407" s="1"/>
      <c r="F407" s="80"/>
      <c r="G407" s="6"/>
      <c r="H407" s="1"/>
    </row>
    <row r="408" spans="1:8" ht="15.75" thickBot="1" x14ac:dyDescent="0.3">
      <c r="A408" s="10"/>
      <c r="B408" s="1"/>
      <c r="C408" s="1"/>
      <c r="D408" s="1"/>
      <c r="E408" s="1"/>
      <c r="F408" s="80"/>
      <c r="G408" s="6"/>
      <c r="H408" s="1"/>
    </row>
    <row r="409" spans="1:8" ht="15.75" thickBot="1" x14ac:dyDescent="0.3">
      <c r="A409" s="10"/>
      <c r="B409" s="1"/>
      <c r="C409" s="1"/>
      <c r="D409" s="1"/>
      <c r="E409" s="1"/>
      <c r="F409" s="80"/>
      <c r="G409" s="6"/>
      <c r="H409" s="1"/>
    </row>
    <row r="410" spans="1:8" ht="15.75" thickBot="1" x14ac:dyDescent="0.3">
      <c r="A410" s="10"/>
      <c r="B410" s="1"/>
      <c r="C410" s="1"/>
      <c r="D410" s="1"/>
      <c r="E410" s="1"/>
      <c r="F410" s="80"/>
      <c r="G410" s="6"/>
      <c r="H410" s="1"/>
    </row>
    <row r="411" spans="1:8" ht="15.75" thickBot="1" x14ac:dyDescent="0.3">
      <c r="A411" s="10"/>
      <c r="B411" s="1"/>
      <c r="C411" s="1"/>
      <c r="D411" s="1"/>
      <c r="E411" s="1"/>
      <c r="F411" s="80"/>
      <c r="G411" s="6"/>
      <c r="H411" s="1"/>
    </row>
    <row r="412" spans="1:8" ht="15.75" thickBot="1" x14ac:dyDescent="0.3">
      <c r="A412" s="10"/>
      <c r="B412" s="1"/>
      <c r="C412" s="1"/>
      <c r="D412" s="1"/>
      <c r="E412" s="1"/>
      <c r="F412" s="80"/>
      <c r="G412" s="6"/>
      <c r="H412" s="1"/>
    </row>
    <row r="413" spans="1:8" ht="15.75" thickBot="1" x14ac:dyDescent="0.3">
      <c r="A413" s="10"/>
      <c r="B413" s="1"/>
      <c r="C413" s="1"/>
      <c r="D413" s="1"/>
      <c r="E413" s="1"/>
      <c r="F413" s="80"/>
      <c r="G413" s="6"/>
      <c r="H413" s="1"/>
    </row>
    <row r="414" spans="1:8" ht="15.75" thickBot="1" x14ac:dyDescent="0.3">
      <c r="A414" s="10"/>
      <c r="B414" s="1"/>
      <c r="C414" s="1"/>
      <c r="D414" s="1"/>
      <c r="E414" s="1"/>
      <c r="F414" s="80"/>
      <c r="G414" s="6"/>
      <c r="H414" s="1"/>
    </row>
    <row r="415" spans="1:8" ht="15.75" thickBot="1" x14ac:dyDescent="0.3">
      <c r="A415" s="10"/>
      <c r="B415" s="1"/>
      <c r="C415" s="1"/>
      <c r="D415" s="1"/>
      <c r="E415" s="1"/>
      <c r="F415" s="80"/>
      <c r="G415" s="6"/>
      <c r="H415" s="1"/>
    </row>
    <row r="416" spans="1:8" ht="15.75" thickBot="1" x14ac:dyDescent="0.3">
      <c r="A416" s="10"/>
      <c r="B416" s="1"/>
      <c r="C416" s="1"/>
      <c r="D416" s="1"/>
      <c r="E416" s="1"/>
      <c r="F416" s="80"/>
      <c r="G416" s="6"/>
      <c r="H416" s="1"/>
    </row>
    <row r="417" spans="1:8" ht="15.75" thickBot="1" x14ac:dyDescent="0.3">
      <c r="A417" s="10"/>
      <c r="B417" s="1"/>
      <c r="C417" s="1"/>
      <c r="D417" s="1"/>
      <c r="E417" s="1"/>
      <c r="F417" s="80"/>
      <c r="G417" s="6"/>
      <c r="H417" s="1"/>
    </row>
    <row r="418" spans="1:8" ht="15.75" thickBot="1" x14ac:dyDescent="0.3">
      <c r="A418" s="10"/>
      <c r="B418" s="1"/>
      <c r="C418" s="1"/>
      <c r="D418" s="1"/>
      <c r="E418" s="1"/>
      <c r="F418" s="80"/>
      <c r="G418" s="6"/>
      <c r="H418" s="1"/>
    </row>
    <row r="419" spans="1:8" ht="15.75" thickBot="1" x14ac:dyDescent="0.3">
      <c r="A419" s="10"/>
      <c r="B419" s="1"/>
      <c r="C419" s="1"/>
      <c r="D419" s="1"/>
      <c r="E419" s="1"/>
      <c r="F419" s="80"/>
      <c r="G419" s="6"/>
      <c r="H419" s="1"/>
    </row>
    <row r="420" spans="1:8" ht="15.75" thickBot="1" x14ac:dyDescent="0.3">
      <c r="A420" s="10"/>
      <c r="B420" s="1"/>
      <c r="C420" s="1"/>
      <c r="D420" s="1"/>
      <c r="E420" s="1"/>
      <c r="F420" s="80"/>
      <c r="G420" s="6"/>
      <c r="H420" s="1"/>
    </row>
    <row r="421" spans="1:8" ht="15.75" thickBot="1" x14ac:dyDescent="0.3">
      <c r="A421" s="10"/>
      <c r="B421" s="1"/>
      <c r="C421" s="1"/>
      <c r="D421" s="1"/>
      <c r="E421" s="1"/>
      <c r="F421" s="80"/>
      <c r="G421" s="6"/>
      <c r="H421" s="1"/>
    </row>
    <row r="422" spans="1:8" ht="15.75" thickBot="1" x14ac:dyDescent="0.3">
      <c r="A422" s="10"/>
      <c r="B422" s="1"/>
      <c r="C422" s="1"/>
      <c r="D422" s="1"/>
      <c r="E422" s="1"/>
      <c r="F422" s="80"/>
      <c r="G422" s="6"/>
      <c r="H422" s="1"/>
    </row>
    <row r="423" spans="1:8" ht="15.75" thickBot="1" x14ac:dyDescent="0.3">
      <c r="A423" s="10"/>
      <c r="B423" s="1"/>
      <c r="C423" s="1"/>
      <c r="D423" s="1"/>
      <c r="E423" s="1"/>
      <c r="F423" s="80"/>
      <c r="G423" s="6"/>
      <c r="H423" s="1"/>
    </row>
    <row r="424" spans="1:8" ht="15.75" thickBot="1" x14ac:dyDescent="0.3">
      <c r="A424" s="10"/>
      <c r="B424" s="1"/>
      <c r="C424" s="1"/>
      <c r="D424" s="1"/>
      <c r="E424" s="1"/>
      <c r="F424" s="80"/>
      <c r="G424" s="6"/>
      <c r="H424" s="1"/>
    </row>
    <row r="425" spans="1:8" ht="15.75" thickBot="1" x14ac:dyDescent="0.3">
      <c r="A425" s="10"/>
      <c r="B425" s="1"/>
      <c r="C425" s="1"/>
      <c r="D425" s="1"/>
      <c r="E425" s="1"/>
      <c r="F425" s="80"/>
      <c r="G425" s="6"/>
      <c r="H425" s="1"/>
    </row>
    <row r="426" spans="1:8" ht="15.75" thickBot="1" x14ac:dyDescent="0.3">
      <c r="A426" s="10"/>
      <c r="B426" s="1"/>
      <c r="C426" s="1"/>
      <c r="D426" s="1"/>
      <c r="E426" s="1"/>
      <c r="F426" s="80"/>
      <c r="G426" s="6"/>
      <c r="H426" s="44"/>
    </row>
    <row r="427" spans="1:8" ht="15.75" thickBot="1" x14ac:dyDescent="0.3">
      <c r="A427" s="10"/>
      <c r="B427" s="1"/>
      <c r="C427" s="1"/>
      <c r="D427" s="1"/>
      <c r="E427" s="1"/>
      <c r="F427" s="80"/>
      <c r="G427" s="6"/>
      <c r="H427" s="1"/>
    </row>
    <row r="428" spans="1:8" ht="15.75" thickBot="1" x14ac:dyDescent="0.3">
      <c r="A428" s="10"/>
      <c r="B428" s="1"/>
      <c r="C428" s="1"/>
      <c r="D428" s="1"/>
      <c r="E428" s="1"/>
      <c r="F428" s="80"/>
      <c r="G428" s="6"/>
      <c r="H428" s="1"/>
    </row>
    <row r="429" spans="1:8" ht="15.75" thickBot="1" x14ac:dyDescent="0.3">
      <c r="A429" s="10"/>
      <c r="B429" s="1"/>
      <c r="C429" s="1"/>
      <c r="D429" s="1"/>
      <c r="E429" s="1"/>
      <c r="F429" s="80"/>
      <c r="G429" s="6"/>
      <c r="H429" s="1"/>
    </row>
    <row r="430" spans="1:8" ht="15.75" thickBot="1" x14ac:dyDescent="0.3">
      <c r="A430" s="10"/>
      <c r="B430" s="1"/>
      <c r="C430" s="1"/>
      <c r="D430" s="1"/>
      <c r="E430" s="1"/>
      <c r="F430" s="80"/>
      <c r="G430" s="6"/>
      <c r="H430" s="1"/>
    </row>
    <row r="431" spans="1:8" ht="15.75" thickBot="1" x14ac:dyDescent="0.3">
      <c r="A431" s="10"/>
      <c r="B431" s="1"/>
      <c r="C431" s="1"/>
      <c r="D431" s="1"/>
      <c r="E431" s="1"/>
      <c r="F431" s="80"/>
      <c r="G431" s="10"/>
      <c r="H431" s="1"/>
    </row>
    <row r="432" spans="1:8" ht="15.75" thickBot="1" x14ac:dyDescent="0.3">
      <c r="A432" s="10"/>
      <c r="B432" s="1"/>
      <c r="C432" s="1"/>
      <c r="D432" s="1"/>
      <c r="E432" s="1"/>
      <c r="F432" s="80"/>
      <c r="G432" s="10"/>
      <c r="H432" s="1"/>
    </row>
    <row r="433" spans="1:8" ht="15.75" thickBot="1" x14ac:dyDescent="0.3">
      <c r="A433" s="10"/>
      <c r="B433" s="1"/>
      <c r="C433" s="1"/>
      <c r="D433" s="1"/>
      <c r="E433" s="1"/>
      <c r="F433" s="80"/>
      <c r="G433" s="10"/>
      <c r="H433" s="1"/>
    </row>
    <row r="434" spans="1:8" ht="15.75" thickBot="1" x14ac:dyDescent="0.3">
      <c r="A434" s="10"/>
      <c r="B434" s="1"/>
      <c r="C434" s="1"/>
      <c r="D434" s="1"/>
      <c r="E434" s="1"/>
      <c r="F434" s="80"/>
      <c r="G434" s="10"/>
      <c r="H434" s="44"/>
    </row>
    <row r="435" spans="1:8" ht="15.75" thickBot="1" x14ac:dyDescent="0.3">
      <c r="A435" s="10"/>
      <c r="B435" s="1"/>
      <c r="C435" s="1"/>
      <c r="D435" s="1"/>
      <c r="E435" s="1"/>
      <c r="F435" s="80"/>
      <c r="G435" s="6"/>
      <c r="H435" s="1"/>
    </row>
    <row r="436" spans="1:8" ht="15.75" thickBot="1" x14ac:dyDescent="0.3">
      <c r="A436" s="10"/>
      <c r="B436" s="1"/>
      <c r="C436" s="1"/>
      <c r="D436" s="1"/>
      <c r="E436" s="1"/>
      <c r="F436" s="80"/>
      <c r="G436" s="6"/>
      <c r="H436" s="1"/>
    </row>
    <row r="437" spans="1:8" ht="15.75" thickBot="1" x14ac:dyDescent="0.3">
      <c r="A437" s="10"/>
      <c r="B437" s="1"/>
      <c r="C437" s="1"/>
      <c r="D437" s="1"/>
      <c r="E437" s="1"/>
      <c r="F437" s="80"/>
      <c r="G437" s="6"/>
      <c r="H437" s="1"/>
    </row>
    <row r="438" spans="1:8" ht="15.75" thickBot="1" x14ac:dyDescent="0.3">
      <c r="A438" s="10"/>
      <c r="B438" s="1"/>
      <c r="C438" s="1"/>
      <c r="D438" s="1"/>
      <c r="E438" s="1"/>
      <c r="F438" s="80"/>
      <c r="G438" s="6"/>
      <c r="H438" s="1"/>
    </row>
    <row r="439" spans="1:8" ht="15.75" thickBot="1" x14ac:dyDescent="0.3">
      <c r="A439" s="10"/>
      <c r="B439" s="1"/>
      <c r="C439" s="1"/>
      <c r="D439" s="1"/>
      <c r="E439" s="1"/>
      <c r="F439" s="80"/>
      <c r="G439" s="6"/>
      <c r="H439" s="1"/>
    </row>
    <row r="440" spans="1:8" ht="15.75" thickBot="1" x14ac:dyDescent="0.3">
      <c r="A440" s="10"/>
      <c r="B440" s="1"/>
      <c r="C440" s="1"/>
      <c r="D440" s="1"/>
      <c r="E440" s="1"/>
      <c r="F440" s="80"/>
      <c r="G440" s="6"/>
      <c r="H440" s="1"/>
    </row>
    <row r="441" spans="1:8" ht="15.75" thickBot="1" x14ac:dyDescent="0.3">
      <c r="A441" s="10"/>
      <c r="B441" s="1"/>
      <c r="C441" s="1"/>
      <c r="D441" s="1"/>
      <c r="E441" s="1"/>
      <c r="F441" s="80"/>
      <c r="G441" s="6"/>
      <c r="H441" s="1"/>
    </row>
    <row r="442" spans="1:8" ht="15.75" thickBot="1" x14ac:dyDescent="0.3">
      <c r="A442" s="10"/>
      <c r="B442" s="1"/>
      <c r="C442" s="1"/>
      <c r="D442" s="1"/>
      <c r="E442" s="1"/>
      <c r="F442" s="80"/>
      <c r="G442" s="6"/>
      <c r="H442" s="44"/>
    </row>
    <row r="443" spans="1:8" ht="15.75" thickBot="1" x14ac:dyDescent="0.3">
      <c r="A443" s="10"/>
      <c r="B443" s="1"/>
      <c r="C443" s="1"/>
      <c r="D443" s="1"/>
      <c r="E443" s="1"/>
      <c r="F443" s="80"/>
      <c r="G443" s="6"/>
      <c r="H443" s="1"/>
    </row>
    <row r="444" spans="1:8" ht="15.75" thickBot="1" x14ac:dyDescent="0.3">
      <c r="A444" s="10"/>
      <c r="B444" s="1"/>
      <c r="C444" s="1"/>
      <c r="D444" s="1"/>
      <c r="E444" s="1"/>
      <c r="F444" s="80"/>
      <c r="G444" s="6"/>
      <c r="H444" s="1"/>
    </row>
    <row r="445" spans="1:8" ht="15.75" thickBot="1" x14ac:dyDescent="0.3">
      <c r="A445" s="10"/>
      <c r="B445" s="1"/>
      <c r="C445" s="1"/>
      <c r="D445" s="1"/>
      <c r="E445" s="1"/>
      <c r="F445" s="80"/>
      <c r="G445" s="6"/>
      <c r="H445" s="1"/>
    </row>
    <row r="446" spans="1:8" ht="15.75" thickBot="1" x14ac:dyDescent="0.3">
      <c r="A446" s="10"/>
      <c r="B446" s="1"/>
      <c r="C446" s="1"/>
      <c r="D446" s="1"/>
      <c r="E446" s="1"/>
      <c r="F446" s="80"/>
      <c r="G446" s="6"/>
      <c r="H446" s="1"/>
    </row>
    <row r="447" spans="1:8" ht="15.75" thickBot="1" x14ac:dyDescent="0.3">
      <c r="A447" s="10"/>
      <c r="B447" s="1"/>
      <c r="C447" s="1"/>
      <c r="D447" s="1"/>
      <c r="E447" s="1"/>
      <c r="F447" s="80"/>
      <c r="G447" s="6"/>
      <c r="H447" s="1"/>
    </row>
    <row r="448" spans="1:8" ht="15.75" thickBot="1" x14ac:dyDescent="0.3">
      <c r="A448" s="6"/>
      <c r="B448" s="1"/>
      <c r="C448" s="1"/>
      <c r="D448" s="1"/>
      <c r="E448" s="1"/>
      <c r="F448" s="80"/>
      <c r="G448" s="6"/>
      <c r="H448" s="1"/>
    </row>
    <row r="449" spans="1:8" ht="15.75" thickBot="1" x14ac:dyDescent="0.3">
      <c r="A449" s="10"/>
      <c r="B449" s="1"/>
      <c r="C449" s="1"/>
      <c r="D449" s="1"/>
      <c r="E449" s="1"/>
      <c r="F449" s="80"/>
      <c r="G449" s="6"/>
      <c r="H449" s="1"/>
    </row>
    <row r="450" spans="1:8" ht="15.75" thickBot="1" x14ac:dyDescent="0.3">
      <c r="A450" s="10"/>
      <c r="B450" s="1"/>
      <c r="C450" s="1"/>
      <c r="D450" s="1"/>
      <c r="E450" s="1"/>
      <c r="F450" s="80"/>
      <c r="G450" s="6"/>
      <c r="H450" s="1"/>
    </row>
    <row r="451" spans="1:8" ht="15.75" thickBot="1" x14ac:dyDescent="0.3">
      <c r="A451" s="10"/>
      <c r="B451" s="1"/>
      <c r="C451" s="1"/>
      <c r="D451" s="1"/>
      <c r="E451" s="1"/>
      <c r="F451" s="80"/>
      <c r="G451" s="6"/>
      <c r="H451" s="1"/>
    </row>
    <row r="452" spans="1:8" ht="15.75" thickBot="1" x14ac:dyDescent="0.3">
      <c r="A452" s="10"/>
      <c r="B452" s="1"/>
      <c r="C452" s="1"/>
      <c r="D452" s="1"/>
      <c r="E452" s="1"/>
      <c r="F452" s="80"/>
      <c r="G452" s="6"/>
      <c r="H452" s="1"/>
    </row>
    <row r="453" spans="1:8" ht="15.75" thickBot="1" x14ac:dyDescent="0.3">
      <c r="A453" s="10"/>
      <c r="B453" s="1"/>
      <c r="C453" s="1"/>
      <c r="D453" s="1"/>
      <c r="E453" s="1"/>
      <c r="F453" s="80"/>
      <c r="G453" s="6"/>
      <c r="H453" s="1"/>
    </row>
    <row r="454" spans="1:8" ht="15.75" thickBot="1" x14ac:dyDescent="0.3">
      <c r="A454" s="10"/>
      <c r="B454" s="1"/>
      <c r="C454" s="1"/>
      <c r="D454" s="1"/>
      <c r="E454" s="1"/>
      <c r="F454" s="80"/>
      <c r="G454" s="6"/>
      <c r="H454" s="1"/>
    </row>
    <row r="455" spans="1:8" ht="15.75" thickBot="1" x14ac:dyDescent="0.3">
      <c r="A455" s="10"/>
      <c r="B455" s="1"/>
      <c r="C455" s="1"/>
      <c r="D455" s="1"/>
      <c r="E455" s="1"/>
      <c r="F455" s="80"/>
      <c r="G455" s="6"/>
      <c r="H455" s="1"/>
    </row>
    <row r="456" spans="1:8" ht="15.75" thickBot="1" x14ac:dyDescent="0.3">
      <c r="A456" s="10"/>
      <c r="B456" s="1"/>
      <c r="C456" s="1"/>
      <c r="D456" s="1"/>
      <c r="E456" s="1"/>
      <c r="F456" s="80"/>
      <c r="G456" s="6"/>
      <c r="H456" s="1"/>
    </row>
    <row r="457" spans="1:8" ht="15.75" thickBot="1" x14ac:dyDescent="0.3">
      <c r="A457" s="10"/>
      <c r="B457" s="1"/>
      <c r="C457" s="1"/>
      <c r="D457" s="1"/>
      <c r="E457" s="1"/>
      <c r="F457" s="80"/>
      <c r="G457" s="6"/>
      <c r="H457" s="1"/>
    </row>
    <row r="458" spans="1:8" ht="15.75" thickBot="1" x14ac:dyDescent="0.3">
      <c r="A458" s="10"/>
      <c r="B458" s="1"/>
      <c r="C458" s="1"/>
      <c r="D458" s="1"/>
      <c r="E458" s="1"/>
      <c r="F458" s="80"/>
      <c r="G458" s="6"/>
      <c r="H458" s="1"/>
    </row>
    <row r="459" spans="1:8" ht="15.75" thickBot="1" x14ac:dyDescent="0.3">
      <c r="A459" s="10"/>
      <c r="B459" s="1"/>
      <c r="C459" s="1"/>
      <c r="D459" s="1"/>
      <c r="E459" s="1"/>
      <c r="F459" s="80"/>
      <c r="G459" s="6"/>
      <c r="H459" s="1"/>
    </row>
    <row r="460" spans="1:8" ht="15.75" thickBot="1" x14ac:dyDescent="0.3">
      <c r="A460" s="10"/>
      <c r="B460" s="1"/>
      <c r="C460" s="1"/>
      <c r="D460" s="1"/>
      <c r="E460" s="1"/>
      <c r="F460" s="80"/>
      <c r="G460" s="6"/>
      <c r="H460" s="1"/>
    </row>
    <row r="461" spans="1:8" ht="15.75" thickBot="1" x14ac:dyDescent="0.3">
      <c r="A461" s="10"/>
      <c r="B461" s="1"/>
      <c r="C461" s="1"/>
      <c r="D461" s="1"/>
      <c r="E461" s="1"/>
      <c r="F461" s="80"/>
      <c r="G461" s="6"/>
      <c r="H461" s="44"/>
    </row>
    <row r="462" spans="1:8" ht="15.75" thickBot="1" x14ac:dyDescent="0.3">
      <c r="A462" s="10"/>
      <c r="B462" s="1"/>
      <c r="C462" s="1"/>
      <c r="D462" s="1"/>
      <c r="E462" s="1"/>
      <c r="F462" s="80"/>
      <c r="G462" s="6"/>
      <c r="H462" s="1"/>
    </row>
    <row r="463" spans="1:8" ht="15.75" thickBot="1" x14ac:dyDescent="0.3">
      <c r="A463" s="10"/>
      <c r="B463" s="1"/>
      <c r="C463" s="1"/>
      <c r="D463" s="1"/>
      <c r="E463" s="1"/>
      <c r="F463" s="80"/>
      <c r="G463" s="6"/>
      <c r="H463" s="1"/>
    </row>
    <row r="464" spans="1:8" ht="15.75" thickBot="1" x14ac:dyDescent="0.3">
      <c r="A464" s="10"/>
      <c r="B464" s="1"/>
      <c r="C464" s="1"/>
      <c r="D464" s="1"/>
      <c r="E464" s="1"/>
      <c r="F464" s="80"/>
      <c r="G464" s="6"/>
      <c r="H464" s="1"/>
    </row>
    <row r="465" spans="1:8" ht="15.75" thickBot="1" x14ac:dyDescent="0.3">
      <c r="A465" s="10"/>
      <c r="B465" s="1"/>
      <c r="C465" s="1"/>
      <c r="D465" s="1"/>
      <c r="E465" s="1"/>
      <c r="F465" s="80"/>
      <c r="G465" s="6"/>
      <c r="H465" s="1"/>
    </row>
    <row r="466" spans="1:8" ht="15.75" thickBot="1" x14ac:dyDescent="0.3">
      <c r="A466" s="10"/>
      <c r="B466" s="1"/>
      <c r="C466" s="1"/>
      <c r="D466" s="1"/>
      <c r="E466" s="1"/>
      <c r="F466" s="80"/>
      <c r="G466" s="6"/>
      <c r="H466" s="1"/>
    </row>
    <row r="467" spans="1:8" ht="15.75" thickBot="1" x14ac:dyDescent="0.3">
      <c r="A467" s="10"/>
      <c r="B467" s="1"/>
      <c r="C467" s="1"/>
      <c r="D467" s="1"/>
      <c r="E467" s="1"/>
      <c r="F467" s="80"/>
      <c r="G467" s="6"/>
      <c r="H467" s="1"/>
    </row>
    <row r="468" spans="1:8" ht="15.75" thickBot="1" x14ac:dyDescent="0.3">
      <c r="A468" s="10"/>
      <c r="B468" s="1"/>
      <c r="C468" s="1"/>
      <c r="D468" s="1"/>
      <c r="E468" s="1"/>
      <c r="F468" s="80"/>
      <c r="G468" s="6"/>
      <c r="H468" s="1"/>
    </row>
    <row r="469" spans="1:8" ht="15.75" thickBot="1" x14ac:dyDescent="0.3">
      <c r="A469" s="10"/>
      <c r="B469" s="1"/>
      <c r="C469" s="1"/>
      <c r="D469" s="1"/>
      <c r="E469" s="1"/>
      <c r="F469" s="80"/>
      <c r="G469" s="6"/>
      <c r="H469" s="1"/>
    </row>
    <row r="470" spans="1:8" ht="15.75" thickBot="1" x14ac:dyDescent="0.3">
      <c r="A470" s="10"/>
      <c r="B470" s="1"/>
      <c r="C470" s="1"/>
      <c r="D470" s="1"/>
      <c r="E470" s="1"/>
      <c r="F470" s="80"/>
      <c r="G470" s="6"/>
      <c r="H470" s="1"/>
    </row>
    <row r="471" spans="1:8" ht="15.75" thickBot="1" x14ac:dyDescent="0.3">
      <c r="A471" s="10"/>
      <c r="B471" s="1"/>
      <c r="C471" s="1"/>
      <c r="D471" s="1"/>
      <c r="E471" s="1"/>
      <c r="F471" s="80"/>
      <c r="G471" s="6"/>
      <c r="H471" s="1"/>
    </row>
    <row r="472" spans="1:8" ht="15.75" thickBot="1" x14ac:dyDescent="0.3">
      <c r="A472" s="10"/>
      <c r="B472" s="1"/>
      <c r="C472" s="1"/>
      <c r="D472" s="1"/>
      <c r="E472" s="1"/>
      <c r="F472" s="80"/>
      <c r="G472" s="6"/>
      <c r="H472" s="1"/>
    </row>
    <row r="473" spans="1:8" ht="15.75" thickBot="1" x14ac:dyDescent="0.3">
      <c r="A473" s="10"/>
      <c r="B473" s="1"/>
      <c r="C473" s="1"/>
      <c r="D473" s="1"/>
      <c r="E473" s="1"/>
      <c r="F473" s="80"/>
      <c r="G473" s="6"/>
      <c r="H473" s="1"/>
    </row>
    <row r="474" spans="1:8" ht="15.75" thickBot="1" x14ac:dyDescent="0.3">
      <c r="A474" s="10"/>
      <c r="B474" s="1"/>
      <c r="C474" s="1"/>
      <c r="D474" s="1"/>
      <c r="E474" s="1"/>
      <c r="F474" s="80"/>
      <c r="G474" s="6"/>
      <c r="H474" s="1"/>
    </row>
    <row r="475" spans="1:8" ht="15.75" thickBot="1" x14ac:dyDescent="0.3">
      <c r="A475" s="10"/>
      <c r="B475" s="1"/>
      <c r="C475" s="1"/>
      <c r="D475" s="1"/>
      <c r="E475" s="1"/>
      <c r="F475" s="80"/>
      <c r="G475" s="6"/>
      <c r="H475" s="1"/>
    </row>
    <row r="476" spans="1:8" ht="15.75" thickBot="1" x14ac:dyDescent="0.3">
      <c r="A476" s="10"/>
      <c r="B476" s="1"/>
      <c r="C476" s="1"/>
      <c r="D476" s="1"/>
      <c r="E476" s="1"/>
      <c r="F476" s="80"/>
      <c r="G476" s="6"/>
      <c r="H476" s="1"/>
    </row>
    <row r="477" spans="1:8" ht="15.75" thickBot="1" x14ac:dyDescent="0.3">
      <c r="A477" s="10"/>
      <c r="B477" s="1"/>
      <c r="C477" s="1"/>
      <c r="D477" s="1"/>
      <c r="E477" s="1"/>
      <c r="F477" s="80"/>
      <c r="G477" s="6"/>
      <c r="H477" s="1"/>
    </row>
    <row r="478" spans="1:8" ht="15.75" thickBot="1" x14ac:dyDescent="0.3">
      <c r="A478" s="10"/>
      <c r="B478" s="1"/>
      <c r="C478" s="1"/>
      <c r="D478" s="1"/>
      <c r="E478" s="1"/>
      <c r="F478" s="80"/>
      <c r="G478" s="6"/>
      <c r="H478" s="1"/>
    </row>
    <row r="479" spans="1:8" ht="15.75" thickBot="1" x14ac:dyDescent="0.3">
      <c r="A479" s="10"/>
      <c r="B479" s="1"/>
      <c r="C479" s="1"/>
      <c r="D479" s="1"/>
      <c r="E479" s="1"/>
      <c r="F479" s="80"/>
      <c r="G479" s="6"/>
      <c r="H479" s="1"/>
    </row>
    <row r="480" spans="1:8" ht="15.75" thickBot="1" x14ac:dyDescent="0.3">
      <c r="A480" s="10"/>
      <c r="B480" s="1"/>
      <c r="C480" s="1"/>
      <c r="D480" s="1"/>
      <c r="E480" s="1"/>
      <c r="F480" s="80"/>
      <c r="G480" s="6"/>
      <c r="H480" s="1"/>
    </row>
    <row r="481" spans="1:8" ht="15.75" thickBot="1" x14ac:dyDescent="0.3">
      <c r="A481" s="10"/>
      <c r="B481" s="1"/>
      <c r="C481" s="1"/>
      <c r="D481" s="1"/>
      <c r="E481" s="1"/>
      <c r="F481" s="80"/>
      <c r="G481" s="6"/>
      <c r="H481" s="1"/>
    </row>
    <row r="482" spans="1:8" ht="15.75" thickBot="1" x14ac:dyDescent="0.3">
      <c r="A482" s="10"/>
      <c r="B482" s="1"/>
      <c r="C482" s="1"/>
      <c r="D482" s="1"/>
      <c r="E482" s="1"/>
      <c r="F482" s="80"/>
      <c r="G482" s="6"/>
      <c r="H482" s="1"/>
    </row>
    <row r="483" spans="1:8" ht="15.75" thickBot="1" x14ac:dyDescent="0.3">
      <c r="A483" s="10"/>
      <c r="B483" s="1"/>
      <c r="C483" s="1"/>
      <c r="D483" s="1"/>
      <c r="E483" s="1"/>
      <c r="F483" s="80"/>
      <c r="G483" s="6"/>
      <c r="H483" s="1"/>
    </row>
    <row r="484" spans="1:8" ht="15.75" thickBot="1" x14ac:dyDescent="0.3">
      <c r="A484" s="10"/>
      <c r="B484" s="1"/>
      <c r="C484" s="1"/>
      <c r="D484" s="1"/>
      <c r="E484" s="1"/>
      <c r="F484" s="80"/>
      <c r="G484" s="6"/>
      <c r="H484" s="1"/>
    </row>
    <row r="485" spans="1:8" ht="15.75" thickBot="1" x14ac:dyDescent="0.3">
      <c r="A485" s="10"/>
      <c r="B485" s="1"/>
      <c r="C485" s="1"/>
      <c r="D485" s="1"/>
      <c r="E485" s="1"/>
      <c r="F485" s="80"/>
      <c r="G485" s="6"/>
      <c r="H485" s="1"/>
    </row>
    <row r="486" spans="1:8" ht="15.75" thickBot="1" x14ac:dyDescent="0.3">
      <c r="A486" s="10"/>
      <c r="B486" s="1"/>
      <c r="C486" s="1"/>
      <c r="D486" s="1"/>
      <c r="E486" s="1"/>
      <c r="F486" s="80"/>
      <c r="G486" s="6"/>
      <c r="H486" s="1"/>
    </row>
    <row r="487" spans="1:8" ht="15.75" thickBot="1" x14ac:dyDescent="0.3">
      <c r="A487" s="10"/>
      <c r="B487" s="1"/>
      <c r="C487" s="1"/>
      <c r="D487" s="1"/>
      <c r="E487" s="1"/>
      <c r="F487" s="80"/>
      <c r="G487" s="6"/>
      <c r="H487" s="1"/>
    </row>
    <row r="488" spans="1:8" ht="15.75" thickBot="1" x14ac:dyDescent="0.3">
      <c r="A488" s="10"/>
      <c r="B488" s="1"/>
      <c r="C488" s="1"/>
      <c r="D488" s="1"/>
      <c r="E488" s="1"/>
      <c r="F488" s="80"/>
      <c r="G488" s="6"/>
      <c r="H488" s="1"/>
    </row>
    <row r="489" spans="1:8" ht="15.75" thickBot="1" x14ac:dyDescent="0.3">
      <c r="A489" s="10"/>
      <c r="B489" s="1"/>
      <c r="C489" s="1"/>
      <c r="D489" s="1"/>
      <c r="E489" s="1"/>
      <c r="F489" s="80"/>
      <c r="G489" s="6"/>
      <c r="H489" s="1"/>
    </row>
    <row r="490" spans="1:8" ht="15.75" thickBot="1" x14ac:dyDescent="0.3">
      <c r="A490" s="10"/>
      <c r="B490" s="1"/>
      <c r="C490" s="1"/>
      <c r="D490" s="1"/>
      <c r="E490" s="1"/>
      <c r="F490" s="80"/>
      <c r="G490" s="6"/>
      <c r="H490" s="1"/>
    </row>
    <row r="491" spans="1:8" ht="15.75" thickBot="1" x14ac:dyDescent="0.3">
      <c r="A491" s="10"/>
      <c r="B491" s="1"/>
      <c r="C491" s="1"/>
      <c r="D491" s="1"/>
      <c r="E491" s="1"/>
      <c r="F491" s="80"/>
      <c r="G491" s="6"/>
      <c r="H491" s="1"/>
    </row>
    <row r="492" spans="1:8" ht="15.75" thickBot="1" x14ac:dyDescent="0.3">
      <c r="A492" s="10"/>
      <c r="B492" s="1"/>
      <c r="C492" s="1"/>
      <c r="D492" s="1"/>
      <c r="E492" s="1"/>
      <c r="F492" s="80"/>
      <c r="G492" s="6"/>
      <c r="H492" s="1"/>
    </row>
    <row r="493" spans="1:8" ht="15.75" thickBot="1" x14ac:dyDescent="0.3">
      <c r="A493" s="10"/>
      <c r="B493" s="1"/>
      <c r="C493" s="1"/>
      <c r="D493" s="1"/>
      <c r="E493" s="1"/>
      <c r="F493" s="80"/>
      <c r="G493" s="6"/>
      <c r="H493" s="1"/>
    </row>
    <row r="494" spans="1:8" ht="15.75" thickBot="1" x14ac:dyDescent="0.3">
      <c r="A494" s="10"/>
      <c r="B494" s="1"/>
      <c r="C494" s="1"/>
      <c r="D494" s="1"/>
      <c r="E494" s="1"/>
      <c r="F494" s="80"/>
      <c r="G494" s="6"/>
      <c r="H494" s="1"/>
    </row>
    <row r="495" spans="1:8" ht="15.75" thickBot="1" x14ac:dyDescent="0.3">
      <c r="A495" s="10"/>
      <c r="B495" s="1"/>
      <c r="C495" s="1"/>
      <c r="D495" s="1"/>
      <c r="E495" s="1"/>
      <c r="F495" s="80"/>
      <c r="G495" s="6"/>
      <c r="H495" s="1"/>
    </row>
    <row r="496" spans="1:8" ht="15.75" thickBot="1" x14ac:dyDescent="0.3">
      <c r="A496" s="10"/>
      <c r="B496" s="1"/>
      <c r="C496" s="1"/>
      <c r="D496" s="1"/>
      <c r="E496" s="1"/>
      <c r="F496" s="80"/>
      <c r="G496" s="6"/>
      <c r="H496" s="1"/>
    </row>
    <row r="497" spans="1:8" ht="15.75" thickBot="1" x14ac:dyDescent="0.3">
      <c r="A497" s="10"/>
      <c r="B497" s="1"/>
      <c r="C497" s="1"/>
      <c r="D497" s="1"/>
      <c r="E497" s="1"/>
      <c r="F497" s="80"/>
      <c r="G497" s="10"/>
      <c r="H497" s="1"/>
    </row>
    <row r="498" spans="1:8" ht="15.75" thickBot="1" x14ac:dyDescent="0.3">
      <c r="A498" s="10"/>
      <c r="B498" s="1"/>
      <c r="C498" s="1"/>
      <c r="D498" s="1"/>
      <c r="E498" s="1"/>
      <c r="F498" s="80"/>
      <c r="G498" s="10"/>
      <c r="H498" s="1"/>
    </row>
    <row r="499" spans="1:8" ht="15.75" thickBot="1" x14ac:dyDescent="0.3">
      <c r="A499" s="10"/>
      <c r="B499" s="1"/>
      <c r="C499" s="1"/>
      <c r="D499" s="1"/>
      <c r="E499" s="1"/>
      <c r="F499" s="80"/>
      <c r="G499" s="10"/>
      <c r="H499" s="1"/>
    </row>
    <row r="500" spans="1:8" ht="15.75" thickBot="1" x14ac:dyDescent="0.3">
      <c r="A500" s="10"/>
      <c r="B500" s="1"/>
      <c r="C500" s="1"/>
      <c r="D500" s="1"/>
      <c r="E500" s="1"/>
      <c r="F500" s="80"/>
      <c r="G500" s="10"/>
      <c r="H500" s="1"/>
    </row>
    <row r="501" spans="1:8" ht="15.75" thickBot="1" x14ac:dyDescent="0.3">
      <c r="A501" s="10"/>
      <c r="B501" s="1"/>
      <c r="C501" s="1"/>
      <c r="D501" s="1"/>
      <c r="E501" s="1"/>
      <c r="F501" s="80"/>
      <c r="G501" s="10"/>
      <c r="H501" s="1"/>
    </row>
    <row r="502" spans="1:8" ht="15.75" thickBot="1" x14ac:dyDescent="0.3">
      <c r="A502" s="10"/>
      <c r="B502" s="1"/>
      <c r="C502" s="1"/>
      <c r="D502" s="1"/>
      <c r="E502" s="1"/>
      <c r="F502" s="80"/>
      <c r="G502" s="10"/>
      <c r="H502" s="1"/>
    </row>
    <row r="503" spans="1:8" ht="15.75" thickBot="1" x14ac:dyDescent="0.3">
      <c r="A503" s="6"/>
      <c r="B503" s="1"/>
      <c r="C503" s="1"/>
      <c r="D503" s="1"/>
      <c r="E503" s="1"/>
      <c r="F503" s="80"/>
      <c r="G503" s="10"/>
      <c r="H503" s="1"/>
    </row>
    <row r="504" spans="1:8" ht="15.75" thickBot="1" x14ac:dyDescent="0.3">
      <c r="A504" s="10"/>
      <c r="B504" s="1"/>
      <c r="C504" s="1"/>
      <c r="D504" s="1"/>
      <c r="E504" s="1"/>
      <c r="F504" s="80"/>
      <c r="G504" s="10"/>
      <c r="H504" s="1"/>
    </row>
    <row r="505" spans="1:8" ht="15.75" thickBot="1" x14ac:dyDescent="0.3">
      <c r="A505" s="10"/>
      <c r="B505" s="1"/>
      <c r="C505" s="1"/>
      <c r="D505" s="1"/>
      <c r="E505" s="1"/>
      <c r="F505" s="80"/>
      <c r="G505" s="10"/>
      <c r="H505" s="1"/>
    </row>
    <row r="506" spans="1:8" ht="15.75" thickBot="1" x14ac:dyDescent="0.3">
      <c r="A506" s="10"/>
      <c r="B506" s="1"/>
      <c r="C506" s="1"/>
      <c r="D506" s="1"/>
      <c r="E506" s="1"/>
      <c r="F506" s="80"/>
      <c r="G506" s="10"/>
      <c r="H506" s="1"/>
    </row>
    <row r="507" spans="1:8" ht="15.75" thickBot="1" x14ac:dyDescent="0.3">
      <c r="A507" s="10"/>
      <c r="B507" s="1"/>
      <c r="C507" s="1"/>
      <c r="D507" s="1"/>
      <c r="E507" s="1"/>
      <c r="F507" s="80"/>
      <c r="G507" s="10"/>
      <c r="H507" s="1"/>
    </row>
    <row r="508" spans="1:8" ht="15.75" thickBot="1" x14ac:dyDescent="0.3">
      <c r="A508" s="10"/>
      <c r="B508" s="1"/>
      <c r="C508" s="1"/>
      <c r="D508" s="1"/>
      <c r="E508" s="1"/>
      <c r="F508" s="80"/>
      <c r="G508" s="6"/>
      <c r="H508" s="1"/>
    </row>
    <row r="509" spans="1:8" ht="15.75" thickBot="1" x14ac:dyDescent="0.3">
      <c r="A509" s="10"/>
      <c r="B509" s="1"/>
      <c r="C509" s="1"/>
      <c r="D509" s="1"/>
      <c r="E509" s="1"/>
      <c r="F509" s="80"/>
      <c r="G509" s="6"/>
      <c r="H509" s="1"/>
    </row>
    <row r="510" spans="1:8" ht="15.75" thickBot="1" x14ac:dyDescent="0.3">
      <c r="A510" s="10"/>
      <c r="B510" s="1"/>
      <c r="C510" s="1"/>
      <c r="D510" s="1"/>
      <c r="E510" s="1"/>
      <c r="F510" s="80"/>
      <c r="G510" s="6"/>
      <c r="H510" s="1"/>
    </row>
    <row r="511" spans="1:8" ht="15.75" thickBot="1" x14ac:dyDescent="0.3">
      <c r="A511" s="10"/>
      <c r="B511" s="1"/>
      <c r="C511" s="1"/>
      <c r="D511" s="1"/>
      <c r="E511" s="1"/>
      <c r="F511" s="80"/>
      <c r="G511" s="6"/>
      <c r="H511" s="44"/>
    </row>
    <row r="512" spans="1:8" ht="15.75" thickBot="1" x14ac:dyDescent="0.3">
      <c r="A512" s="10"/>
      <c r="B512" s="1"/>
      <c r="C512" s="1"/>
      <c r="D512" s="1"/>
      <c r="E512" s="1"/>
      <c r="F512" s="80"/>
      <c r="G512" s="6"/>
      <c r="H512" s="1"/>
    </row>
    <row r="513" spans="1:8" ht="15.75" thickBot="1" x14ac:dyDescent="0.3">
      <c r="A513" s="10"/>
      <c r="B513" s="1"/>
      <c r="C513" s="1"/>
      <c r="D513" s="1"/>
      <c r="E513" s="1"/>
      <c r="F513" s="80"/>
      <c r="G513" s="6"/>
      <c r="H513" s="1"/>
    </row>
    <row r="514" spans="1:8" ht="15.75" thickBot="1" x14ac:dyDescent="0.3">
      <c r="A514" s="10"/>
      <c r="B514" s="1"/>
      <c r="C514" s="1"/>
      <c r="D514" s="1"/>
      <c r="E514" s="1"/>
      <c r="F514" s="80"/>
      <c r="G514" s="6"/>
      <c r="H514" s="1"/>
    </row>
    <row r="515" spans="1:8" ht="15.75" thickBot="1" x14ac:dyDescent="0.3">
      <c r="A515" s="10"/>
      <c r="B515" s="1"/>
      <c r="C515" s="1"/>
      <c r="D515" s="1"/>
      <c r="E515" s="1"/>
      <c r="F515" s="80"/>
      <c r="G515" s="6"/>
      <c r="H515" s="1"/>
    </row>
    <row r="516" spans="1:8" ht="15.75" thickBot="1" x14ac:dyDescent="0.3">
      <c r="A516" s="10"/>
      <c r="B516" s="1"/>
      <c r="C516" s="1"/>
      <c r="D516" s="1"/>
      <c r="E516" s="1"/>
      <c r="F516" s="80"/>
      <c r="G516" s="6"/>
      <c r="H516" s="44"/>
    </row>
    <row r="517" spans="1:8" ht="15.75" thickBot="1" x14ac:dyDescent="0.3">
      <c r="A517" s="10"/>
      <c r="B517" s="1"/>
      <c r="C517" s="1"/>
      <c r="D517" s="1"/>
      <c r="E517" s="1"/>
      <c r="F517" s="80"/>
      <c r="G517" s="6"/>
      <c r="H517" s="1"/>
    </row>
    <row r="518" spans="1:8" ht="15.75" thickBot="1" x14ac:dyDescent="0.3">
      <c r="A518" s="10"/>
      <c r="B518" s="1"/>
      <c r="C518" s="1"/>
      <c r="D518" s="1"/>
      <c r="E518" s="1"/>
      <c r="F518" s="80"/>
      <c r="G518" s="6"/>
      <c r="H518" s="44"/>
    </row>
    <row r="519" spans="1:8" ht="15.75" thickBot="1" x14ac:dyDescent="0.3">
      <c r="A519" s="10"/>
      <c r="B519" s="1"/>
      <c r="C519" s="1"/>
      <c r="D519" s="1"/>
      <c r="E519" s="1"/>
      <c r="F519" s="80"/>
      <c r="G519" s="6"/>
      <c r="H519" s="1"/>
    </row>
    <row r="520" spans="1:8" ht="15.75" thickBot="1" x14ac:dyDescent="0.3">
      <c r="A520" s="10"/>
      <c r="B520" s="1"/>
      <c r="C520" s="1"/>
      <c r="D520" s="1"/>
      <c r="E520" s="1"/>
      <c r="F520" s="80"/>
      <c r="G520" s="6"/>
      <c r="H520" s="1"/>
    </row>
    <row r="521" spans="1:8" ht="15.75" thickBot="1" x14ac:dyDescent="0.3">
      <c r="A521" s="10"/>
      <c r="B521" s="1"/>
      <c r="C521" s="1"/>
      <c r="D521" s="1"/>
      <c r="E521" s="1"/>
      <c r="F521" s="80"/>
      <c r="G521" s="6"/>
      <c r="H521" s="1"/>
    </row>
    <row r="522" spans="1:8" ht="15.75" thickBot="1" x14ac:dyDescent="0.3">
      <c r="A522" s="10"/>
      <c r="B522" s="1"/>
      <c r="C522" s="1"/>
      <c r="D522" s="1"/>
      <c r="E522" s="1"/>
      <c r="F522" s="80"/>
      <c r="G522" s="6"/>
      <c r="H522" s="1"/>
    </row>
    <row r="523" spans="1:8" ht="15.75" thickBot="1" x14ac:dyDescent="0.3">
      <c r="A523" s="10"/>
      <c r="B523" s="1"/>
      <c r="C523" s="1"/>
      <c r="D523" s="1"/>
      <c r="E523" s="1"/>
      <c r="F523" s="80"/>
      <c r="G523" s="6"/>
      <c r="H523" s="1"/>
    </row>
    <row r="524" spans="1:8" ht="15.75" thickBot="1" x14ac:dyDescent="0.3">
      <c r="A524" s="10"/>
      <c r="B524" s="1"/>
      <c r="C524" s="1"/>
      <c r="D524" s="1"/>
      <c r="E524" s="1"/>
      <c r="F524" s="80"/>
      <c r="G524" s="6"/>
      <c r="H524" s="1"/>
    </row>
    <row r="525" spans="1:8" x14ac:dyDescent="0.25">
      <c r="A525" s="1"/>
      <c r="B525" s="1"/>
      <c r="C525" s="1"/>
      <c r="D525" s="1"/>
      <c r="E525" s="1"/>
      <c r="F525" s="1"/>
      <c r="G525" s="1"/>
      <c r="H525" s="44"/>
    </row>
    <row r="526" spans="1:8" x14ac:dyDescent="0.25">
      <c r="A526" s="1"/>
      <c r="B526" s="1"/>
      <c r="C526" s="1"/>
      <c r="D526" s="1"/>
      <c r="E526" s="1"/>
      <c r="F526" s="1"/>
      <c r="G526" s="1"/>
      <c r="H526" s="44"/>
    </row>
    <row r="527" spans="1:8" x14ac:dyDescent="0.25">
      <c r="A527" s="1"/>
      <c r="B527" s="1"/>
      <c r="C527" s="1"/>
      <c r="D527" s="1"/>
      <c r="E527" s="1"/>
      <c r="F527" s="1"/>
      <c r="G527" s="1"/>
      <c r="H527" s="44"/>
    </row>
    <row r="528" spans="1:8" x14ac:dyDescent="0.25">
      <c r="A528" s="1"/>
      <c r="B528" s="1"/>
      <c r="C528" s="1"/>
      <c r="D528" s="1"/>
      <c r="E528" s="1"/>
      <c r="F528" s="1"/>
      <c r="G528" s="1"/>
      <c r="H528" s="44"/>
    </row>
    <row r="529" spans="1:8" x14ac:dyDescent="0.25">
      <c r="A529" s="1"/>
      <c r="B529" s="1"/>
      <c r="C529" s="1"/>
      <c r="D529" s="1"/>
      <c r="E529" s="1"/>
      <c r="F529" s="1"/>
      <c r="G529" s="1"/>
      <c r="H529" s="44"/>
    </row>
    <row r="530" spans="1:8" x14ac:dyDescent="0.25">
      <c r="A530" s="1"/>
      <c r="B530" s="1"/>
      <c r="C530" s="1"/>
      <c r="D530" s="1"/>
      <c r="E530" s="1"/>
      <c r="F530" s="1"/>
      <c r="G530" s="1"/>
      <c r="H530" s="44"/>
    </row>
    <row r="531" spans="1:8" x14ac:dyDescent="0.25">
      <c r="A531" s="1"/>
      <c r="B531" s="1"/>
      <c r="C531" s="1"/>
      <c r="D531" s="1"/>
      <c r="E531" s="1"/>
      <c r="F531" s="1"/>
      <c r="G531" s="1"/>
      <c r="H531" s="44"/>
    </row>
    <row r="532" spans="1:8" x14ac:dyDescent="0.25">
      <c r="A532" s="1"/>
      <c r="B532" s="1"/>
      <c r="C532" s="1"/>
      <c r="D532" s="1"/>
      <c r="E532" s="1"/>
      <c r="F532" s="1"/>
      <c r="G532" s="1"/>
      <c r="H532" s="44"/>
    </row>
    <row r="533" spans="1:8" x14ac:dyDescent="0.25">
      <c r="A533" s="1"/>
      <c r="B533" s="1"/>
      <c r="C533" s="1"/>
      <c r="D533" s="1"/>
      <c r="E533" s="1"/>
      <c r="F533" s="1"/>
      <c r="G533" s="1"/>
      <c r="H533" s="44"/>
    </row>
    <row r="534" spans="1:8" x14ac:dyDescent="0.25">
      <c r="A534" s="1"/>
      <c r="B534" s="1"/>
      <c r="C534" s="1"/>
      <c r="D534" s="1"/>
      <c r="E534" s="1"/>
      <c r="F534" s="1"/>
      <c r="G534" s="1"/>
      <c r="H534" s="44"/>
    </row>
    <row r="535" spans="1:8" x14ac:dyDescent="0.25">
      <c r="A535" s="1"/>
      <c r="B535" s="1"/>
      <c r="C535" s="1"/>
      <c r="D535" s="1"/>
      <c r="E535" s="1"/>
      <c r="F535" s="1"/>
      <c r="G535" s="1"/>
      <c r="H535" s="44"/>
    </row>
    <row r="536" spans="1:8" x14ac:dyDescent="0.25">
      <c r="A536" s="1"/>
      <c r="B536" s="1"/>
      <c r="C536" s="1"/>
      <c r="D536" s="1"/>
      <c r="E536" s="1"/>
      <c r="F536" s="1"/>
      <c r="G536" s="1"/>
      <c r="H536" s="44"/>
    </row>
    <row r="537" spans="1:8" x14ac:dyDescent="0.25">
      <c r="A537" s="1"/>
      <c r="B537" s="1"/>
      <c r="C537" s="1"/>
      <c r="D537" s="1"/>
      <c r="E537" s="1"/>
      <c r="F537" s="1"/>
      <c r="G537" s="1"/>
      <c r="H537" s="44"/>
    </row>
    <row r="538" spans="1:8" x14ac:dyDescent="0.25">
      <c r="A538" s="1"/>
      <c r="B538" s="1"/>
      <c r="C538" s="1"/>
      <c r="D538" s="1"/>
      <c r="E538" s="1"/>
      <c r="F538" s="1"/>
      <c r="G538" s="1"/>
      <c r="H538" s="44"/>
    </row>
    <row r="539" spans="1:8" x14ac:dyDescent="0.25">
      <c r="A539" s="1"/>
      <c r="B539" s="1"/>
      <c r="C539" s="1"/>
      <c r="D539" s="1"/>
      <c r="E539" s="1"/>
      <c r="F539" s="1"/>
      <c r="G539" s="1"/>
      <c r="H539" s="44"/>
    </row>
    <row r="540" spans="1:8" x14ac:dyDescent="0.25">
      <c r="A540" s="1"/>
      <c r="B540" s="1"/>
      <c r="C540" s="1"/>
      <c r="D540" s="1"/>
      <c r="E540" s="1"/>
      <c r="F540" s="1"/>
      <c r="G540" s="1"/>
      <c r="H540" s="44"/>
    </row>
    <row r="541" spans="1:8" x14ac:dyDescent="0.25">
      <c r="A541" s="1"/>
      <c r="B541" s="1"/>
      <c r="C541" s="1"/>
      <c r="D541" s="1"/>
      <c r="E541" s="1"/>
      <c r="F541" s="1"/>
      <c r="G541" s="1"/>
      <c r="H541" s="44"/>
    </row>
    <row r="542" spans="1:8" x14ac:dyDescent="0.25">
      <c r="A542" s="1"/>
      <c r="B542" s="1"/>
      <c r="C542" s="1"/>
      <c r="D542" s="1"/>
      <c r="E542" s="1"/>
      <c r="F542" s="1"/>
      <c r="G542" s="1"/>
      <c r="H542" s="44"/>
    </row>
    <row r="543" spans="1:8" x14ac:dyDescent="0.25">
      <c r="A543" s="1"/>
      <c r="B543" s="1"/>
      <c r="C543" s="1"/>
      <c r="D543" s="1"/>
      <c r="E543" s="1"/>
      <c r="F543" s="1"/>
      <c r="G543" s="1"/>
      <c r="H543" s="44"/>
    </row>
    <row r="544" spans="1:8" x14ac:dyDescent="0.25">
      <c r="A544" s="1"/>
      <c r="B544" s="1"/>
      <c r="C544" s="1"/>
      <c r="D544" s="1"/>
      <c r="E544" s="1"/>
      <c r="F544" s="1"/>
      <c r="G544" s="1"/>
      <c r="H544" s="44"/>
    </row>
    <row r="545" spans="1:8" x14ac:dyDescent="0.25">
      <c r="A545" s="1"/>
      <c r="B545" s="1"/>
      <c r="C545" s="1"/>
      <c r="D545" s="1"/>
      <c r="E545" s="1"/>
      <c r="F545" s="1"/>
      <c r="G545" s="1"/>
      <c r="H545" s="44"/>
    </row>
    <row r="546" spans="1:8" x14ac:dyDescent="0.25">
      <c r="A546" s="1"/>
      <c r="B546" s="1"/>
      <c r="C546" s="1"/>
      <c r="D546" s="1"/>
      <c r="E546" s="1"/>
      <c r="F546" s="1"/>
      <c r="G546" s="1"/>
      <c r="H546" s="44"/>
    </row>
    <row r="547" spans="1:8" x14ac:dyDescent="0.25">
      <c r="A547" s="1"/>
      <c r="B547" s="1"/>
      <c r="C547" s="1"/>
      <c r="D547" s="1"/>
      <c r="E547" s="1"/>
      <c r="F547" s="1"/>
      <c r="G547" s="1"/>
      <c r="H547" s="44"/>
    </row>
    <row r="548" spans="1:8" x14ac:dyDescent="0.25">
      <c r="A548" s="1"/>
      <c r="B548" s="1"/>
      <c r="C548" s="1"/>
      <c r="D548" s="1"/>
      <c r="E548" s="1"/>
      <c r="F548" s="1"/>
      <c r="G548" s="1"/>
      <c r="H548" s="44"/>
    </row>
    <row r="549" spans="1:8" x14ac:dyDescent="0.25">
      <c r="A549" s="1"/>
      <c r="B549" s="1"/>
      <c r="C549" s="1"/>
      <c r="D549" s="1"/>
      <c r="E549" s="1"/>
      <c r="F549" s="1"/>
      <c r="G549" s="1"/>
      <c r="H549" s="44"/>
    </row>
    <row r="550" spans="1:8" x14ac:dyDescent="0.25">
      <c r="A550" s="1"/>
      <c r="B550" s="1"/>
      <c r="C550" s="1"/>
      <c r="D550" s="1"/>
      <c r="E550" s="1"/>
      <c r="F550" s="1"/>
      <c r="G550" s="1"/>
      <c r="H550" s="44"/>
    </row>
    <row r="551" spans="1:8" x14ac:dyDescent="0.25">
      <c r="A551" s="1"/>
      <c r="B551" s="1"/>
      <c r="C551" s="1"/>
      <c r="D551" s="1"/>
      <c r="E551" s="1"/>
      <c r="F551" s="1"/>
      <c r="G551" s="1"/>
      <c r="H551" s="44"/>
    </row>
    <row r="552" spans="1:8" x14ac:dyDescent="0.25">
      <c r="A552" s="1"/>
      <c r="B552" s="1"/>
      <c r="C552" s="1"/>
      <c r="D552" s="1"/>
      <c r="E552" s="1"/>
      <c r="F552" s="1"/>
      <c r="G552" s="1"/>
      <c r="H552" s="44"/>
    </row>
    <row r="553" spans="1:8" x14ac:dyDescent="0.25">
      <c r="A553" s="1"/>
      <c r="B553" s="1"/>
      <c r="C553" s="1"/>
      <c r="D553" s="1"/>
      <c r="E553" s="1"/>
      <c r="F553" s="1"/>
      <c r="G553" s="1"/>
      <c r="H553" s="44"/>
    </row>
    <row r="554" spans="1:8" x14ac:dyDescent="0.25">
      <c r="A554" s="1"/>
      <c r="B554" s="1"/>
      <c r="C554" s="1"/>
      <c r="D554" s="1"/>
      <c r="E554" s="1"/>
      <c r="F554" s="1"/>
      <c r="G554" s="1"/>
      <c r="H554" s="44"/>
    </row>
    <row r="555" spans="1:8" x14ac:dyDescent="0.25">
      <c r="A555" s="1"/>
      <c r="B555" s="1"/>
      <c r="C555" s="1"/>
      <c r="D555" s="1"/>
      <c r="E555" s="1"/>
      <c r="F555" s="1"/>
      <c r="G555" s="1"/>
      <c r="H555" s="44"/>
    </row>
    <row r="556" spans="1:8" x14ac:dyDescent="0.25">
      <c r="A556" s="1"/>
      <c r="B556" s="1"/>
      <c r="C556" s="1"/>
      <c r="D556" s="1"/>
      <c r="E556" s="1"/>
      <c r="F556" s="1"/>
      <c r="G556" s="1"/>
      <c r="H556" s="44"/>
    </row>
    <row r="557" spans="1:8" x14ac:dyDescent="0.25">
      <c r="A557" s="1"/>
      <c r="B557" s="1"/>
      <c r="C557" s="1"/>
      <c r="D557" s="1"/>
      <c r="E557" s="1"/>
      <c r="F557" s="1"/>
      <c r="G557" s="1"/>
      <c r="H557" s="44"/>
    </row>
    <row r="558" spans="1:8" x14ac:dyDescent="0.25">
      <c r="A558" s="1"/>
      <c r="B558" s="1"/>
      <c r="C558" s="1"/>
      <c r="D558" s="1"/>
      <c r="E558" s="1"/>
      <c r="F558" s="1"/>
      <c r="G558" s="1"/>
      <c r="H558" s="44"/>
    </row>
    <row r="559" spans="1:8" x14ac:dyDescent="0.25">
      <c r="A559" s="1"/>
      <c r="B559" s="1"/>
      <c r="C559" s="1"/>
      <c r="D559" s="1"/>
      <c r="E559" s="1"/>
      <c r="F559" s="1"/>
      <c r="G559" s="1"/>
      <c r="H559" s="44"/>
    </row>
    <row r="560" spans="1:8" x14ac:dyDescent="0.25">
      <c r="A560" s="1"/>
      <c r="B560" s="1"/>
      <c r="C560" s="1"/>
      <c r="D560" s="1"/>
      <c r="E560" s="1"/>
      <c r="F560" s="1"/>
      <c r="G560" s="1"/>
      <c r="H560" s="44"/>
    </row>
    <row r="561" spans="1:8" x14ac:dyDescent="0.25">
      <c r="A561" s="1"/>
      <c r="B561" s="1"/>
      <c r="C561" s="1"/>
      <c r="D561" s="1"/>
      <c r="E561" s="1"/>
      <c r="F561" s="1"/>
      <c r="G561" s="1"/>
      <c r="H561" s="44"/>
    </row>
    <row r="562" spans="1:8" x14ac:dyDescent="0.25">
      <c r="A562" s="1"/>
      <c r="B562" s="1"/>
      <c r="C562" s="1"/>
      <c r="D562" s="1"/>
      <c r="E562" s="1"/>
      <c r="F562" s="1"/>
      <c r="G562" s="1"/>
      <c r="H562" s="44"/>
    </row>
    <row r="563" spans="1:8" x14ac:dyDescent="0.25">
      <c r="A563" s="1"/>
      <c r="B563" s="1"/>
      <c r="C563" s="1"/>
      <c r="D563" s="1"/>
      <c r="E563" s="1"/>
      <c r="F563" s="1"/>
      <c r="G563" s="1"/>
      <c r="H563" s="44"/>
    </row>
    <row r="564" spans="1:8" x14ac:dyDescent="0.25">
      <c r="A564" s="1"/>
      <c r="B564" s="1"/>
      <c r="C564" s="1"/>
      <c r="D564" s="1"/>
      <c r="E564" s="1"/>
      <c r="F564" s="1"/>
      <c r="G564" s="1"/>
      <c r="H564" s="44"/>
    </row>
    <row r="565" spans="1:8" x14ac:dyDescent="0.25">
      <c r="A565" s="1"/>
      <c r="B565" s="1"/>
      <c r="C565" s="1"/>
      <c r="D565" s="1"/>
      <c r="E565" s="1"/>
      <c r="F565" s="1"/>
      <c r="G565" s="1"/>
      <c r="H565" s="44"/>
    </row>
    <row r="566" spans="1:8" x14ac:dyDescent="0.25">
      <c r="A566" s="1"/>
      <c r="B566" s="1"/>
      <c r="C566" s="1"/>
      <c r="D566" s="1"/>
      <c r="E566" s="1"/>
      <c r="F566" s="1"/>
      <c r="G566" s="1"/>
      <c r="H566" s="44"/>
    </row>
    <row r="567" spans="1:8" x14ac:dyDescent="0.25">
      <c r="A567" s="1"/>
      <c r="B567" s="1"/>
      <c r="C567" s="1"/>
      <c r="D567" s="1"/>
      <c r="E567" s="1"/>
      <c r="F567" s="1"/>
      <c r="G567" s="1"/>
      <c r="H567" s="44"/>
    </row>
    <row r="568" spans="1:8" x14ac:dyDescent="0.25">
      <c r="A568" s="1"/>
      <c r="B568" s="1"/>
      <c r="C568" s="1"/>
      <c r="D568" s="1"/>
      <c r="E568" s="1"/>
      <c r="F568" s="1"/>
      <c r="G568" s="1"/>
      <c r="H568" s="44"/>
    </row>
    <row r="569" spans="1:8" x14ac:dyDescent="0.25">
      <c r="A569" s="1"/>
      <c r="B569" s="1"/>
      <c r="C569" s="1"/>
      <c r="D569" s="1"/>
      <c r="E569" s="1"/>
      <c r="F569" s="1"/>
      <c r="G569" s="1"/>
      <c r="H569" s="44"/>
    </row>
    <row r="570" spans="1:8" x14ac:dyDescent="0.25">
      <c r="A570" s="1"/>
      <c r="B570" s="1"/>
      <c r="C570" s="1"/>
      <c r="D570" s="1"/>
      <c r="E570" s="1"/>
      <c r="F570" s="1"/>
      <c r="G570" s="1"/>
      <c r="H570" s="44"/>
    </row>
    <row r="571" spans="1:8" x14ac:dyDescent="0.25">
      <c r="A571" s="1"/>
      <c r="B571" s="1"/>
      <c r="C571" s="1"/>
      <c r="D571" s="1"/>
      <c r="E571" s="1"/>
      <c r="F571" s="1"/>
      <c r="G571" s="1"/>
      <c r="H571" s="44"/>
    </row>
    <row r="572" spans="1:8" x14ac:dyDescent="0.25">
      <c r="A572" s="1"/>
      <c r="B572" s="1"/>
      <c r="C572" s="1"/>
      <c r="D572" s="1"/>
      <c r="E572" s="1"/>
      <c r="F572" s="1"/>
      <c r="G572" s="1"/>
      <c r="H572" s="44"/>
    </row>
    <row r="573" spans="1:8" x14ac:dyDescent="0.25">
      <c r="A573" s="1"/>
      <c r="B573" s="1"/>
      <c r="C573" s="1"/>
      <c r="D573" s="1"/>
      <c r="E573" s="1"/>
      <c r="F573" s="1"/>
      <c r="G573" s="1"/>
      <c r="H573" s="44"/>
    </row>
    <row r="574" spans="1:8" x14ac:dyDescent="0.25">
      <c r="A574" s="1"/>
      <c r="B574" s="1"/>
      <c r="C574" s="1"/>
      <c r="D574" s="1"/>
      <c r="E574" s="1"/>
      <c r="F574" s="1"/>
      <c r="G574" s="1"/>
      <c r="H574" s="44"/>
    </row>
    <row r="575" spans="1:8" x14ac:dyDescent="0.25">
      <c r="A575" s="1"/>
      <c r="B575" s="1"/>
      <c r="C575" s="1"/>
      <c r="D575" s="1"/>
      <c r="E575" s="1"/>
      <c r="F575" s="1"/>
      <c r="G575" s="1"/>
      <c r="H575" s="44"/>
    </row>
    <row r="576" spans="1:8" x14ac:dyDescent="0.25">
      <c r="A576" s="1"/>
      <c r="B576" s="1"/>
      <c r="C576" s="1"/>
      <c r="D576" s="1"/>
      <c r="E576" s="1"/>
      <c r="F576" s="1"/>
      <c r="G576" s="1"/>
      <c r="H576" s="44"/>
    </row>
    <row r="577" spans="1:8" x14ac:dyDescent="0.25">
      <c r="A577" s="1"/>
      <c r="B577" s="1"/>
      <c r="C577" s="1"/>
      <c r="D577" s="1"/>
      <c r="E577" s="1"/>
      <c r="F577" s="1"/>
      <c r="G577" s="1"/>
      <c r="H577" s="44"/>
    </row>
    <row r="578" spans="1:8" x14ac:dyDescent="0.25">
      <c r="A578" s="1"/>
      <c r="B578" s="1"/>
      <c r="C578" s="1"/>
      <c r="D578" s="1"/>
      <c r="E578" s="1"/>
      <c r="F578" s="1"/>
      <c r="G578" s="1"/>
      <c r="H578" s="44"/>
    </row>
    <row r="579" spans="1:8" x14ac:dyDescent="0.25">
      <c r="A579" s="1"/>
      <c r="B579" s="1"/>
      <c r="C579" s="1"/>
      <c r="D579" s="1"/>
      <c r="E579" s="1"/>
      <c r="F579" s="1"/>
      <c r="G579" s="1"/>
      <c r="H579" s="44"/>
    </row>
    <row r="580" spans="1:8" x14ac:dyDescent="0.25">
      <c r="A580" s="1"/>
      <c r="B580" s="1"/>
      <c r="C580" s="1"/>
      <c r="D580" s="1"/>
      <c r="E580" s="1"/>
      <c r="F580" s="1"/>
      <c r="G580" s="1"/>
      <c r="H580" s="44"/>
    </row>
    <row r="581" spans="1:8" x14ac:dyDescent="0.25">
      <c r="A581" s="1"/>
      <c r="B581" s="1"/>
      <c r="C581" s="1"/>
      <c r="D581" s="1"/>
      <c r="E581" s="1"/>
      <c r="F581" s="1"/>
      <c r="G581" s="1"/>
      <c r="H581" s="44"/>
    </row>
    <row r="582" spans="1:8" x14ac:dyDescent="0.25">
      <c r="A582" s="1"/>
      <c r="B582" s="1"/>
      <c r="C582" s="1"/>
      <c r="D582" s="1"/>
      <c r="E582" s="1"/>
      <c r="F582" s="1"/>
      <c r="G582" s="1"/>
      <c r="H582" s="44"/>
    </row>
    <row r="583" spans="1:8" x14ac:dyDescent="0.25">
      <c r="A583" s="1"/>
      <c r="B583" s="1"/>
      <c r="C583" s="1"/>
      <c r="D583" s="1"/>
      <c r="E583" s="1"/>
      <c r="F583" s="1"/>
      <c r="G583" s="1"/>
      <c r="H583" s="44"/>
    </row>
    <row r="584" spans="1:8" x14ac:dyDescent="0.25">
      <c r="A584" s="1"/>
      <c r="B584" s="1"/>
      <c r="C584" s="1"/>
      <c r="D584" s="1"/>
      <c r="E584" s="1"/>
      <c r="F584" s="1"/>
      <c r="G584" s="1"/>
      <c r="H584" s="44"/>
    </row>
    <row r="585" spans="1:8" x14ac:dyDescent="0.25">
      <c r="A585" s="1"/>
      <c r="B585" s="1"/>
      <c r="C585" s="1"/>
      <c r="D585" s="1"/>
      <c r="E585" s="1"/>
      <c r="F585" s="1"/>
      <c r="G585" s="1"/>
      <c r="H585" s="44"/>
    </row>
    <row r="586" spans="1:8" x14ac:dyDescent="0.25">
      <c r="A586" s="1"/>
      <c r="B586" s="1"/>
      <c r="C586" s="1"/>
      <c r="D586" s="1"/>
      <c r="E586" s="1"/>
      <c r="F586" s="1"/>
      <c r="G586" s="1"/>
      <c r="H586" s="44"/>
    </row>
    <row r="587" spans="1:8" x14ac:dyDescent="0.25">
      <c r="A587" s="1"/>
      <c r="B587" s="1"/>
      <c r="C587" s="1"/>
      <c r="D587" s="1"/>
      <c r="E587" s="1"/>
      <c r="F587" s="1"/>
      <c r="G587" s="1"/>
      <c r="H587" s="44"/>
    </row>
    <row r="588" spans="1:8" x14ac:dyDescent="0.25">
      <c r="A588" s="1"/>
      <c r="B588" s="1"/>
      <c r="C588" s="1"/>
      <c r="D588" s="1"/>
      <c r="E588" s="1"/>
      <c r="F588" s="1"/>
      <c r="G588" s="1"/>
      <c r="H588" s="44"/>
    </row>
    <row r="589" spans="1:8" x14ac:dyDescent="0.25">
      <c r="A589" s="1"/>
      <c r="B589" s="1"/>
      <c r="C589" s="1"/>
      <c r="D589" s="1"/>
      <c r="E589" s="1"/>
      <c r="F589" s="1"/>
      <c r="G589" s="1"/>
      <c r="H589" s="44"/>
    </row>
    <row r="590" spans="1:8" x14ac:dyDescent="0.25">
      <c r="A590" s="1"/>
      <c r="B590" s="1"/>
      <c r="C590" s="1"/>
      <c r="D590" s="1"/>
      <c r="E590" s="1"/>
      <c r="F590" s="1"/>
      <c r="G590" s="1"/>
      <c r="H590" s="44"/>
    </row>
    <row r="591" spans="1:8" x14ac:dyDescent="0.25">
      <c r="A591" s="1"/>
      <c r="B591" s="1"/>
      <c r="C591" s="1"/>
      <c r="D591" s="1"/>
      <c r="E591" s="1"/>
      <c r="F591" s="1"/>
      <c r="G591" s="1"/>
      <c r="H591" s="44"/>
    </row>
    <row r="592" spans="1:8" x14ac:dyDescent="0.25">
      <c r="A592" s="1"/>
      <c r="B592" s="1"/>
      <c r="C592" s="1"/>
      <c r="D592" s="1"/>
      <c r="E592" s="1"/>
      <c r="F592" s="1"/>
      <c r="G592" s="1"/>
      <c r="H592" s="44"/>
    </row>
    <row r="593" spans="1:8" x14ac:dyDescent="0.25">
      <c r="A593" s="1"/>
      <c r="B593" s="1"/>
      <c r="C593" s="1"/>
      <c r="D593" s="1"/>
      <c r="E593" s="1"/>
      <c r="F593" s="1"/>
      <c r="G593" s="1"/>
      <c r="H593" s="44"/>
    </row>
    <row r="594" spans="1:8" x14ac:dyDescent="0.25">
      <c r="A594" s="1"/>
      <c r="B594" s="1"/>
      <c r="C594" s="1"/>
      <c r="D594" s="1"/>
      <c r="E594" s="1"/>
      <c r="F594" s="1"/>
      <c r="G594" s="1"/>
      <c r="H594" s="44"/>
    </row>
    <row r="595" spans="1:8" x14ac:dyDescent="0.25">
      <c r="A595" s="1"/>
      <c r="B595" s="1"/>
      <c r="C595" s="1"/>
      <c r="D595" s="1"/>
      <c r="E595" s="1"/>
      <c r="F595" s="1"/>
      <c r="G595" s="1"/>
      <c r="H595" s="44"/>
    </row>
    <row r="596" spans="1:8" x14ac:dyDescent="0.25">
      <c r="A596" s="1"/>
      <c r="B596" s="1"/>
      <c r="C596" s="1"/>
      <c r="D596" s="1"/>
      <c r="E596" s="1"/>
      <c r="F596" s="1"/>
      <c r="G596" s="1"/>
      <c r="H596" s="44"/>
    </row>
    <row r="597" spans="1:8" x14ac:dyDescent="0.25">
      <c r="A597" s="1"/>
      <c r="B597" s="1"/>
      <c r="C597" s="1"/>
      <c r="D597" s="1"/>
      <c r="E597" s="1"/>
      <c r="F597" s="1"/>
      <c r="G597" s="1"/>
      <c r="H597" s="44"/>
    </row>
    <row r="598" spans="1:8" x14ac:dyDescent="0.25">
      <c r="A598" s="1"/>
      <c r="B598" s="1"/>
      <c r="C598" s="1"/>
      <c r="D598" s="1"/>
      <c r="E598" s="1"/>
      <c r="F598" s="1"/>
      <c r="G598" s="1"/>
      <c r="H598" s="44"/>
    </row>
    <row r="599" spans="1:8" x14ac:dyDescent="0.25">
      <c r="A599" s="1"/>
      <c r="B599" s="1"/>
      <c r="C599" s="1"/>
      <c r="D599" s="1"/>
      <c r="E599" s="1"/>
      <c r="F599" s="1"/>
      <c r="G599" s="1"/>
      <c r="H599" s="44"/>
    </row>
    <row r="600" spans="1:8" x14ac:dyDescent="0.25">
      <c r="A600" s="1"/>
      <c r="B600" s="1"/>
      <c r="C600" s="1"/>
      <c r="D600" s="1"/>
      <c r="E600" s="1"/>
      <c r="F600" s="1"/>
      <c r="G600" s="1"/>
      <c r="H600" s="44"/>
    </row>
    <row r="601" spans="1:8" x14ac:dyDescent="0.25">
      <c r="A601" s="1"/>
      <c r="B601" s="1"/>
      <c r="C601" s="1"/>
      <c r="D601" s="1"/>
      <c r="E601" s="1"/>
      <c r="F601" s="1"/>
      <c r="G601" s="1"/>
      <c r="H601" s="44"/>
    </row>
    <row r="602" spans="1:8" x14ac:dyDescent="0.25">
      <c r="A602" s="1"/>
      <c r="B602" s="1"/>
      <c r="C602" s="1"/>
      <c r="D602" s="1"/>
      <c r="E602" s="1"/>
      <c r="F602" s="1"/>
      <c r="G602" s="1"/>
      <c r="H602" s="44"/>
    </row>
    <row r="603" spans="1:8" x14ac:dyDescent="0.25">
      <c r="A603" s="1"/>
      <c r="B603" s="1"/>
      <c r="C603" s="1"/>
      <c r="D603" s="1"/>
      <c r="E603" s="1"/>
      <c r="F603" s="1"/>
      <c r="G603" s="1"/>
      <c r="H603" s="44"/>
    </row>
    <row r="604" spans="1:8" x14ac:dyDescent="0.25">
      <c r="A604" s="1"/>
      <c r="B604" s="1"/>
      <c r="C604" s="1"/>
      <c r="D604" s="1"/>
      <c r="E604" s="1"/>
      <c r="F604" s="1"/>
      <c r="G604" s="1"/>
      <c r="H604" s="44"/>
    </row>
    <row r="605" spans="1:8" x14ac:dyDescent="0.25">
      <c r="A605" s="1"/>
      <c r="B605" s="1"/>
      <c r="C605" s="1"/>
      <c r="D605" s="1"/>
      <c r="E605" s="1"/>
      <c r="F605" s="1"/>
      <c r="G605" s="1"/>
      <c r="H605" s="44"/>
    </row>
    <row r="606" spans="1:8" x14ac:dyDescent="0.25">
      <c r="A606" s="1"/>
      <c r="B606" s="1"/>
      <c r="C606" s="1"/>
      <c r="D606" s="1"/>
      <c r="E606" s="1"/>
      <c r="F606" s="1"/>
      <c r="G606" s="1"/>
      <c r="H606" s="44"/>
    </row>
    <row r="607" spans="1:8" x14ac:dyDescent="0.25">
      <c r="A607" s="1"/>
      <c r="B607" s="1"/>
      <c r="C607" s="1"/>
      <c r="D607" s="1"/>
      <c r="E607" s="1"/>
      <c r="F607" s="1"/>
      <c r="G607" s="1"/>
      <c r="H607" s="44"/>
    </row>
    <row r="608" spans="1:8" x14ac:dyDescent="0.25">
      <c r="A608" s="1"/>
      <c r="B608" s="1"/>
      <c r="C608" s="1"/>
      <c r="D608" s="1"/>
      <c r="E608" s="1"/>
      <c r="F608" s="1"/>
      <c r="G608" s="1"/>
      <c r="H608" s="44"/>
    </row>
    <row r="609" spans="1:8" x14ac:dyDescent="0.25">
      <c r="A609" s="1"/>
      <c r="B609" s="1"/>
      <c r="C609" s="1"/>
      <c r="D609" s="1"/>
      <c r="E609" s="1"/>
      <c r="F609" s="1"/>
      <c r="G609" s="1"/>
      <c r="H609" s="44"/>
    </row>
    <row r="610" spans="1:8" x14ac:dyDescent="0.25">
      <c r="A610" s="1"/>
      <c r="B610" s="1"/>
      <c r="C610" s="1"/>
      <c r="D610" s="1"/>
      <c r="E610" s="1"/>
      <c r="F610" s="1"/>
      <c r="G610" s="1"/>
      <c r="H610" s="44"/>
    </row>
    <row r="611" spans="1:8" x14ac:dyDescent="0.25">
      <c r="A611" s="1"/>
      <c r="B611" s="1"/>
      <c r="C611" s="1"/>
      <c r="D611" s="1"/>
      <c r="E611" s="1"/>
      <c r="F611" s="1"/>
      <c r="G611" s="1"/>
      <c r="H611" s="44"/>
    </row>
    <row r="612" spans="1:8" x14ac:dyDescent="0.25">
      <c r="A612" s="1"/>
      <c r="B612" s="1"/>
      <c r="C612" s="1"/>
      <c r="D612" s="1"/>
      <c r="E612" s="1"/>
      <c r="F612" s="1"/>
      <c r="G612" s="1"/>
      <c r="H612" s="44"/>
    </row>
    <row r="613" spans="1:8" x14ac:dyDescent="0.25">
      <c r="A613" s="1"/>
      <c r="B613" s="1"/>
      <c r="C613" s="1"/>
      <c r="D613" s="1"/>
      <c r="E613" s="1"/>
      <c r="F613" s="1"/>
      <c r="G613" s="1"/>
      <c r="H613" s="44"/>
    </row>
    <row r="614" spans="1:8" x14ac:dyDescent="0.25">
      <c r="A614" s="1"/>
      <c r="B614" s="1"/>
      <c r="C614" s="1"/>
      <c r="D614" s="1"/>
      <c r="E614" s="1"/>
      <c r="F614" s="1"/>
      <c r="G614" s="1"/>
      <c r="H614" s="4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Summary</vt:lpstr>
      <vt:lpstr>Workflow</vt:lpstr>
      <vt:lpstr>Tracker</vt:lpstr>
      <vt:lpstr>Order_Detail_View</vt:lpstr>
      <vt:lpstr>Tracker DO NOT TOUCH</vt:lpstr>
      <vt:lpstr>Open Order</vt:lpstr>
      <vt:lpstr>Pick Lines</vt:lpstr>
      <vt:lpstr>Receiving</vt:lpstr>
      <vt:lpstr>Pending to Receive</vt:lpstr>
      <vt:lpstr>RMA</vt:lpstr>
      <vt:lpstr>Open PO Report</vt:lpstr>
      <vt:lpstr>Expected Receipts</vt:lpstr>
      <vt:lpstr>Inventory - Receipts</vt:lpstr>
      <vt:lpstr>Sales Orders POD</vt:lpstr>
      <vt:lpstr>Data Validation</vt:lpstr>
      <vt:lpstr>Open_Order_DN_LineCt</vt:lpstr>
      <vt:lpstr>Temp_Library</vt:lpstr>
      <vt:lpstr>OrderDetailComments</vt:lpstr>
      <vt:lpstr>OrderDetailShippingInstruction</vt:lpstr>
    </vt:vector>
  </TitlesOfParts>
  <Company>Hewlett-Packard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csauceda</dc:creator>
  <cp:lastModifiedBy>Peter Gunardi</cp:lastModifiedBy>
  <cp:lastPrinted>2016-10-03T21:32:24Z</cp:lastPrinted>
  <dcterms:created xsi:type="dcterms:W3CDTF">2016-06-29T00:10:48Z</dcterms:created>
  <dcterms:modified xsi:type="dcterms:W3CDTF">2016-10-13T23:31:48Z</dcterms:modified>
</cp:coreProperties>
</file>